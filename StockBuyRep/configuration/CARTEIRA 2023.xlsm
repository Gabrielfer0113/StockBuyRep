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worksheets/wsSortMap1.xml" ContentType="application/vnd.ms-excel.wsSortMap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o\Documents\GitHub\StockBuyRep\configuration\"/>
    </mc:Choice>
  </mc:AlternateContent>
  <bookViews>
    <workbookView xWindow="855" yWindow="-120" windowWidth="21840" windowHeight="13140" tabRatio="958" firstSheet="1" activeTab="1"/>
  </bookViews>
  <sheets>
    <sheet name="Plan2" sheetId="1" state="hidden" r:id="rId1"/>
    <sheet name="Entregues" sheetId="8" r:id="rId2"/>
    <sheet name="Programaçao" sheetId="3" r:id="rId3"/>
    <sheet name="Encarregado" sheetId="22" r:id="rId4"/>
    <sheet name="Relatório - programação total" sheetId="21" r:id="rId5"/>
    <sheet name="Programação Gates" sheetId="25" r:id="rId6"/>
    <sheet name="Programação Aeroquip" sheetId="20" r:id="rId7"/>
    <sheet name="Planilha3" sheetId="23" r:id="rId8"/>
  </sheets>
  <definedNames>
    <definedName name="_xlnm._FilterDatabase" localSheetId="3" hidden="1">Encarregado!$A$1:$K$1</definedName>
    <definedName name="_xlnm._FilterDatabase" localSheetId="1" hidden="1">Entregues!$A$1:$Q$300</definedName>
    <definedName name="_xlnm._FilterDatabase" localSheetId="7" hidden="1">Planilha3!$A$1:$E$16</definedName>
    <definedName name="_xlnm._FilterDatabase" localSheetId="2" hidden="1">Programaçao!$A$1:$Q$152</definedName>
    <definedName name="_xlnm._FilterDatabase" localSheetId="6" hidden="1">'Programação Aeroquip'!$A$1:$D$1</definedName>
    <definedName name="_xlnm._FilterDatabase" localSheetId="5" hidden="1">'Programação Gates'!$A$1:$F$1</definedName>
    <definedName name="Z_095A3D2E_B082_45FD_B82E_E63CCAF3ADFE_.wvu.Cols" localSheetId="2" hidden="1">Programaçao!#REF!,Programaçao!$H:$H,Programaçao!$O:$O</definedName>
    <definedName name="Z_095A3D2E_B082_45FD_B82E_E63CCAF3ADFE_.wvu.FilterData" localSheetId="2" hidden="1">Programaçao!$A$1:$Q$1</definedName>
    <definedName name="Z_8DFF655C_62BA_4527_8B82_3263C3734441_.wvu.Cols" localSheetId="2" hidden="1">Programaçao!#REF!,Programaçao!#REF!</definedName>
    <definedName name="Z_8DFF655C_62BA_4527_8B82_3263C3734441_.wvu.FilterData" localSheetId="2" hidden="1">Programaçao!$A$1:$Q$1</definedName>
    <definedName name="Z_BCAC6F9D_A5D3_4BF4_A6B7_85B9B6C91B10_.wvu.Cols" localSheetId="2" hidden="1">Programaçao!#REF!,Programaçao!$H:$H,Programaçao!$O:$O</definedName>
    <definedName name="Z_BCAC6F9D_A5D3_4BF4_A6B7_85B9B6C91B10_.wvu.FilterData" localSheetId="2" hidden="1">Programaçao!$A$1:$Q$1</definedName>
  </definedNames>
  <calcPr calcId="162913"/>
  <customWorkbookViews>
    <customWorkbookView name="Elis - Modo de exibição pessoal" guid="{8DFF655C-62BA-4527-8B82-3263C3734441}" mergeInterval="0" personalView="1" maximized="1" windowWidth="1148" windowHeight="639" tabRatio="801" activeSheetId="3"/>
    <customWorkbookView name="MAC - Modo de exibição pessoal" guid="{095A3D2E-B082-45FD-B82E-E63CCAF3ADFE}" mergeInterval="0" personalView="1" maximized="1" xWindow="-8" yWindow="-8" windowWidth="1382" windowHeight="744" tabRatio="801" activeSheetId="3"/>
    <customWorkbookView name="Usuário - Modo de exibição pessoal" guid="{BCAC6F9D-A5D3-4BF4-A6B7-85B9B6C91B10}" mergeInterval="0" personalView="1" maximized="1" xWindow="-8" yWindow="-8" windowWidth="1376" windowHeight="744" tabRatio="801" activeSheetId="3"/>
  </customWorkbookViews>
  <fileRecoveryPr autoRecover="0"/>
</workbook>
</file>

<file path=xl/calcChain.xml><?xml version="1.0" encoding="utf-8"?>
<calcChain xmlns="http://schemas.openxmlformats.org/spreadsheetml/2006/main">
  <c r="Q152" i="3" l="1"/>
  <c r="I152" i="3"/>
  <c r="Q151" i="3"/>
  <c r="I151" i="3"/>
  <c r="H60" i="3" l="1"/>
  <c r="H78" i="3"/>
  <c r="H129" i="3"/>
  <c r="Q146" i="3"/>
  <c r="Q129" i="3"/>
  <c r="Q60" i="3"/>
  <c r="Q78" i="3"/>
  <c r="I129" i="3"/>
  <c r="I60" i="3"/>
  <c r="I78" i="3"/>
  <c r="Q27" i="3" l="1"/>
  <c r="Q26" i="3"/>
  <c r="Q25" i="3"/>
  <c r="Q24" i="3"/>
  <c r="Q23" i="3"/>
  <c r="Q22" i="3"/>
  <c r="Q21" i="3"/>
  <c r="Q7" i="3"/>
  <c r="Q4" i="3"/>
  <c r="I27" i="3"/>
  <c r="I26" i="3"/>
  <c r="I25" i="3"/>
  <c r="I24" i="3"/>
  <c r="I23" i="3"/>
  <c r="I22" i="3"/>
  <c r="I21" i="3"/>
  <c r="I7" i="3"/>
  <c r="I4" i="3"/>
  <c r="I237" i="8"/>
  <c r="Q237" i="8"/>
  <c r="Q30" i="3"/>
  <c r="I30" i="3"/>
  <c r="Q6" i="3"/>
  <c r="Q41" i="3"/>
  <c r="Q42" i="3"/>
  <c r="Q40" i="3"/>
  <c r="Q128" i="3"/>
  <c r="Q39" i="3"/>
  <c r="Q38" i="3"/>
  <c r="Q89" i="3"/>
  <c r="Q88" i="3"/>
  <c r="Q87" i="3"/>
  <c r="Q86" i="3"/>
  <c r="Q85" i="3"/>
  <c r="Q56" i="3"/>
  <c r="Q55" i="3"/>
  <c r="Q33" i="3"/>
  <c r="Q5" i="3"/>
  <c r="Q34" i="3"/>
  <c r="Q32" i="3"/>
  <c r="Q20" i="3"/>
  <c r="Q77" i="3"/>
  <c r="Q127" i="3"/>
  <c r="Q58" i="3"/>
  <c r="I10" i="21"/>
  <c r="H10" i="21"/>
  <c r="G10" i="21"/>
  <c r="F10" i="21"/>
  <c r="E10" i="21"/>
  <c r="D10" i="21"/>
  <c r="C10" i="21"/>
  <c r="B10" i="21"/>
  <c r="I85" i="3"/>
  <c r="I89" i="3"/>
  <c r="I56" i="3"/>
  <c r="I55" i="3"/>
  <c r="I33" i="3"/>
  <c r="I32" i="3"/>
  <c r="I7" i="22"/>
  <c r="I10" i="22"/>
  <c r="I5" i="22"/>
  <c r="I2" i="22"/>
  <c r="I3" i="22"/>
  <c r="I236" i="8"/>
  <c r="Q236" i="8"/>
  <c r="Q31" i="3"/>
  <c r="I235" i="8"/>
  <c r="Q235" i="8"/>
  <c r="G232" i="8"/>
  <c r="I232" i="8"/>
  <c r="Q232" i="8"/>
  <c r="I46" i="22"/>
  <c r="I45" i="22"/>
  <c r="I44" i="22"/>
  <c r="I40" i="22"/>
  <c r="I39" i="22"/>
  <c r="I38" i="22"/>
  <c r="I37" i="22"/>
  <c r="I36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5" i="22"/>
  <c r="I14" i="22"/>
  <c r="I12" i="22"/>
  <c r="I11" i="22"/>
  <c r="I6" i="22"/>
  <c r="I4" i="22"/>
  <c r="G3" i="22"/>
  <c r="K1" i="22"/>
  <c r="I61" i="3" l="1"/>
  <c r="G231" i="8" l="1"/>
  <c r="I231" i="8"/>
  <c r="Q231" i="8"/>
  <c r="I77" i="3"/>
  <c r="I58" i="3"/>
  <c r="I20" i="3"/>
  <c r="I127" i="3"/>
  <c r="I295" i="8"/>
  <c r="Q295" i="8"/>
  <c r="I34" i="3"/>
  <c r="I230" i="8"/>
  <c r="Q230" i="8"/>
  <c r="I229" i="8" l="1"/>
  <c r="Q229" i="8"/>
  <c r="I228" i="8"/>
  <c r="Q228" i="8"/>
  <c r="I31" i="3"/>
  <c r="I42" i="3"/>
  <c r="I41" i="3"/>
  <c r="I40" i="3"/>
  <c r="I216" i="8"/>
  <c r="I217" i="8"/>
  <c r="Q217" i="8"/>
  <c r="I220" i="8"/>
  <c r="Q220" i="8"/>
  <c r="I221" i="8"/>
  <c r="Q221" i="8"/>
  <c r="I222" i="8"/>
  <c r="I223" i="8"/>
  <c r="Q223" i="8"/>
  <c r="I226" i="8"/>
  <c r="I242" i="8"/>
  <c r="Q242" i="8"/>
  <c r="I243" i="8"/>
  <c r="Q243" i="8"/>
  <c r="I227" i="8"/>
  <c r="Q227" i="8"/>
  <c r="G5" i="3" l="1"/>
  <c r="I299" i="8"/>
  <c r="I300" i="8"/>
  <c r="I298" i="8"/>
  <c r="I215" i="8" l="1"/>
  <c r="I214" i="8"/>
  <c r="Q214" i="8"/>
  <c r="I238" i="8"/>
  <c r="I211" i="8"/>
  <c r="I212" i="8"/>
  <c r="Q212" i="8"/>
  <c r="I213" i="8"/>
  <c r="Q213" i="8"/>
  <c r="I210" i="8"/>
  <c r="Q210" i="8"/>
  <c r="I271" i="8"/>
  <c r="Q271" i="8"/>
  <c r="I209" i="8"/>
  <c r="Q209" i="8"/>
  <c r="I208" i="8"/>
  <c r="Q208" i="8"/>
  <c r="I207" i="8"/>
  <c r="Q207" i="8"/>
  <c r="I206" i="8"/>
  <c r="Q206" i="8"/>
  <c r="I202" i="8"/>
  <c r="Q202" i="8"/>
  <c r="I297" i="8"/>
  <c r="Q297" i="8"/>
  <c r="I196" i="8"/>
  <c r="Q196" i="8"/>
  <c r="I263" i="8" l="1"/>
  <c r="Q263" i="8"/>
  <c r="I3" i="3"/>
  <c r="I194" i="8"/>
  <c r="Q194" i="8"/>
  <c r="I195" i="8"/>
  <c r="Q195" i="8"/>
  <c r="I193" i="8"/>
  <c r="Q193" i="8"/>
  <c r="I109" i="3" l="1"/>
  <c r="I110" i="3"/>
  <c r="Q110" i="3"/>
  <c r="Q109" i="3"/>
  <c r="Q104" i="3"/>
  <c r="I104" i="3"/>
  <c r="I103" i="3"/>
  <c r="Q103" i="3"/>
  <c r="I82" i="3"/>
  <c r="Q82" i="3"/>
  <c r="I11" i="8"/>
  <c r="Q11" i="8"/>
  <c r="I75" i="8"/>
  <c r="Q75" i="8"/>
  <c r="I92" i="8"/>
  <c r="Q92" i="8"/>
  <c r="I165" i="8"/>
  <c r="Q165" i="8"/>
  <c r="I80" i="3"/>
  <c r="Q80" i="3"/>
  <c r="Q102" i="3"/>
  <c r="I102" i="3"/>
  <c r="I6" i="3"/>
  <c r="I88" i="3" l="1"/>
  <c r="I87" i="3"/>
  <c r="I86" i="3"/>
  <c r="I128" i="3" l="1"/>
  <c r="I39" i="3"/>
  <c r="I38" i="3"/>
  <c r="I88" i="8"/>
  <c r="Q88" i="8"/>
  <c r="I94" i="8"/>
  <c r="Q94" i="8"/>
  <c r="I201" i="8"/>
  <c r="Q201" i="8"/>
  <c r="I117" i="8"/>
  <c r="Q117" i="8"/>
  <c r="I46" i="8"/>
  <c r="Q46" i="8"/>
  <c r="I82" i="8"/>
  <c r="Q82" i="8"/>
  <c r="I86" i="8"/>
  <c r="Q86" i="8"/>
  <c r="I138" i="8"/>
  <c r="Q138" i="8"/>
  <c r="I146" i="8"/>
  <c r="Q146" i="8"/>
  <c r="I188" i="8"/>
  <c r="Q188" i="8"/>
  <c r="I186" i="8"/>
  <c r="Q186" i="8"/>
  <c r="I175" i="8"/>
  <c r="Q175" i="8" s="1"/>
  <c r="I174" i="8"/>
  <c r="Q174" i="8"/>
  <c r="I173" i="8"/>
  <c r="Q173" i="8"/>
  <c r="B54" i="21"/>
  <c r="D54" i="21"/>
  <c r="F54" i="21"/>
  <c r="H54" i="21"/>
  <c r="J54" i="21"/>
  <c r="F39" i="21"/>
  <c r="H39" i="21"/>
  <c r="J39" i="21"/>
  <c r="B39" i="21"/>
  <c r="D39" i="21"/>
  <c r="J28" i="21"/>
  <c r="H28" i="21"/>
  <c r="F28" i="21"/>
  <c r="D28" i="21"/>
  <c r="B28" i="21"/>
  <c r="C28" i="21"/>
  <c r="Q54" i="3"/>
  <c r="Q53" i="3"/>
  <c r="Q52" i="3"/>
  <c r="Q2" i="3"/>
  <c r="Q51" i="3"/>
  <c r="Q50" i="3"/>
  <c r="Q49" i="3"/>
  <c r="Q48" i="3"/>
  <c r="Q47" i="3"/>
  <c r="Q46" i="3"/>
  <c r="Q45" i="3"/>
  <c r="Q44" i="3"/>
  <c r="Q43" i="3"/>
  <c r="K28" i="21"/>
  <c r="I28" i="21"/>
  <c r="G28" i="21"/>
  <c r="E28" i="21"/>
  <c r="Q124" i="3"/>
  <c r="Q125" i="3"/>
  <c r="Q112" i="3"/>
  <c r="Q90" i="3"/>
  <c r="Q83" i="3"/>
  <c r="Q74" i="3"/>
  <c r="Q68" i="3"/>
  <c r="Q62" i="3"/>
  <c r="Q64" i="3"/>
  <c r="Q61" i="3"/>
  <c r="Q63" i="3"/>
  <c r="Q18" i="3"/>
  <c r="Q16" i="3"/>
  <c r="Q15" i="3"/>
  <c r="I6" i="8"/>
  <c r="Q6" i="8"/>
  <c r="I40" i="8"/>
  <c r="Q40" i="8"/>
  <c r="I122" i="8"/>
  <c r="Q122" i="8"/>
  <c r="I171" i="8" l="1"/>
  <c r="Q171" i="8"/>
  <c r="I167" i="8"/>
  <c r="Q167" i="8"/>
  <c r="I169" i="8"/>
  <c r="Q169" i="8"/>
  <c r="I166" i="8"/>
  <c r="Q166" i="8"/>
  <c r="I5" i="3"/>
  <c r="I234" i="8"/>
  <c r="Q234" i="8"/>
  <c r="I233" i="8"/>
  <c r="Q233" i="8"/>
  <c r="I163" i="8" l="1"/>
  <c r="Q163" i="8"/>
  <c r="I161" i="8"/>
  <c r="Q161" i="8"/>
  <c r="I151" i="8"/>
  <c r="Q151" i="8"/>
  <c r="I152" i="8"/>
  <c r="Q152" i="8"/>
  <c r="I153" i="8"/>
  <c r="Q153" i="8"/>
  <c r="I156" i="8"/>
  <c r="Q156" i="8"/>
  <c r="I158" i="8"/>
  <c r="Q158" i="8"/>
  <c r="I112" i="3" l="1"/>
  <c r="I83" i="3"/>
  <c r="I74" i="3"/>
  <c r="I68" i="3"/>
  <c r="I64" i="3"/>
  <c r="I16" i="3"/>
  <c r="I164" i="8"/>
  <c r="Q164" i="8"/>
  <c r="I142" i="8"/>
  <c r="Q142" i="8"/>
  <c r="I96" i="8"/>
  <c r="Q96" i="8"/>
  <c r="I137" i="8"/>
  <c r="Q137" i="8"/>
  <c r="I187" i="8"/>
  <c r="Q187" i="8"/>
  <c r="I90" i="8"/>
  <c r="Q90" i="8"/>
  <c r="I251" i="8"/>
  <c r="Q251" i="8"/>
  <c r="I256" i="8"/>
  <c r="Q256" i="8"/>
  <c r="I80" i="8"/>
  <c r="Q80" i="8"/>
  <c r="I51" i="3" l="1"/>
  <c r="I50" i="3"/>
  <c r="I90" i="3"/>
  <c r="I63" i="3"/>
  <c r="I18" i="3"/>
  <c r="I15" i="3"/>
  <c r="I125" i="3"/>
  <c r="I124" i="3"/>
  <c r="I54" i="3"/>
  <c r="I53" i="3"/>
  <c r="I52" i="3"/>
  <c r="I49" i="3"/>
  <c r="I291" i="8" l="1"/>
  <c r="Q291" i="8"/>
  <c r="I289" i="8"/>
  <c r="Q289" i="8"/>
  <c r="I290" i="8"/>
  <c r="Q290" i="8"/>
  <c r="K39" i="21"/>
  <c r="Q105" i="3"/>
  <c r="Q73" i="3"/>
  <c r="Q108" i="3"/>
  <c r="Q92" i="3"/>
  <c r="I39" i="21"/>
  <c r="G39" i="21"/>
  <c r="E39" i="21"/>
  <c r="C39" i="21"/>
  <c r="I287" i="8"/>
  <c r="Q287" i="8"/>
  <c r="I288" i="8"/>
  <c r="Q288" i="8"/>
  <c r="I285" i="8"/>
  <c r="Q285" i="8"/>
  <c r="I286" i="8"/>
  <c r="Q286" i="8"/>
  <c r="I284" i="8"/>
  <c r="Q284" i="8"/>
  <c r="I283" i="8"/>
  <c r="Q283" i="8"/>
  <c r="I261" i="8"/>
  <c r="Q261" i="8"/>
  <c r="I17" i="3"/>
  <c r="Q17" i="3"/>
  <c r="I262" i="8"/>
  <c r="Q262" i="8"/>
  <c r="I265" i="8"/>
  <c r="Q265" i="8"/>
  <c r="I274" i="8"/>
  <c r="Q274" i="8"/>
  <c r="I292" i="8"/>
  <c r="Q292" i="8"/>
  <c r="I294" i="8"/>
  <c r="Q294" i="8"/>
  <c r="I259" i="8"/>
  <c r="Q259" i="8"/>
  <c r="I47" i="3" l="1"/>
  <c r="I46" i="3"/>
  <c r="I45" i="3"/>
  <c r="I43" i="3"/>
  <c r="I47" i="8" l="1"/>
  <c r="Q47" i="8"/>
  <c r="I121" i="8"/>
  <c r="Q121" i="8"/>
  <c r="I127" i="8"/>
  <c r="Q127" i="8"/>
  <c r="I293" i="8"/>
  <c r="Q293" i="8"/>
  <c r="I190" i="8"/>
  <c r="Q190" i="8"/>
  <c r="I250" i="8"/>
  <c r="Q250" i="8"/>
  <c r="I245" i="8"/>
  <c r="Q245" i="8"/>
  <c r="I139" i="8"/>
  <c r="Q139" i="8"/>
  <c r="I120" i="8"/>
  <c r="Q120" i="8"/>
  <c r="I5" i="8"/>
  <c r="Q5" i="8"/>
  <c r="I279" i="8" l="1"/>
  <c r="Q279" i="8"/>
  <c r="I278" i="8"/>
  <c r="Q278" i="8"/>
  <c r="I276" i="8"/>
  <c r="Q276" i="8"/>
  <c r="I277" i="8"/>
  <c r="Q277" i="8"/>
  <c r="I108" i="3" l="1"/>
  <c r="I105" i="3"/>
  <c r="I92" i="3"/>
  <c r="I73" i="3"/>
  <c r="I62" i="3"/>
  <c r="Q29" i="3"/>
  <c r="I29" i="3"/>
  <c r="I275" i="8"/>
  <c r="Q275" i="8"/>
  <c r="I106" i="8" l="1"/>
  <c r="Q106" i="8"/>
  <c r="I109" i="8"/>
  <c r="Q109" i="8"/>
  <c r="I67" i="8"/>
  <c r="Q67" i="8"/>
  <c r="K54" i="21" l="1"/>
  <c r="I54" i="21"/>
  <c r="G54" i="21"/>
  <c r="E54" i="21"/>
  <c r="C54" i="21"/>
  <c r="Q19" i="3"/>
  <c r="Q94" i="3"/>
  <c r="I112" i="8"/>
  <c r="Q112" i="8"/>
  <c r="I21" i="8"/>
  <c r="Q21" i="8"/>
  <c r="I32" i="8"/>
  <c r="Q32" i="8"/>
  <c r="I48" i="8"/>
  <c r="Q48" i="8"/>
  <c r="I81" i="8"/>
  <c r="Q81" i="8"/>
  <c r="I118" i="8"/>
  <c r="Q118" i="8"/>
  <c r="I264" i="8"/>
  <c r="Q264" i="8"/>
  <c r="I136" i="8"/>
  <c r="Q136" i="8"/>
  <c r="I148" i="8"/>
  <c r="Q148" i="8"/>
  <c r="Q95" i="3" l="1"/>
  <c r="I95" i="3"/>
  <c r="I268" i="8"/>
  <c r="Q268" i="8"/>
  <c r="I269" i="8"/>
  <c r="Q269" i="8"/>
  <c r="I124" i="8"/>
  <c r="Q124" i="8"/>
  <c r="I134" i="8"/>
  <c r="Q134" i="8"/>
  <c r="I135" i="8"/>
  <c r="Q135" i="8"/>
  <c r="I123" i="8"/>
  <c r="Q123" i="8"/>
  <c r="I70" i="8"/>
  <c r="Q70" i="8"/>
  <c r="I108" i="8"/>
  <c r="Q108" i="8"/>
  <c r="I39" i="8"/>
  <c r="Q39" i="8"/>
  <c r="I59" i="8"/>
  <c r="Q59" i="8"/>
  <c r="I58" i="8"/>
  <c r="Q58" i="8"/>
  <c r="I57" i="8"/>
  <c r="Q57" i="8"/>
  <c r="I15" i="8"/>
  <c r="Q15" i="8"/>
  <c r="I37" i="8"/>
  <c r="Q37" i="8"/>
  <c r="I38" i="8"/>
  <c r="Q38" i="8"/>
  <c r="Q145" i="3"/>
  <c r="I191" i="8" l="1"/>
  <c r="Q191" i="8"/>
  <c r="I280" i="8"/>
  <c r="Q280" i="8"/>
  <c r="I281" i="8"/>
  <c r="Q281" i="8"/>
  <c r="I189" i="8"/>
  <c r="I93" i="8"/>
  <c r="Q93" i="8"/>
  <c r="I272" i="8"/>
  <c r="Q272" i="8"/>
  <c r="I273" i="8"/>
  <c r="Q273" i="8"/>
  <c r="I43" i="8"/>
  <c r="Q43" i="8"/>
  <c r="I74" i="8"/>
  <c r="Q74" i="8"/>
  <c r="I260" i="8"/>
  <c r="Q260" i="8"/>
  <c r="I254" i="8"/>
  <c r="Q254" i="8"/>
  <c r="I7" i="8"/>
  <c r="I244" i="8"/>
  <c r="Q244" i="8"/>
  <c r="I253" i="8"/>
  <c r="Q253" i="8"/>
  <c r="Q267" i="8"/>
  <c r="I267" i="8"/>
  <c r="I248" i="8"/>
  <c r="Q248" i="8"/>
  <c r="I197" i="8"/>
  <c r="Q197" i="8"/>
  <c r="Q14" i="3" l="1"/>
  <c r="Q10" i="3"/>
  <c r="I36" i="8"/>
  <c r="Q36" i="8"/>
  <c r="I128" i="8"/>
  <c r="Q128" i="8"/>
  <c r="I125" i="8"/>
  <c r="I126" i="8"/>
  <c r="I119" i="8"/>
  <c r="Q119" i="8"/>
  <c r="I113" i="8"/>
  <c r="Q113" i="8"/>
  <c r="I116" i="8"/>
  <c r="I114" i="8"/>
  <c r="Q114" i="8"/>
  <c r="I115" i="8"/>
  <c r="Q115" i="8"/>
  <c r="I89" i="8"/>
  <c r="Q89" i="8"/>
  <c r="Q115" i="3" l="1"/>
  <c r="I266" i="8"/>
  <c r="Q64" i="8"/>
  <c r="I64" i="8"/>
  <c r="I56" i="8"/>
  <c r="L56" i="8"/>
  <c r="Q56" i="8"/>
  <c r="I31" i="8"/>
  <c r="Q31" i="8"/>
  <c r="Q239" i="8"/>
  <c r="I62" i="8"/>
  <c r="Q35" i="8"/>
  <c r="Q123" i="3"/>
  <c r="Q122" i="3"/>
  <c r="I123" i="3"/>
  <c r="I122" i="3"/>
  <c r="I150" i="8" l="1"/>
  <c r="Q150" i="8"/>
  <c r="I255" i="8"/>
  <c r="I34" i="8"/>
  <c r="Q34" i="8"/>
  <c r="I35" i="8"/>
  <c r="I84" i="8"/>
  <c r="I91" i="8"/>
  <c r="I95" i="8"/>
  <c r="I192" i="8"/>
  <c r="I204" i="8"/>
  <c r="Q204" i="8"/>
  <c r="I205" i="8"/>
  <c r="Q205" i="8"/>
  <c r="Q60" i="8" l="1"/>
  <c r="I60" i="8"/>
  <c r="I48" i="3"/>
  <c r="I44" i="3"/>
  <c r="I55" i="8"/>
  <c r="I85" i="8" l="1"/>
  <c r="Q85" i="8"/>
  <c r="I52" i="8"/>
  <c r="I141" i="8"/>
  <c r="Q141" i="8"/>
  <c r="I14" i="3"/>
  <c r="I10" i="3"/>
  <c r="I4" i="8" l="1"/>
  <c r="Q4" i="8"/>
  <c r="I170" i="8"/>
  <c r="I246" i="8"/>
  <c r="I247" i="8"/>
  <c r="I249" i="8"/>
  <c r="Q249" i="8"/>
  <c r="I252" i="8"/>
  <c r="Q252" i="8"/>
  <c r="I200" i="8"/>
  <c r="Q200" i="8"/>
  <c r="I144" i="8"/>
  <c r="Q144" i="8"/>
  <c r="I105" i="8" l="1"/>
  <c r="Q105" i="8"/>
  <c r="I107" i="8"/>
  <c r="Q107" i="8"/>
  <c r="I51" i="8" l="1"/>
  <c r="Q51" i="8"/>
  <c r="I30" i="8" l="1"/>
  <c r="I79" i="8"/>
  <c r="R128" i="8" s="1"/>
  <c r="Q79" i="8"/>
  <c r="I66" i="8"/>
  <c r="I131" i="8"/>
  <c r="I49" i="8" l="1"/>
  <c r="I50" i="8"/>
  <c r="I218" i="8"/>
  <c r="Q218" i="8"/>
  <c r="I198" i="8"/>
  <c r="Q198" i="8"/>
  <c r="I41" i="8"/>
  <c r="Q41" i="8"/>
  <c r="I42" i="8"/>
  <c r="Q42" i="8"/>
  <c r="I87" i="8"/>
  <c r="Q87" i="8"/>
  <c r="I101" i="8"/>
  <c r="Q101" i="8"/>
  <c r="I110" i="8"/>
  <c r="Q110" i="8"/>
  <c r="I154" i="8"/>
  <c r="Q154" i="8"/>
  <c r="I147" i="8"/>
  <c r="Q147" i="8"/>
  <c r="I3" i="8"/>
  <c r="Q3" i="8"/>
  <c r="I33" i="8"/>
  <c r="Q33" i="8"/>
  <c r="I9" i="8"/>
  <c r="I54" i="8"/>
  <c r="I77" i="8"/>
  <c r="Q77" i="8"/>
  <c r="I76" i="8"/>
  <c r="Q76" i="8"/>
  <c r="I100" i="8" l="1"/>
  <c r="Q100" i="8"/>
  <c r="I102" i="8"/>
  <c r="Q102" i="8"/>
  <c r="I103" i="8"/>
  <c r="Q103" i="8"/>
  <c r="I10" i="8"/>
  <c r="Q10" i="8"/>
  <c r="I53" i="8"/>
  <c r="Q53" i="8"/>
  <c r="Q120" i="3" l="1"/>
  <c r="I120" i="3"/>
  <c r="Q119" i="3"/>
  <c r="I119" i="3"/>
  <c r="Q111" i="3"/>
  <c r="I111" i="3"/>
  <c r="Q107" i="3"/>
  <c r="I107" i="3"/>
  <c r="Q106" i="3"/>
  <c r="I106" i="3"/>
  <c r="Q93" i="3"/>
  <c r="I93" i="3"/>
  <c r="Q91" i="3"/>
  <c r="I91" i="3"/>
  <c r="Q84" i="3"/>
  <c r="I84" i="3"/>
  <c r="Q81" i="3"/>
  <c r="I81" i="3"/>
  <c r="Q76" i="3"/>
  <c r="I76" i="3"/>
  <c r="Q75" i="3"/>
  <c r="I75" i="3"/>
  <c r="Q72" i="3"/>
  <c r="I72" i="3"/>
  <c r="Q69" i="3"/>
  <c r="I69" i="3"/>
  <c r="Q67" i="3"/>
  <c r="I67" i="3"/>
  <c r="Q66" i="3"/>
  <c r="I66" i="3"/>
  <c r="Q59" i="3"/>
  <c r="I59" i="3"/>
  <c r="I19" i="3"/>
  <c r="Q13" i="3"/>
  <c r="I13" i="3"/>
  <c r="Q150" i="3"/>
  <c r="I150" i="3"/>
  <c r="Q148" i="3"/>
  <c r="I148" i="3"/>
  <c r="Q130" i="3"/>
  <c r="I130" i="3"/>
  <c r="Q126" i="3"/>
  <c r="I126" i="3"/>
  <c r="I29" i="8" l="1"/>
  <c r="Q29" i="8"/>
  <c r="I99" i="8"/>
  <c r="Q99" i="8"/>
  <c r="I19" i="8"/>
  <c r="Q19" i="8"/>
  <c r="I199" i="8"/>
  <c r="Q199" i="8"/>
  <c r="I23" i="8"/>
  <c r="Q23" i="8"/>
  <c r="I24" i="8"/>
  <c r="Q24" i="8"/>
  <c r="I25" i="8"/>
  <c r="Q25" i="8"/>
  <c r="I26" i="8"/>
  <c r="Q26" i="8"/>
  <c r="I71" i="8"/>
  <c r="Q71" i="8"/>
  <c r="I104" i="8"/>
  <c r="Q104" i="8"/>
  <c r="I143" i="8"/>
  <c r="Q143" i="8"/>
  <c r="I155" i="8"/>
  <c r="Q155" i="8"/>
  <c r="I14" i="8"/>
  <c r="Q14" i="8"/>
  <c r="Q12" i="3" l="1"/>
  <c r="I12" i="3"/>
  <c r="Q11" i="3"/>
  <c r="I11" i="3"/>
  <c r="Q121" i="3"/>
  <c r="I121" i="3"/>
  <c r="I2" i="8"/>
  <c r="Q2" i="8"/>
  <c r="I130" i="8"/>
  <c r="R130" i="8" s="1"/>
  <c r="Q130" i="8"/>
  <c r="I140" i="8"/>
  <c r="Q140" i="8"/>
  <c r="I172" i="8"/>
  <c r="Q172" i="8"/>
  <c r="Q98" i="8"/>
  <c r="I98" i="8"/>
  <c r="Q97" i="8"/>
  <c r="I97" i="8"/>
  <c r="I28" i="8"/>
  <c r="I13" i="8"/>
  <c r="Q13" i="8"/>
  <c r="I44" i="8"/>
  <c r="I12" i="8"/>
  <c r="Q12" i="8"/>
  <c r="I18" i="8"/>
  <c r="Q18" i="8"/>
  <c r="I78" i="8"/>
  <c r="Q78" i="8"/>
  <c r="Q28" i="3"/>
  <c r="I73" i="21"/>
  <c r="G73" i="21"/>
  <c r="E73" i="21"/>
  <c r="I28" i="3"/>
  <c r="Q282" i="8" l="1"/>
  <c r="I282" i="8"/>
  <c r="Q296" i="8"/>
  <c r="I296" i="8"/>
  <c r="I20" i="8"/>
  <c r="I16" i="8"/>
  <c r="I94" i="3" l="1"/>
  <c r="Q147" i="3"/>
  <c r="I147" i="3"/>
  <c r="I69" i="8" l="1"/>
  <c r="I8" i="8"/>
  <c r="I2" i="3" l="1"/>
  <c r="Q270" i="8"/>
  <c r="I270" i="8"/>
  <c r="Q168" i="8"/>
  <c r="I168" i="8"/>
  <c r="Q160" i="8"/>
  <c r="I160" i="8"/>
  <c r="Q159" i="8"/>
  <c r="I159" i="8"/>
  <c r="Q132" i="8"/>
  <c r="I132" i="8"/>
  <c r="I68" i="8"/>
  <c r="I133" i="8"/>
  <c r="I63" i="8"/>
  <c r="I65" i="8"/>
  <c r="I61" i="8"/>
  <c r="Q61" i="8"/>
  <c r="I258" i="8"/>
  <c r="Q258" i="8"/>
  <c r="I257" i="8"/>
  <c r="Q257" i="8"/>
  <c r="I219" i="8"/>
  <c r="Q219" i="8"/>
  <c r="I157" i="8"/>
  <c r="Q157" i="8"/>
  <c r="I203" i="8"/>
  <c r="Q203" i="8"/>
  <c r="I111" i="8"/>
  <c r="Q111" i="8"/>
  <c r="I73" i="8"/>
  <c r="Q73" i="8"/>
  <c r="I45" i="8"/>
  <c r="Q45" i="8"/>
  <c r="I22" i="8"/>
  <c r="Q22" i="8"/>
  <c r="I176" i="8" l="1"/>
  <c r="I177" i="8"/>
  <c r="I180" i="8"/>
  <c r="Q149" i="8"/>
  <c r="I149" i="8"/>
  <c r="Q185" i="8"/>
  <c r="I185" i="8"/>
  <c r="Q184" i="8"/>
  <c r="I184" i="8"/>
  <c r="Q183" i="8"/>
  <c r="I183" i="8"/>
  <c r="Q182" i="8"/>
  <c r="I182" i="8"/>
  <c r="Q181" i="8"/>
  <c r="I181" i="8"/>
  <c r="Q179" i="8"/>
  <c r="I179" i="8"/>
  <c r="Q178" i="8"/>
  <c r="I178" i="8"/>
  <c r="Q241" i="8"/>
  <c r="I241" i="8"/>
  <c r="Q240" i="8"/>
  <c r="I240" i="8"/>
  <c r="I239" i="8"/>
  <c r="Q225" i="8"/>
  <c r="I225" i="8"/>
  <c r="Q224" i="8"/>
  <c r="I224" i="8"/>
  <c r="Q162" i="8"/>
  <c r="I162" i="8"/>
  <c r="Q145" i="8"/>
  <c r="I145" i="8"/>
  <c r="Q129" i="8"/>
  <c r="I129" i="8"/>
  <c r="R129" i="8" s="1"/>
  <c r="Q72" i="8"/>
  <c r="I72" i="8"/>
  <c r="Q27" i="8"/>
  <c r="I27" i="8"/>
  <c r="Q17" i="8"/>
  <c r="I17" i="8"/>
  <c r="Q83" i="8"/>
  <c r="I83" i="8"/>
  <c r="Q136" i="3"/>
  <c r="Q131" i="3"/>
  <c r="K1" i="8"/>
  <c r="I136" i="3" l="1"/>
  <c r="I35" i="3" l="1"/>
  <c r="I79" i="3"/>
  <c r="I8" i="3"/>
  <c r="I9" i="3"/>
  <c r="I70" i="3"/>
  <c r="I98" i="3"/>
  <c r="I99" i="3"/>
  <c r="I115" i="3"/>
  <c r="I96" i="3"/>
  <c r="I149" i="3"/>
  <c r="I65" i="3"/>
  <c r="I71" i="3"/>
  <c r="I100" i="3"/>
  <c r="I101" i="3"/>
  <c r="I113" i="3"/>
  <c r="I116" i="3"/>
  <c r="I117" i="3"/>
  <c r="I118" i="3"/>
  <c r="I97" i="3"/>
  <c r="I57" i="3"/>
  <c r="I114" i="3"/>
  <c r="I37" i="3"/>
  <c r="I36" i="3"/>
  <c r="I131" i="3"/>
  <c r="I132" i="3"/>
  <c r="I133" i="3"/>
  <c r="I134" i="3"/>
  <c r="I135" i="3"/>
  <c r="I137" i="3"/>
  <c r="I138" i="3"/>
  <c r="I140" i="3"/>
  <c r="I139" i="3"/>
  <c r="I141" i="3"/>
  <c r="I142" i="3"/>
  <c r="I143" i="3"/>
  <c r="I144" i="3"/>
  <c r="I146" i="3"/>
  <c r="I145" i="3"/>
  <c r="I89" i="21" l="1"/>
  <c r="K89" i="21"/>
  <c r="G89" i="21"/>
  <c r="E89" i="21"/>
  <c r="G104" i="21" l="1"/>
  <c r="K104" i="21"/>
  <c r="I104" i="21"/>
  <c r="E104" i="21"/>
  <c r="G121" i="21" l="1"/>
  <c r="M121" i="21"/>
  <c r="Q96" i="3"/>
  <c r="Q36" i="3"/>
  <c r="Q37" i="3"/>
  <c r="Q57" i="3"/>
  <c r="Q8" i="3"/>
  <c r="Q9" i="3"/>
  <c r="K121" i="21"/>
  <c r="I121" i="21"/>
  <c r="E121" i="21"/>
  <c r="Q70" i="3"/>
  <c r="Q99" i="3"/>
  <c r="Q98" i="3"/>
  <c r="K167" i="21" l="1"/>
  <c r="I167" i="21"/>
  <c r="G167" i="21"/>
  <c r="E167" i="21"/>
  <c r="M152" i="21"/>
  <c r="K152" i="21"/>
  <c r="I152" i="21"/>
  <c r="E146" i="21"/>
  <c r="E152" i="21" s="1"/>
  <c r="D146" i="21"/>
  <c r="G143" i="21"/>
  <c r="G152" i="21" s="1"/>
  <c r="F143" i="21"/>
  <c r="K138" i="21"/>
  <c r="I138" i="21"/>
  <c r="G138" i="21"/>
  <c r="E138" i="21"/>
  <c r="Q149" i="3"/>
  <c r="Q118" i="3"/>
  <c r="Q117" i="3"/>
  <c r="Q116" i="3"/>
  <c r="Q114" i="3"/>
  <c r="Q113" i="3"/>
  <c r="Q101" i="3"/>
  <c r="Q100" i="3"/>
  <c r="Q97" i="3"/>
  <c r="Q79" i="3"/>
  <c r="Q71" i="3"/>
  <c r="Q65" i="3"/>
  <c r="Q35" i="3"/>
  <c r="Q144" i="3"/>
  <c r="Q143" i="3"/>
  <c r="Q142" i="3"/>
  <c r="Q141" i="3"/>
  <c r="Q139" i="3"/>
  <c r="Q140" i="3"/>
  <c r="Q138" i="3"/>
  <c r="Q137" i="3"/>
  <c r="Q135" i="3"/>
  <c r="Q134" i="3"/>
  <c r="Q133" i="3"/>
  <c r="Q132" i="3"/>
  <c r="K1" i="3"/>
  <c r="F145" i="21"/>
  <c r="F148" i="21"/>
  <c r="F132" i="21"/>
  <c r="F149" i="21"/>
  <c r="F150" i="21"/>
  <c r="J130" i="21"/>
  <c r="H147" i="21"/>
  <c r="J147" i="21" l="1"/>
  <c r="D145" i="21"/>
</calcChain>
</file>

<file path=xl/comments1.xml><?xml version="1.0" encoding="utf-8"?>
<comments xmlns="http://schemas.openxmlformats.org/spreadsheetml/2006/main">
  <authors>
    <author>Usuário</author>
  </authors>
  <commentList>
    <comment ref="J2" authorId="0" shapeId="0">
      <text>
        <r>
          <rPr>
            <b/>
            <sz val="9"/>
            <color indexed="81"/>
            <rFont val="Segoe UI"/>
            <family val="2"/>
          </rPr>
          <t xml:space="preserve">Usuário: 12/10
</t>
        </r>
      </text>
    </comment>
    <comment ref="J3" authorId="0" shapeId="0">
      <text>
        <r>
          <rPr>
            <b/>
            <sz val="9"/>
            <color indexed="81"/>
            <rFont val="Segoe UI"/>
            <family val="2"/>
          </rPr>
          <t xml:space="preserve">Usuário: 12/10
</t>
        </r>
      </text>
    </comment>
    <comment ref="J14" authorId="0" shapeId="0">
      <text>
        <r>
          <rPr>
            <b/>
            <sz val="9"/>
            <color indexed="81"/>
            <rFont val="Segoe UI"/>
            <family val="2"/>
          </rPr>
          <t xml:space="preserve">Usuário: 31/10
</t>
        </r>
      </text>
    </comment>
    <comment ref="J25" authorId="0" shapeId="0">
      <text>
        <r>
          <rPr>
            <b/>
            <sz val="9"/>
            <color indexed="81"/>
            <rFont val="Segoe UI"/>
            <family val="2"/>
          </rPr>
          <t xml:space="preserve">Usuário: 25/10
</t>
        </r>
      </text>
    </comment>
    <comment ref="J26" authorId="0" shapeId="0">
      <text>
        <r>
          <rPr>
            <b/>
            <sz val="9"/>
            <color indexed="81"/>
            <rFont val="Segoe UI"/>
            <family val="2"/>
          </rPr>
          <t xml:space="preserve">Usuário: 31/10
</t>
        </r>
      </text>
    </comment>
    <comment ref="J34" authorId="0" shapeId="0">
      <text>
        <r>
          <rPr>
            <b/>
            <sz val="9"/>
            <color indexed="81"/>
            <rFont val="Segoe UI"/>
            <family val="2"/>
          </rPr>
          <t xml:space="preserve">Usuário: 10/11
</t>
        </r>
      </text>
    </comment>
    <comment ref="J36" authorId="0" shapeId="0">
      <text>
        <r>
          <rPr>
            <b/>
            <sz val="9"/>
            <color indexed="81"/>
            <rFont val="Segoe UI"/>
            <family val="2"/>
          </rPr>
          <t xml:space="preserve">Usuário: 22/11
</t>
        </r>
      </text>
    </comment>
    <comment ref="J41" authorId="0" shapeId="0">
      <text>
        <r>
          <rPr>
            <b/>
            <sz val="9"/>
            <color indexed="81"/>
            <rFont val="Segoe UI"/>
            <family val="2"/>
          </rPr>
          <t xml:space="preserve">Usuário: mauro pediu para emitir a Nfe
</t>
        </r>
      </text>
    </comment>
    <comment ref="J42" authorId="0" shapeId="0">
      <text>
        <r>
          <rPr>
            <b/>
            <sz val="9"/>
            <color indexed="81"/>
            <rFont val="Segoe UI"/>
            <family val="2"/>
          </rPr>
          <t xml:space="preserve">Usuário: mauro pediu para emitir a Nfe
</t>
        </r>
      </text>
    </comment>
    <comment ref="J71" authorId="0" shapeId="0">
      <text>
        <r>
          <rPr>
            <b/>
            <sz val="9"/>
            <color indexed="81"/>
            <rFont val="Segoe UI"/>
            <family val="2"/>
          </rPr>
          <t xml:space="preserve">Usuário: 27/10
</t>
        </r>
      </text>
    </comment>
    <comment ref="J87" authorId="0" shapeId="0">
      <text>
        <r>
          <rPr>
            <b/>
            <sz val="9"/>
            <color indexed="81"/>
            <rFont val="Segoe UI"/>
            <family val="2"/>
          </rPr>
          <t>Usuário: 12/10
mauro pediu para emitir a Nfe</t>
        </r>
      </text>
    </comment>
    <comment ref="J88" authorId="0" shapeId="0">
      <text>
        <r>
          <rPr>
            <b/>
            <sz val="9"/>
            <color indexed="81"/>
            <rFont val="Segoe UI"/>
            <family val="2"/>
          </rPr>
          <t xml:space="preserve">Usuário: 30/10
</t>
        </r>
      </text>
    </comment>
    <comment ref="J96" authorId="0" shapeId="0">
      <text>
        <r>
          <rPr>
            <b/>
            <sz val="9"/>
            <color indexed="81"/>
            <rFont val="Segoe UI"/>
            <family val="2"/>
          </rPr>
          <t xml:space="preserve">Usuário: 06/11
</t>
        </r>
      </text>
    </comment>
    <comment ref="I97" authorId="0" shapeId="0">
      <text>
        <r>
          <rPr>
            <b/>
            <sz val="9"/>
            <color indexed="81"/>
            <rFont val="Segoe UI"/>
            <family val="2"/>
          </rPr>
          <t xml:space="preserve">Usuário: MATERIAL DO CLIENTE NÃO DEU PRA COMPLETAR O LOTE
</t>
        </r>
      </text>
    </comment>
    <comment ref="J101" authorId="0" shapeId="0">
      <text>
        <r>
          <rPr>
            <b/>
            <sz val="9"/>
            <color indexed="81"/>
            <rFont val="Segoe UI"/>
            <family val="2"/>
          </rPr>
          <t>Usuário: mauro pediu para emitir a Nfe</t>
        </r>
      </text>
    </comment>
    <comment ref="J109" authorId="0" shapeId="0">
      <text>
        <r>
          <rPr>
            <b/>
            <sz val="9"/>
            <color indexed="81"/>
            <rFont val="Segoe UI"/>
            <family val="2"/>
          </rPr>
          <t xml:space="preserve">Usuário: Cliente pediu urgencia no item STB0011954 por conta disso atrasou esse item 
</t>
        </r>
      </text>
    </comment>
    <comment ref="J110" authorId="0" shapeId="0">
      <text>
        <r>
          <rPr>
            <b/>
            <sz val="9"/>
            <color indexed="81"/>
            <rFont val="Segoe UI"/>
            <family val="2"/>
          </rPr>
          <t>Usuário: mauro pediu para emitir a Nfe</t>
        </r>
      </text>
    </comment>
    <comment ref="J118" authorId="0" shapeId="0">
      <text>
        <r>
          <rPr>
            <b/>
            <sz val="9"/>
            <color indexed="81"/>
            <rFont val="Segoe UI"/>
            <family val="2"/>
          </rPr>
          <t xml:space="preserve">Usuário: 31/10
</t>
        </r>
      </text>
    </comment>
    <comment ref="J148" authorId="0" shapeId="0">
      <text>
        <r>
          <rPr>
            <b/>
            <sz val="9"/>
            <color indexed="81"/>
            <rFont val="Segoe UI"/>
            <family val="2"/>
          </rPr>
          <t xml:space="preserve">Usuário:29/11
</t>
        </r>
      </text>
    </comment>
    <comment ref="J198" authorId="0" shapeId="0">
      <text>
        <r>
          <rPr>
            <b/>
            <sz val="9"/>
            <color indexed="81"/>
            <rFont val="Segoe UI"/>
            <family val="2"/>
          </rPr>
          <t>Usuário: mauro pediu para emitir a Nfe</t>
        </r>
      </text>
    </comment>
    <comment ref="J200" authorId="0" shapeId="0">
      <text>
        <r>
          <rPr>
            <b/>
            <sz val="9"/>
            <color indexed="81"/>
            <rFont val="Segoe UI"/>
            <family val="2"/>
          </rPr>
          <t xml:space="preserve">Usuário:30/10
</t>
        </r>
      </text>
    </comment>
    <comment ref="J218" authorId="0" shapeId="0">
      <text>
        <r>
          <rPr>
            <b/>
            <sz val="9"/>
            <color indexed="81"/>
            <rFont val="Segoe UI"/>
            <family val="2"/>
          </rPr>
          <t xml:space="preserve">Usuário: mauro pediu para emitir a Nfe
</t>
        </r>
      </text>
    </comment>
    <comment ref="J243" authorId="0" shapeId="0">
      <text>
        <r>
          <rPr>
            <b/>
            <sz val="9"/>
            <color indexed="81"/>
            <rFont val="Segoe UI"/>
            <family val="2"/>
          </rPr>
          <t xml:space="preserve">Usuário:22/11
</t>
        </r>
      </text>
    </comment>
    <comment ref="J272" authorId="0" shapeId="0">
      <text>
        <r>
          <rPr>
            <b/>
            <sz val="9"/>
            <color indexed="81"/>
            <rFont val="Segoe UI"/>
            <family val="2"/>
          </rPr>
          <t xml:space="preserve">Usuário: 22/11
</t>
        </r>
      </text>
    </comment>
    <comment ref="J279" authorId="0" shapeId="0">
      <text>
        <r>
          <rPr>
            <b/>
            <sz val="9"/>
            <color indexed="81"/>
            <rFont val="Segoe UI"/>
            <family val="2"/>
          </rPr>
          <t xml:space="preserve">Usuário: Cliente pediu urgencia no item STB0011954 por conta disso atrasou esse item 
</t>
        </r>
      </text>
    </comment>
    <comment ref="I288" authorId="0" shapeId="0">
      <text>
        <r>
          <rPr>
            <b/>
            <sz val="9"/>
            <color indexed="81"/>
            <rFont val="Segoe UI"/>
            <family val="2"/>
          </rPr>
          <t xml:space="preserve">Usuário: faturando esse pedido voltar o preço anterior no sistema 
</t>
        </r>
      </text>
    </comment>
  </commentList>
</comments>
</file>

<file path=xl/comments2.xml><?xml version="1.0" encoding="utf-8"?>
<comments xmlns="http://schemas.openxmlformats.org/spreadsheetml/2006/main">
  <authors>
    <author>Usuário</author>
  </authors>
  <commentList>
    <comment ref="J8" authorId="0" shapeId="0">
      <text>
        <r>
          <rPr>
            <b/>
            <sz val="9"/>
            <color indexed="81"/>
            <rFont val="Segoe UI"/>
            <family val="2"/>
          </rPr>
          <t xml:space="preserve">Usuário: 06/11
</t>
        </r>
      </text>
    </comment>
    <comment ref="J9" authorId="0" shapeId="0">
      <text>
        <r>
          <rPr>
            <b/>
            <sz val="9"/>
            <color indexed="81"/>
            <rFont val="Segoe UI"/>
            <family val="2"/>
          </rPr>
          <t xml:space="preserve">Usuário:22/11
</t>
        </r>
      </text>
    </comment>
    <comment ref="J35" authorId="0" shapeId="0">
      <text>
        <r>
          <rPr>
            <b/>
            <sz val="9"/>
            <color indexed="81"/>
            <rFont val="Segoe UI"/>
            <family val="2"/>
          </rPr>
          <t xml:space="preserve">Usuário: 30/10
</t>
        </r>
      </text>
    </comment>
    <comment ref="J70" authorId="0" shapeId="0">
      <text>
        <r>
          <rPr>
            <b/>
            <sz val="9"/>
            <color indexed="81"/>
            <rFont val="Segoe UI"/>
            <family val="2"/>
          </rPr>
          <t xml:space="preserve">Usuário: 22/11
</t>
        </r>
      </text>
    </comment>
    <comment ref="J79" authorId="0" shapeId="0">
      <text>
        <r>
          <rPr>
            <b/>
            <sz val="9"/>
            <color indexed="81"/>
            <rFont val="Segoe UI"/>
            <family val="2"/>
          </rPr>
          <t xml:space="preserve">Usuário: 30/10
</t>
        </r>
      </text>
    </comment>
    <comment ref="J98" authorId="0" shapeId="0">
      <text>
        <r>
          <rPr>
            <b/>
            <sz val="9"/>
            <color indexed="81"/>
            <rFont val="Segoe UI"/>
            <family val="2"/>
          </rPr>
          <t xml:space="preserve">Usuário: 22/11
</t>
        </r>
      </text>
    </comment>
    <comment ref="J99" authorId="0" shapeId="0">
      <text>
        <r>
          <rPr>
            <b/>
            <sz val="9"/>
            <color indexed="81"/>
            <rFont val="Segoe UI"/>
            <family val="2"/>
          </rPr>
          <t xml:space="preserve">Usuário: 22/11
</t>
        </r>
      </text>
    </comment>
    <comment ref="J114" authorId="0" shapeId="0">
      <text>
        <r>
          <rPr>
            <b/>
            <sz val="9"/>
            <color indexed="81"/>
            <rFont val="Segoe UI"/>
            <family val="2"/>
          </rPr>
          <t xml:space="preserve">Usuário:28/12
</t>
        </r>
      </text>
    </comment>
    <comment ref="J115" authorId="0" shapeId="0">
      <text>
        <r>
          <rPr>
            <b/>
            <sz val="9"/>
            <color indexed="81"/>
            <rFont val="Segoe UI"/>
            <family val="2"/>
          </rPr>
          <t xml:space="preserve">Usuário: estava para entrega rid a24/11 e mudou para 29/02/11
</t>
        </r>
      </text>
    </comment>
  </commentList>
</comments>
</file>

<file path=xl/sharedStrings.xml><?xml version="1.0" encoding="utf-8"?>
<sst xmlns="http://schemas.openxmlformats.org/spreadsheetml/2006/main" count="2225" uniqueCount="443">
  <si>
    <t>NUMERO PEDIDO</t>
  </si>
  <si>
    <t>LINHA PEDIDO</t>
  </si>
  <si>
    <t xml:space="preserve">DESCRIÇÃO DO ITEM </t>
  </si>
  <si>
    <t>QTDE INICIAL</t>
  </si>
  <si>
    <t>DATA ENTREGA</t>
  </si>
  <si>
    <t>JANELA</t>
  </si>
  <si>
    <t>-</t>
  </si>
  <si>
    <t>CLIENTE</t>
  </si>
  <si>
    <t>NIPPLE</t>
  </si>
  <si>
    <t>JCB</t>
  </si>
  <si>
    <t>OI</t>
  </si>
  <si>
    <t>VALOR UN.</t>
  </si>
  <si>
    <t>VALOR LOTE</t>
  </si>
  <si>
    <t>VERBAL</t>
  </si>
  <si>
    <t>PROD.</t>
  </si>
  <si>
    <t>FALTA                ENTREGAR</t>
  </si>
  <si>
    <t>STAUFF</t>
  </si>
  <si>
    <t>1F40068M0806-S</t>
  </si>
  <si>
    <t>FF2581T1-1216S</t>
  </si>
  <si>
    <t>HE01337-1-4</t>
  </si>
  <si>
    <t>HG4003-8</t>
  </si>
  <si>
    <t>PORCA</t>
  </si>
  <si>
    <t>45/908000</t>
  </si>
  <si>
    <t>ARRUELA</t>
  </si>
  <si>
    <t>ADAPTADOR</t>
  </si>
  <si>
    <t>816/90176</t>
  </si>
  <si>
    <t>CLIENTES</t>
  </si>
  <si>
    <t>DATA NF</t>
  </si>
  <si>
    <t>Z75646</t>
  </si>
  <si>
    <t>24H1391-BRA</t>
  </si>
  <si>
    <t>332/D6643</t>
  </si>
  <si>
    <t>DAVIK/DURAN</t>
  </si>
  <si>
    <t>AEROQUIP</t>
  </si>
  <si>
    <t>1620/2060</t>
  </si>
  <si>
    <t>BOBST</t>
  </si>
  <si>
    <t>09420005AR</t>
  </si>
  <si>
    <t>336/F1433</t>
  </si>
  <si>
    <t>FW1874-1212S</t>
  </si>
  <si>
    <t>ESTOQUE</t>
  </si>
  <si>
    <t>0 107406200</t>
  </si>
  <si>
    <t>BSA293421008-211013110301</t>
  </si>
  <si>
    <t>BUSHING</t>
  </si>
  <si>
    <t>HENNING/MHB</t>
  </si>
  <si>
    <t>KIT TUBOS BOBST - TUBOS CURVOS ZINCADO</t>
  </si>
  <si>
    <t>STB0011943 CMTLI 10L-DKO</t>
  </si>
  <si>
    <t>10L TEE DKO</t>
  </si>
  <si>
    <t>STB0011944 CTII 15L</t>
  </si>
  <si>
    <t>TEE IGUAL 15L</t>
  </si>
  <si>
    <t>STB0011945 CMTVLI 25S</t>
  </si>
  <si>
    <t>TEE PORCA DKO</t>
  </si>
  <si>
    <t>STB0011946 CMTVLI 22L</t>
  </si>
  <si>
    <t>STB0011947 CUMIDIN 10LX9/16 UNF</t>
  </si>
  <si>
    <t xml:space="preserve"> UNIAO MACHO</t>
  </si>
  <si>
    <t xml:space="preserve">STB0011953  CAG90-603-25S W4 </t>
  </si>
  <si>
    <t xml:space="preserve">JOELHO 25S / FLANGE 1-6000 PSI </t>
  </si>
  <si>
    <t>STB0011954 CJMLI 10L</t>
  </si>
  <si>
    <t>JOELHO PONTA LISA</t>
  </si>
  <si>
    <t>GATES</t>
  </si>
  <si>
    <t>18MM-22MBTL90</t>
  </si>
  <si>
    <t>39-10375</t>
  </si>
  <si>
    <t>16GS</t>
  </si>
  <si>
    <t>39-11610</t>
  </si>
  <si>
    <t>8G-10MFFMM NET-G</t>
  </si>
  <si>
    <t>39-11612</t>
  </si>
  <si>
    <t>12NGB-16MFFORMM</t>
  </si>
  <si>
    <t>39-11791</t>
  </si>
  <si>
    <t>16NG-16MJ NET G</t>
  </si>
  <si>
    <t>39-15208</t>
  </si>
  <si>
    <t>12G-12MJBKHD</t>
  </si>
  <si>
    <t>39-8113</t>
  </si>
  <si>
    <t>CAPA 10C14</t>
  </si>
  <si>
    <t>7100-0227NM</t>
  </si>
  <si>
    <t>8NG-8MB</t>
  </si>
  <si>
    <t>7100-0449NM</t>
  </si>
  <si>
    <t>12NG-12FL90</t>
  </si>
  <si>
    <t>7100-19170SNM</t>
  </si>
  <si>
    <t>6SNMG-12FDLORX90</t>
  </si>
  <si>
    <t>71030937NM</t>
  </si>
  <si>
    <t>16NG-12FJXNET-G</t>
  </si>
  <si>
    <t>71034704NM</t>
  </si>
  <si>
    <t>4NG-4FJX90S</t>
  </si>
  <si>
    <t>71034725NM</t>
  </si>
  <si>
    <t>6NG-8FJX90M</t>
  </si>
  <si>
    <t>71034726NM</t>
  </si>
  <si>
    <t>6NG-8FJX90L</t>
  </si>
  <si>
    <t>71034744NM</t>
  </si>
  <si>
    <t>71034746NM</t>
  </si>
  <si>
    <t xml:space="preserve">12NG-12FJX90L  </t>
  </si>
  <si>
    <t>71041914NM</t>
  </si>
  <si>
    <t>8NG-6FFORX NETG</t>
  </si>
  <si>
    <t>71042216NM</t>
  </si>
  <si>
    <t>10NG-8FFORX45 NET-G</t>
  </si>
  <si>
    <t>71042414NM</t>
  </si>
  <si>
    <t>4G-8FFORX90S</t>
  </si>
  <si>
    <t>71042440NM</t>
  </si>
  <si>
    <t>8NG-8FFORX90M</t>
  </si>
  <si>
    <t>71042455NM</t>
  </si>
  <si>
    <t>71042463NM</t>
  </si>
  <si>
    <t>12NG-10FFORX90S NET G</t>
  </si>
  <si>
    <t>7253-24545</t>
  </si>
  <si>
    <t>10MJ-10BKHD</t>
  </si>
  <si>
    <t>7253-BR0021</t>
  </si>
  <si>
    <t>18MM-8MJ90</t>
  </si>
  <si>
    <t>7253-BR0023</t>
  </si>
  <si>
    <t>14MJ-14BKHD</t>
  </si>
  <si>
    <t>7253-BR0024</t>
  </si>
  <si>
    <t>18MM-PL22</t>
  </si>
  <si>
    <t>7266-00375</t>
  </si>
  <si>
    <t>7334-0377</t>
  </si>
  <si>
    <t>COLAR PRENS 16C12M</t>
  </si>
  <si>
    <t>8100-00018NM</t>
  </si>
  <si>
    <t>8NG-8MJBKH</t>
  </si>
  <si>
    <t>8100-00022NM</t>
  </si>
  <si>
    <t>8NG-12MLSP90.46.5</t>
  </si>
  <si>
    <t>8100-00058SNM</t>
  </si>
  <si>
    <t>4SNMG-8FDLORX90.54</t>
  </si>
  <si>
    <t>8100-00072-R</t>
  </si>
  <si>
    <t>16NGGBR-16FHL-125</t>
  </si>
  <si>
    <t>8100-00073-C</t>
  </si>
  <si>
    <t>16NGSBR-16FLH90M</t>
  </si>
  <si>
    <t>8100-00076-C</t>
  </si>
  <si>
    <t>16NGSBR-16FLHMLBT</t>
  </si>
  <si>
    <t>8100-00077-R</t>
  </si>
  <si>
    <t>16NGSBR-16FLHFF-125</t>
  </si>
  <si>
    <t>8100-00213</t>
  </si>
  <si>
    <t>10GS-8FFORX</t>
  </si>
  <si>
    <t>810300029NM</t>
  </si>
  <si>
    <t>810400140NM</t>
  </si>
  <si>
    <t>8200-00002</t>
  </si>
  <si>
    <t>8NC14-16FDHORX90</t>
  </si>
  <si>
    <t>8200-00030</t>
  </si>
  <si>
    <t>14-12FFORX60</t>
  </si>
  <si>
    <t>B04006-14-6</t>
  </si>
  <si>
    <t>6BP-14BJ</t>
  </si>
  <si>
    <t>D09001-18</t>
  </si>
  <si>
    <t>ARRUELA COBRE 18MM</t>
  </si>
  <si>
    <t>D09010-6</t>
  </si>
  <si>
    <t>COLAR PRENS MANG 3/8</t>
  </si>
  <si>
    <t>F13000-16</t>
  </si>
  <si>
    <t>16C5C</t>
  </si>
  <si>
    <t>N02033-16-16-8</t>
  </si>
  <si>
    <t>16NGS-16FLH.200</t>
  </si>
  <si>
    <t>N02049-4-2</t>
  </si>
  <si>
    <t>4NG-2M-NPSM</t>
  </si>
  <si>
    <t>N17015-14-14</t>
  </si>
  <si>
    <t>14NBP-14FJX</t>
  </si>
  <si>
    <t>N17022-10-18</t>
  </si>
  <si>
    <t>10BP-FM 18MM</t>
  </si>
  <si>
    <t>71034605NM</t>
  </si>
  <si>
    <t>4NG-4FJX45 NET-G</t>
  </si>
  <si>
    <t>TEE</t>
  </si>
  <si>
    <t>CONEXÃO</t>
  </si>
  <si>
    <t>810400002NM</t>
  </si>
  <si>
    <t>6NG-6FFORX117.25 NET-G</t>
  </si>
  <si>
    <t>STB0011961</t>
  </si>
  <si>
    <t>STB0011951 CUMI 22LX7/8 UNF</t>
  </si>
  <si>
    <t>UNIÃO MACHO</t>
  </si>
  <si>
    <t>HE0690-5-13B</t>
  </si>
  <si>
    <t>DAVIK/HIDRONTEX</t>
  </si>
  <si>
    <t>39-1703</t>
  </si>
  <si>
    <t>PORCA 14FJX</t>
  </si>
  <si>
    <t>estoque</t>
  </si>
  <si>
    <t>U0507-87211400</t>
  </si>
  <si>
    <t>1113282510/1212</t>
  </si>
  <si>
    <t>JOELHO</t>
  </si>
  <si>
    <t>adaptador</t>
  </si>
  <si>
    <t>ALFAGOMMA</t>
  </si>
  <si>
    <t>10MJ10MJ</t>
  </si>
  <si>
    <t>MAIO</t>
  </si>
  <si>
    <t>ATRASADO</t>
  </si>
  <si>
    <t>JUNHO</t>
  </si>
  <si>
    <t>JULHO</t>
  </si>
  <si>
    <t>AGOSTO</t>
  </si>
  <si>
    <t>R$</t>
  </si>
  <si>
    <t>PROGRAMAÇÃO - 27/04 ref. 2023</t>
  </si>
  <si>
    <t>PROGRAMAÇÃO - 27/04 ref. 2022</t>
  </si>
  <si>
    <t>DK/HIDRONTEX</t>
  </si>
  <si>
    <t>HENNING/BLU.</t>
  </si>
  <si>
    <t>Qtdade</t>
  </si>
  <si>
    <t>12NG-12FJX90S (NET-G)</t>
  </si>
  <si>
    <t>10NG-10FFORX90M (NET-G)</t>
  </si>
  <si>
    <t>EJ4713-0808</t>
  </si>
  <si>
    <t>SETEMBRO</t>
  </si>
  <si>
    <t>OUTUBRO</t>
  </si>
  <si>
    <t>AUTOMAX</t>
  </si>
  <si>
    <t>BERTEL</t>
  </si>
  <si>
    <t>POZZITECH</t>
  </si>
  <si>
    <t>PROGRAMAÇÃO -14/07/2023</t>
  </si>
  <si>
    <t>32PC2F4</t>
  </si>
  <si>
    <t>10NG-8FJX25.13 (NET-G)</t>
  </si>
  <si>
    <t>4NG-6FFORX117.25 (NET-G)</t>
  </si>
  <si>
    <t>7334-45805</t>
  </si>
  <si>
    <t>COLAR PRENSAVEL 10M3K</t>
  </si>
  <si>
    <t>conexão</t>
  </si>
  <si>
    <t xml:space="preserve">NIPLE </t>
  </si>
  <si>
    <t>1SA24FJA24</t>
  </si>
  <si>
    <t>NOVEMBRO</t>
  </si>
  <si>
    <t>PROGRAMAÇÃO -29/08/2023</t>
  </si>
  <si>
    <t>CAM SYSTEM</t>
  </si>
  <si>
    <t>DEZEMBRO</t>
  </si>
  <si>
    <t xml:space="preserve"> </t>
  </si>
  <si>
    <t>MACHO METRICO</t>
  </si>
  <si>
    <t>COMPRADO</t>
  </si>
  <si>
    <t>21225/1</t>
  </si>
  <si>
    <t>HB-JDX4398723</t>
  </si>
  <si>
    <t>FEMALE</t>
  </si>
  <si>
    <t>336/F4464</t>
  </si>
  <si>
    <t>K-PN740AOS3290VA-X</t>
  </si>
  <si>
    <t>PORCA LATÃO</t>
  </si>
  <si>
    <t>DAVIK/HANSAFLEX</t>
  </si>
  <si>
    <t>PROGRAMAÇÃO -25/09/2023</t>
  </si>
  <si>
    <t>METALCRYO</t>
  </si>
  <si>
    <t>MC392/2023</t>
  </si>
  <si>
    <t>MCBUJ1010</t>
  </si>
  <si>
    <t>MCBOC1008</t>
  </si>
  <si>
    <t>BUJÃO</t>
  </si>
  <si>
    <t>BOCAL</t>
  </si>
  <si>
    <t>21186/1</t>
  </si>
  <si>
    <t>U0032-816-90584</t>
  </si>
  <si>
    <t>U0032-333-E5877</t>
  </si>
  <si>
    <t>U0032-335-04512-06</t>
  </si>
  <si>
    <t>FEMEA BSPP 1-1/4-11 SOLDA TIG DIAM. 32X2,0</t>
  </si>
  <si>
    <t>FEMEA BSPP 3/4-14 SOLDA TIG 32X2,0</t>
  </si>
  <si>
    <t>FEMEA BSPP 1/2-14 SOLDA TIG DIAM. 20X2,5</t>
  </si>
  <si>
    <t>PROGRAMAÇÃO -05/10/2023</t>
  </si>
  <si>
    <t>até dia 07/10</t>
  </si>
  <si>
    <t>01/10-07/10</t>
  </si>
  <si>
    <t>08/10-14/10</t>
  </si>
  <si>
    <t>15/10-21/10</t>
  </si>
  <si>
    <t>22/10-28/10</t>
  </si>
  <si>
    <t>29/10-31/10</t>
  </si>
  <si>
    <t>Nfe</t>
  </si>
  <si>
    <t>Qtdade entregue</t>
  </si>
  <si>
    <t xml:space="preserve">QTDEDE INICIAL PEDIDO </t>
  </si>
  <si>
    <t>STB0011953  CAG90-603-25S W2</t>
  </si>
  <si>
    <t>STB0011953  CAG90-603-25S W3</t>
  </si>
  <si>
    <t>332/D6642</t>
  </si>
  <si>
    <t>K-PN740AOS3245VA-X</t>
  </si>
  <si>
    <t>11.002-16-12</t>
  </si>
  <si>
    <t>24H1263-BRA</t>
  </si>
  <si>
    <t>FW1875-1212S</t>
  </si>
  <si>
    <t>FW2254-1008S</t>
  </si>
  <si>
    <t>FW2254-1208S</t>
  </si>
  <si>
    <t>HE002050-3-20-20</t>
  </si>
  <si>
    <t>HE02162-2-12-8</t>
  </si>
  <si>
    <t>HE02163-11</t>
  </si>
  <si>
    <t>DAVIK/HANSAFLEX blumenau</t>
  </si>
  <si>
    <t>DAVIK/AUTOMAX</t>
  </si>
  <si>
    <t>12002498KN</t>
  </si>
  <si>
    <t>MFA 1/2X1/2 BSPXF90</t>
  </si>
  <si>
    <t>NIPPLE TERM. REUSÁVEL 13/16-20UNEF</t>
  </si>
  <si>
    <t>N17013-16-16</t>
  </si>
  <si>
    <t>16BP-16ER</t>
  </si>
  <si>
    <t>7253-22915</t>
  </si>
  <si>
    <t>8MJ-PLUG</t>
  </si>
  <si>
    <t>NÚMERO PEDIDO</t>
  </si>
  <si>
    <t>QTDE PEDIDO</t>
  </si>
  <si>
    <t xml:space="preserve">10MJ10MJ                      </t>
  </si>
  <si>
    <t xml:space="preserve">71034746NM     </t>
  </si>
  <si>
    <t xml:space="preserve">12NG-12FJX90L                 </t>
  </si>
  <si>
    <t>AMOA -12BPX1-1/16 UNF+O</t>
  </si>
  <si>
    <t>MFA 1/2X1/2 BSPXF91</t>
  </si>
  <si>
    <t>devolução cliente</t>
  </si>
  <si>
    <t>JMOA-12BPX1-1/16UNF+O</t>
  </si>
  <si>
    <t>Número de Item</t>
  </si>
  <si>
    <t>Data Vencimento</t>
  </si>
  <si>
    <t>Quantidade</t>
  </si>
  <si>
    <t>Status</t>
  </si>
  <si>
    <t>Firme</t>
  </si>
  <si>
    <t>HE002052-3-20-20</t>
  </si>
  <si>
    <t>JOTAFLEX</t>
  </si>
  <si>
    <t>CATA 22X12F1,2 ESP</t>
  </si>
  <si>
    <t>TERMINAL PONTA LISA</t>
  </si>
  <si>
    <t xml:space="preserve">JMOA 3/4 UNF X 3/8 BSP PAINEL </t>
  </si>
  <si>
    <t>1612/2057</t>
  </si>
  <si>
    <t>332/F1308</t>
  </si>
  <si>
    <t>5/16 SAE X 1/8 NPT</t>
  </si>
  <si>
    <t>402/E1317</t>
  </si>
  <si>
    <t>PROGRAMAÇÃO -13/10/2023</t>
  </si>
  <si>
    <t>DURAN</t>
  </si>
  <si>
    <t>16MM-8MJ90</t>
  </si>
  <si>
    <t>DAVIK/POZZITECH</t>
  </si>
  <si>
    <t>070320-6-6C+O L40</t>
  </si>
  <si>
    <t>CURVA 45º</t>
  </si>
  <si>
    <t xml:space="preserve">71041914NM     </t>
  </si>
  <si>
    <t xml:space="preserve">8NG-6FFORX NET-G              </t>
  </si>
  <si>
    <t xml:space="preserve">39-11612       </t>
  </si>
  <si>
    <t xml:space="preserve">12NG-16MFFOR                  </t>
  </si>
  <si>
    <t xml:space="preserve">71034704NM     </t>
  </si>
  <si>
    <t xml:space="preserve">4NG-4FJX90S NET-G             </t>
  </si>
  <si>
    <t xml:space="preserve">810400140NM    </t>
  </si>
  <si>
    <t xml:space="preserve">4NG-6FFORX117.25 (NET-G)      </t>
  </si>
  <si>
    <t xml:space="preserve">B04006-14-6    </t>
  </si>
  <si>
    <t xml:space="preserve">6BP-14BJ                      </t>
  </si>
  <si>
    <t xml:space="preserve">71034605NM     </t>
  </si>
  <si>
    <t xml:space="preserve">4NG-4FJX45 NET-G              </t>
  </si>
  <si>
    <t>1W20FHG20.060</t>
  </si>
  <si>
    <t>N02021-10-15</t>
  </si>
  <si>
    <t>10C14-15MDL</t>
  </si>
  <si>
    <t>N17023-6-12</t>
  </si>
  <si>
    <t>6NBP-12FDLX</t>
  </si>
  <si>
    <t>71034740NM</t>
  </si>
  <si>
    <t>10NG-12FJX90S (NET-G)</t>
  </si>
  <si>
    <t>8NG-8FFORX90M NET-G</t>
  </si>
  <si>
    <t>16NGSBR-16FLH-125</t>
  </si>
  <si>
    <t>MP</t>
  </si>
  <si>
    <t>JMOA -20BPX1-5/8 UNF+O</t>
  </si>
  <si>
    <t>24h1263-bra</t>
  </si>
  <si>
    <t>HG4033-8</t>
  </si>
  <si>
    <t>STB0011941</t>
  </si>
  <si>
    <t>CHMLI 18L W4</t>
  </si>
  <si>
    <t>ADAPTADOR OK</t>
  </si>
  <si>
    <t>MC428/2023</t>
  </si>
  <si>
    <t>MCBUJ1009</t>
  </si>
  <si>
    <t>MCBOC1007</t>
  </si>
  <si>
    <t>TUBO 5/8 FORMAR FLANGE</t>
  </si>
  <si>
    <t xml:space="preserve">TUBO FLANGEADO </t>
  </si>
  <si>
    <t>BOCAL 16,7X24 MC</t>
  </si>
  <si>
    <t>EMBOLO 13X12 MC</t>
  </si>
  <si>
    <t>816/90079</t>
  </si>
  <si>
    <t>ENGENHARIA</t>
  </si>
  <si>
    <t>DESCRIÇÃO</t>
  </si>
  <si>
    <t xml:space="preserve">39-11610       </t>
  </si>
  <si>
    <t xml:space="preserve">8NG-10MFFOR (NET-G)           </t>
  </si>
  <si>
    <t xml:space="preserve">7100-19170SNM  </t>
  </si>
  <si>
    <t xml:space="preserve">6SNMG-12FDLORX90              </t>
  </si>
  <si>
    <t xml:space="preserve">16MM-8MJ90                    </t>
  </si>
  <si>
    <t xml:space="preserve">71042455NM     </t>
  </si>
  <si>
    <t xml:space="preserve">10NG-10FFORX90M (NET-G)       </t>
  </si>
  <si>
    <t xml:space="preserve">39-10375       </t>
  </si>
  <si>
    <t xml:space="preserve">16GS COLAR RED 37.85MM        </t>
  </si>
  <si>
    <t xml:space="preserve">7100-0227NM    </t>
  </si>
  <si>
    <t xml:space="preserve">8NG-8MB                       </t>
  </si>
  <si>
    <t xml:space="preserve">810300029NM    </t>
  </si>
  <si>
    <t xml:space="preserve">10NG-8FJX25.13 (NET-G)        </t>
  </si>
  <si>
    <t xml:space="preserve">8100-00072-R   </t>
  </si>
  <si>
    <t xml:space="preserve">16NGSBR-16FLH-125             </t>
  </si>
  <si>
    <t>cancelado</t>
  </si>
  <si>
    <t>ok</t>
  </si>
  <si>
    <t>PROGRAMAÇÃO -08/11/2023</t>
  </si>
  <si>
    <t>JANEIRO</t>
  </si>
  <si>
    <t>FEVEREIRO</t>
  </si>
  <si>
    <t>333/L3112</t>
  </si>
  <si>
    <t>1604/2050</t>
  </si>
  <si>
    <t>24M7294-BRA</t>
  </si>
  <si>
    <t>PINO ESPECIAL TDS</t>
  </si>
  <si>
    <t>ADAPTADOR ESPECIAL TDS</t>
  </si>
  <si>
    <t>PROGRAMAÇÃO -17/11/2023</t>
  </si>
  <si>
    <t>MARÇO</t>
  </si>
  <si>
    <t>24m7294-bra</t>
  </si>
  <si>
    <t>HE02152-1-6-10</t>
  </si>
  <si>
    <t>HE02154-2-10-10</t>
  </si>
  <si>
    <t>he02163-11</t>
  </si>
  <si>
    <t>HE0554-0-10-8</t>
  </si>
  <si>
    <t>CONEXÃO 1</t>
  </si>
  <si>
    <t xml:space="preserve">PORCA </t>
  </si>
  <si>
    <t>CONEXÃO 2</t>
  </si>
  <si>
    <t>DAVIK/BERTEL</t>
  </si>
  <si>
    <t>216/2023</t>
  </si>
  <si>
    <t>TTB 15</t>
  </si>
  <si>
    <t>KIT BERTEL ROLAMENTO</t>
  </si>
  <si>
    <t>A03260055</t>
  </si>
  <si>
    <t>ADAPT. MFA 1NPTX1BSP - R979029522</t>
  </si>
  <si>
    <t>tee</t>
  </si>
  <si>
    <t>HANSAFLEX blumenau</t>
  </si>
  <si>
    <t>070120-6X5/8UNF</t>
  </si>
  <si>
    <t>UNIÃO MJ 9/16-18UNF X 5/8-18UNF</t>
  </si>
  <si>
    <t>ARRUELA DE COBRE</t>
  </si>
  <si>
    <t>EJ4713-1208</t>
  </si>
  <si>
    <t>HE01035-2-10</t>
  </si>
  <si>
    <t>HE02160-1-6-6</t>
  </si>
  <si>
    <t>PROGRAMAÇÃO -28/11/2023</t>
  </si>
  <si>
    <t>TUBO BSA</t>
  </si>
  <si>
    <t>0 9420005AR</t>
  </si>
  <si>
    <t>KIT BOBST</t>
  </si>
  <si>
    <t>NIPLE MONTADO</t>
  </si>
  <si>
    <t>STB0003656</t>
  </si>
  <si>
    <t>FLANGE</t>
  </si>
  <si>
    <t>21265/1</t>
  </si>
  <si>
    <t>VOSS-11671341</t>
  </si>
  <si>
    <t>BOSS</t>
  </si>
  <si>
    <t xml:space="preserve">39-11791       </t>
  </si>
  <si>
    <t xml:space="preserve">16NG-16MJ NET-G               </t>
  </si>
  <si>
    <t>0712208000DK</t>
  </si>
  <si>
    <t>0004208000DK</t>
  </si>
  <si>
    <t>0069078077DK</t>
  </si>
  <si>
    <t>UNIÃO DUPLA</t>
  </si>
  <si>
    <t>PADIN 15L</t>
  </si>
  <si>
    <t>ASSADIN 15X3</t>
  </si>
  <si>
    <t xml:space="preserve">Pedido                                            </t>
  </si>
  <si>
    <t xml:space="preserve">Linha                                             </t>
  </si>
  <si>
    <t xml:space="preserve">Produto                                           </t>
  </si>
  <si>
    <t>Descrição</t>
  </si>
  <si>
    <t xml:space="preserve">Cod. Forn                                         </t>
  </si>
  <si>
    <t xml:space="preserve">Qtd Pedido                                        </t>
  </si>
  <si>
    <t xml:space="preserve">Qtd Recebida                                      </t>
  </si>
  <si>
    <t>Preço</t>
  </si>
  <si>
    <t>Dt. Entrega</t>
  </si>
  <si>
    <t xml:space="preserve">UF                                                </t>
  </si>
  <si>
    <t xml:space="preserve">NF                                                </t>
  </si>
  <si>
    <t xml:space="preserve">Serie                                             </t>
  </si>
  <si>
    <t xml:space="preserve">Qtd NF                                            </t>
  </si>
  <si>
    <t xml:space="preserve">Valor NF                                          </t>
  </si>
  <si>
    <t>Dt. NF</t>
  </si>
  <si>
    <t>Dt. CMR</t>
  </si>
  <si>
    <t>OTD</t>
  </si>
  <si>
    <t>OK =1</t>
  </si>
  <si>
    <t>NOK=0</t>
  </si>
  <si>
    <t>Commodity</t>
  </si>
  <si>
    <t>Contagem</t>
  </si>
  <si>
    <t>Mês</t>
  </si>
  <si>
    <t>Total de peças recebidas dentro do mês fiscal (resumo por fornecedor)</t>
  </si>
  <si>
    <t>INCOTERM</t>
  </si>
  <si>
    <t>OBS</t>
  </si>
  <si>
    <t>DUNS</t>
  </si>
  <si>
    <t xml:space="preserve">7253-BR0023    </t>
  </si>
  <si>
    <t xml:space="preserve">14MJ-14BKHD                   </t>
  </si>
  <si>
    <t>SP</t>
  </si>
  <si>
    <t>Direct</t>
  </si>
  <si>
    <t xml:space="preserve">EXW                           </t>
  </si>
  <si>
    <t xml:space="preserve">7253-BR0024    </t>
  </si>
  <si>
    <t xml:space="preserve">18MM-PL22                     </t>
  </si>
  <si>
    <t>Ultima Nfe 19621</t>
  </si>
  <si>
    <t>JMOA -20BPX1-5/8UNF+O</t>
  </si>
  <si>
    <t>816/90801</t>
  </si>
  <si>
    <t>T-ADAPTOR 3/8BSP</t>
  </si>
  <si>
    <t xml:space="preserve">COD ITEM                                          </t>
  </si>
  <si>
    <t>1F40619-1008-S</t>
  </si>
  <si>
    <t>Previsão</t>
  </si>
  <si>
    <t>1S16BJ10</t>
  </si>
  <si>
    <t>GHMMS-16</t>
  </si>
  <si>
    <t>HE01346-1-20-16</t>
  </si>
  <si>
    <t>HE02156-2-12-10</t>
  </si>
  <si>
    <t>HE02158-2-12-10</t>
  </si>
  <si>
    <t>PROGRAMAÇÃO -11/12/2023</t>
  </si>
  <si>
    <t>ADAP. 1/2BSP MACHO X 5/8BSP FEMEA</t>
  </si>
  <si>
    <t>ADAP MMA 3/4BSP X 1-5/16-12UN</t>
  </si>
  <si>
    <t>ADAPTADOR 7/8 SAR X G3</t>
  </si>
  <si>
    <t>T ADAPTADOR</t>
  </si>
  <si>
    <t>x</t>
  </si>
  <si>
    <t>DAVIK/GRIFE DA MANGUEIRA</t>
  </si>
  <si>
    <t>TM 25G -12ORFS X -12MANG-MAN</t>
  </si>
  <si>
    <t>FL 90G -16 X -20 TERM. MAN COD.61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</si>
</sst>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[$-416]d\-mmm;@"/>
    <numFmt numFmtId="166" formatCode="_-[$R$-416]\ * #,##0.000_-;\-[$R$-416]\ * #,##0.000_-;_-[$R$-416]\ * &quot;-&quot;??_-;_-@_-"/>
    <numFmt numFmtId="167" formatCode="_-[$R$-416]\ * #,##0.000_-;\-[$R$-416]\ * #,##0.000_-;_-[$R$-416]\ * &quot;-&quot;???_-;_-@_-"/>
    <numFmt numFmtId="168" formatCode="_-[$R$-416]\ * #,##0.00_-;\-[$R$-416]\ * #,##0.00_-;_-[$R$-416]\ * &quot;-&quot;??_-;_-@_-"/>
    <numFmt numFmtId="169" formatCode="&quot;R$&quot;\ #,##0.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Arial Unicode MS"/>
      <family val="2"/>
    </font>
    <font>
      <b/>
      <sz val="8"/>
      <color theme="0"/>
      <name val="Arial Unicode MS"/>
      <family val="2"/>
    </font>
    <font>
      <b/>
      <sz val="11"/>
      <color theme="0"/>
      <name val="Arial Unicode MS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0"/>
      <color theme="1"/>
      <name val="Arial Unicode MS"/>
      <family val="2"/>
    </font>
    <font>
      <sz val="11"/>
      <color rgb="FF000000"/>
      <name val="Calibri"/>
      <family val="2"/>
    </font>
    <font>
      <b/>
      <sz val="10"/>
      <color theme="1"/>
      <name val="Arial Unicode MS"/>
      <family val="2"/>
    </font>
    <font>
      <sz val="10"/>
      <color theme="0"/>
      <name val="Arial Unicode MS"/>
      <family val="2"/>
    </font>
    <font>
      <b/>
      <sz val="9"/>
      <color indexed="81"/>
      <name val="Segoe UI"/>
      <family val="2"/>
    </font>
    <font>
      <b/>
      <sz val="11"/>
      <color rgb="FFCC0000"/>
      <name val="Calibri"/>
      <family val="2"/>
      <scheme val="minor"/>
    </font>
    <font>
      <b/>
      <sz val="10"/>
      <color rgb="FFCC0000"/>
      <name val="Arial Unicode MS"/>
      <family val="2"/>
    </font>
    <font>
      <sz val="11"/>
      <color rgb="FFCC0000"/>
      <name val="Calibri"/>
      <family val="2"/>
      <scheme val="minor"/>
    </font>
    <font>
      <sz val="10"/>
      <color rgb="FFCC0000"/>
      <name val="Arial Unicode MS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sz val="10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92D05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rgb="FF7F7F7F"/>
      </bottom>
      <diagonal/>
    </border>
    <border>
      <left/>
      <right style="medium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8" applyNumberFormat="0" applyFill="0" applyAlignment="0" applyProtection="0"/>
    <xf numFmtId="0" fontId="13" fillId="0" borderId="9" applyNumberFormat="0" applyFill="0" applyAlignment="0" applyProtection="0"/>
    <xf numFmtId="0" fontId="14" fillId="0" borderId="1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11" applyNumberFormat="0" applyAlignment="0" applyProtection="0"/>
    <xf numFmtId="0" fontId="19" fillId="9" borderId="12" applyNumberFormat="0" applyAlignment="0" applyProtection="0"/>
    <xf numFmtId="0" fontId="20" fillId="9" borderId="11" applyNumberFormat="0" applyAlignment="0" applyProtection="0"/>
    <xf numFmtId="0" fontId="21" fillId="0" borderId="13" applyNumberFormat="0" applyFill="0" applyAlignment="0" applyProtection="0"/>
    <xf numFmtId="0" fontId="4" fillId="10" borderId="14" applyNumberFormat="0" applyAlignment="0" applyProtection="0"/>
    <xf numFmtId="0" fontId="22" fillId="0" borderId="0" applyNumberFormat="0" applyFill="0" applyBorder="0" applyAlignment="0" applyProtection="0"/>
    <xf numFmtId="0" fontId="9" fillId="11" borderId="15" applyNumberFormat="0" applyFont="0" applyAlignment="0" applyProtection="0"/>
    <xf numFmtId="0" fontId="23" fillId="0" borderId="0" applyNumberFormat="0" applyFill="0" applyBorder="0" applyAlignment="0" applyProtection="0"/>
    <xf numFmtId="0" fontId="1" fillId="0" borderId="16" applyNumberFormat="0" applyFill="0" applyAlignment="0" applyProtection="0"/>
    <xf numFmtId="0" fontId="2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2" fillId="35" borderId="0" applyNumberFormat="0" applyBorder="0" applyAlignment="0" applyProtection="0"/>
  </cellStyleXfs>
  <cellXfs count="351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0" fillId="0" borderId="5" xfId="0" applyFont="1" applyFill="1" applyBorder="1" applyAlignment="1">
      <alignment horizontal="center"/>
    </xf>
    <xf numFmtId="14" fontId="0" fillId="0" borderId="5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14" fontId="4" fillId="3" borderId="1" xfId="0" applyNumberFormat="1" applyFon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 wrapText="1"/>
    </xf>
    <xf numFmtId="166" fontId="0" fillId="0" borderId="1" xfId="4" applyNumberFormat="1" applyFont="1" applyBorder="1" applyAlignment="1">
      <alignment horizontal="left"/>
    </xf>
    <xf numFmtId="166" fontId="0" fillId="0" borderId="0" xfId="4" applyNumberFormat="1" applyFont="1" applyBorder="1" applyAlignment="1">
      <alignment horizontal="left"/>
    </xf>
    <xf numFmtId="166" fontId="0" fillId="0" borderId="5" xfId="4" applyNumberFormat="1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67" fontId="0" fillId="0" borderId="1" xfId="0" applyNumberFormat="1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center"/>
    </xf>
    <xf numFmtId="166" fontId="9" fillId="0" borderId="1" xfId="4" applyNumberFormat="1" applyFont="1" applyFill="1" applyBorder="1" applyAlignment="1">
      <alignment horizontal="left"/>
    </xf>
    <xf numFmtId="0" fontId="10" fillId="0" borderId="0" xfId="0" applyFont="1" applyFill="1" applyAlignment="1">
      <alignment horizontal="left"/>
    </xf>
    <xf numFmtId="0" fontId="0" fillId="0" borderId="7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/>
    </xf>
    <xf numFmtId="14" fontId="0" fillId="0" borderId="5" xfId="0" applyNumberFormat="1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left"/>
    </xf>
    <xf numFmtId="0" fontId="0" fillId="36" borderId="21" xfId="0" applyFont="1" applyFill="1" applyBorder="1" applyAlignment="1">
      <alignment horizontal="center"/>
    </xf>
    <xf numFmtId="0" fontId="0" fillId="36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36" borderId="0" xfId="0" applyFont="1" applyFill="1" applyBorder="1" applyAlignment="1">
      <alignment horizontal="center"/>
    </xf>
    <xf numFmtId="168" fontId="0" fillId="4" borderId="2" xfId="0" applyNumberFormat="1" applyFill="1" applyBorder="1" applyAlignment="1">
      <alignment horizontal="center"/>
    </xf>
    <xf numFmtId="168" fontId="0" fillId="4" borderId="24" xfId="0" applyNumberFormat="1" applyFill="1" applyBorder="1"/>
    <xf numFmtId="0" fontId="2" fillId="3" borderId="28" xfId="0" applyFont="1" applyFill="1" applyBorder="1" applyAlignment="1">
      <alignment horizontal="center"/>
    </xf>
    <xf numFmtId="0" fontId="0" fillId="36" borderId="29" xfId="0" applyFont="1" applyFill="1" applyBorder="1" applyAlignment="1">
      <alignment horizontal="center"/>
    </xf>
    <xf numFmtId="0" fontId="0" fillId="0" borderId="30" xfId="0" applyBorder="1" applyAlignment="1">
      <alignment horizontal="left"/>
    </xf>
    <xf numFmtId="0" fontId="0" fillId="0" borderId="30" xfId="0" applyFont="1" applyBorder="1" applyAlignment="1">
      <alignment horizontal="left"/>
    </xf>
    <xf numFmtId="0" fontId="0" fillId="0" borderId="17" xfId="0" applyBorder="1"/>
    <xf numFmtId="0" fontId="2" fillId="3" borderId="0" xfId="0" applyFont="1" applyFill="1" applyAlignment="1">
      <alignment vertical="center"/>
    </xf>
    <xf numFmtId="168" fontId="2" fillId="3" borderId="27" xfId="0" applyNumberFormat="1" applyFont="1" applyFill="1" applyBorder="1" applyAlignment="1">
      <alignment horizontal="center"/>
    </xf>
    <xf numFmtId="168" fontId="2" fillId="3" borderId="18" xfId="0" applyNumberFormat="1" applyFont="1" applyFill="1" applyBorder="1"/>
    <xf numFmtId="168" fontId="0" fillId="4" borderId="2" xfId="0" applyNumberFormat="1" applyFill="1" applyBorder="1"/>
    <xf numFmtId="168" fontId="0" fillId="0" borderId="0" xfId="0" applyNumberFormat="1" applyFill="1" applyBorder="1"/>
    <xf numFmtId="0" fontId="0" fillId="0" borderId="31" xfId="0" applyBorder="1" applyAlignment="1">
      <alignment horizontal="center"/>
    </xf>
    <xf numFmtId="168" fontId="2" fillId="3" borderId="27" xfId="0" applyNumberFormat="1" applyFont="1" applyFill="1" applyBorder="1"/>
    <xf numFmtId="0" fontId="0" fillId="36" borderId="24" xfId="0" applyFont="1" applyFill="1" applyBorder="1" applyAlignment="1">
      <alignment horizontal="center"/>
    </xf>
    <xf numFmtId="168" fontId="2" fillId="3" borderId="32" xfId="0" applyNumberFormat="1" applyFont="1" applyFill="1" applyBorder="1"/>
    <xf numFmtId="0" fontId="0" fillId="0" borderId="1" xfId="0" applyNumberFormat="1" applyFont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165" fontId="0" fillId="0" borderId="3" xfId="0" applyNumberFormat="1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167" fontId="0" fillId="0" borderId="5" xfId="0" applyNumberFormat="1" applyFont="1" applyFill="1" applyBorder="1" applyAlignment="1">
      <alignment horizontal="left"/>
    </xf>
    <xf numFmtId="167" fontId="0" fillId="0" borderId="7" xfId="0" applyNumberFormat="1" applyFont="1" applyFill="1" applyBorder="1" applyAlignment="1">
      <alignment horizontal="left"/>
    </xf>
    <xf numFmtId="0" fontId="0" fillId="0" borderId="0" xfId="0" applyFont="1"/>
    <xf numFmtId="166" fontId="9" fillId="0" borderId="5" xfId="4" applyNumberFormat="1" applyFont="1" applyFill="1" applyBorder="1" applyAlignment="1">
      <alignment horizontal="left"/>
    </xf>
    <xf numFmtId="44" fontId="6" fillId="3" borderId="1" xfId="0" applyNumberFormat="1" applyFont="1" applyFill="1" applyBorder="1" applyAlignment="1">
      <alignment horizontal="center" vertical="center" wrapText="1"/>
    </xf>
    <xf numFmtId="14" fontId="8" fillId="3" borderId="1" xfId="0" applyNumberFormat="1" applyFont="1" applyFill="1" applyBorder="1" applyAlignment="1">
      <alignment horizontal="center" vertical="center" textRotation="90" wrapText="1"/>
    </xf>
    <xf numFmtId="14" fontId="6" fillId="3" borderId="1" xfId="0" applyNumberFormat="1" applyFont="1" applyFill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/>
    </xf>
    <xf numFmtId="167" fontId="0" fillId="0" borderId="35" xfId="0" applyNumberFormat="1" applyFont="1" applyFill="1" applyBorder="1" applyAlignment="1">
      <alignment horizontal="left"/>
    </xf>
    <xf numFmtId="0" fontId="0" fillId="0" borderId="3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168" fontId="0" fillId="4" borderId="1" xfId="0" applyNumberFormat="1" applyFill="1" applyBorder="1" applyAlignment="1">
      <alignment horizontal="center"/>
    </xf>
    <xf numFmtId="168" fontId="0" fillId="4" borderId="1" xfId="0" applyNumberFormat="1" applyFill="1" applyBorder="1"/>
    <xf numFmtId="0" fontId="0" fillId="0" borderId="1" xfId="0" applyBorder="1" applyAlignment="1">
      <alignment horizontal="left"/>
    </xf>
    <xf numFmtId="166" fontId="9" fillId="0" borderId="35" xfId="4" applyNumberFormat="1" applyFont="1" applyFill="1" applyBorder="1" applyAlignment="1">
      <alignment horizontal="left"/>
    </xf>
    <xf numFmtId="0" fontId="0" fillId="36" borderId="28" xfId="0" applyFont="1" applyFill="1" applyBorder="1" applyAlignment="1">
      <alignment horizontal="center"/>
    </xf>
    <xf numFmtId="0" fontId="0" fillId="36" borderId="19" xfId="0" applyFont="1" applyFill="1" applyBorder="1" applyAlignment="1">
      <alignment horizontal="center"/>
    </xf>
    <xf numFmtId="0" fontId="0" fillId="36" borderId="20" xfId="0" applyFont="1" applyFill="1" applyBorder="1" applyAlignment="1">
      <alignment horizontal="center"/>
    </xf>
    <xf numFmtId="168" fontId="0" fillId="4" borderId="24" xfId="0" applyNumberFormat="1" applyFill="1" applyBorder="1" applyAlignment="1">
      <alignment horizontal="center"/>
    </xf>
    <xf numFmtId="168" fontId="2" fillId="3" borderId="18" xfId="0" applyNumberFormat="1" applyFont="1" applyFill="1" applyBorder="1" applyAlignment="1">
      <alignment horizontal="center"/>
    </xf>
    <xf numFmtId="44" fontId="7" fillId="3" borderId="3" xfId="0" applyNumberFormat="1" applyFont="1" applyFill="1" applyBorder="1" applyAlignment="1">
      <alignment horizontal="center" vertical="center" wrapText="1"/>
    </xf>
    <xf numFmtId="166" fontId="6" fillId="3" borderId="3" xfId="4" applyNumberFormat="1" applyFont="1" applyFill="1" applyBorder="1" applyAlignment="1">
      <alignment horizontal="left" vertical="center" wrapText="1"/>
    </xf>
    <xf numFmtId="166" fontId="9" fillId="0" borderId="3" xfId="4" applyNumberFormat="1" applyFont="1" applyFill="1" applyBorder="1" applyAlignment="1">
      <alignment horizontal="left"/>
    </xf>
    <xf numFmtId="166" fontId="9" fillId="0" borderId="7" xfId="4" applyNumberFormat="1" applyFont="1" applyFill="1" applyBorder="1" applyAlignment="1">
      <alignment horizontal="left"/>
    </xf>
    <xf numFmtId="0" fontId="0" fillId="0" borderId="0" xfId="0" applyFont="1" applyBorder="1"/>
    <xf numFmtId="0" fontId="25" fillId="0" borderId="0" xfId="0" applyFont="1" applyFill="1" applyBorder="1" applyAlignment="1">
      <alignment vertical="center"/>
    </xf>
    <xf numFmtId="0" fontId="2" fillId="3" borderId="19" xfId="0" applyFont="1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Font="1" applyBorder="1" applyAlignment="1">
      <alignment horizontal="left"/>
    </xf>
    <xf numFmtId="0" fontId="0" fillId="0" borderId="25" xfId="0" applyBorder="1"/>
    <xf numFmtId="168" fontId="2" fillId="0" borderId="0" xfId="0" applyNumberFormat="1" applyFont="1" applyFill="1" applyBorder="1"/>
    <xf numFmtId="0" fontId="24" fillId="3" borderId="22" xfId="0" applyFont="1" applyFill="1" applyBorder="1" applyAlignment="1">
      <alignment horizontal="center" vertical="center"/>
    </xf>
    <xf numFmtId="0" fontId="24" fillId="3" borderId="18" xfId="0" applyFont="1" applyFill="1" applyBorder="1" applyAlignment="1">
      <alignment horizontal="center" vertical="center"/>
    </xf>
    <xf numFmtId="168" fontId="0" fillId="4" borderId="1" xfId="0" applyNumberFormat="1" applyFont="1" applyFill="1" applyBorder="1"/>
    <xf numFmtId="44" fontId="6" fillId="3" borderId="3" xfId="0" applyNumberFormat="1" applyFont="1" applyFill="1" applyBorder="1" applyAlignment="1">
      <alignment horizontal="center" vertical="center" wrapText="1"/>
    </xf>
    <xf numFmtId="14" fontId="0" fillId="0" borderId="3" xfId="0" applyNumberFormat="1" applyFont="1" applyFill="1" applyBorder="1" applyAlignment="1">
      <alignment horizontal="center"/>
    </xf>
    <xf numFmtId="14" fontId="0" fillId="0" borderId="6" xfId="0" applyNumberFormat="1" applyFont="1" applyFill="1" applyBorder="1" applyAlignment="1">
      <alignment horizontal="center"/>
    </xf>
    <xf numFmtId="0" fontId="0" fillId="0" borderId="3" xfId="0" applyNumberFormat="1" applyFont="1" applyFill="1" applyBorder="1" applyAlignment="1">
      <alignment horizontal="center"/>
    </xf>
    <xf numFmtId="0" fontId="0" fillId="0" borderId="6" xfId="0" applyNumberFormat="1" applyFont="1" applyFill="1" applyBorder="1" applyAlignment="1">
      <alignment horizontal="center"/>
    </xf>
    <xf numFmtId="14" fontId="6" fillId="3" borderId="3" xfId="0" applyNumberFormat="1" applyFont="1" applyFill="1" applyBorder="1" applyAlignment="1">
      <alignment horizontal="center" vertical="center" wrapText="1"/>
    </xf>
    <xf numFmtId="0" fontId="6" fillId="3" borderId="3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26" fillId="0" borderId="5" xfId="0" applyNumberFormat="1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center"/>
    </xf>
    <xf numFmtId="0" fontId="26" fillId="0" borderId="3" xfId="0" applyNumberFormat="1" applyFont="1" applyFill="1" applyBorder="1" applyAlignment="1">
      <alignment horizontal="center" vertical="center" wrapText="1"/>
    </xf>
    <xf numFmtId="166" fontId="9" fillId="0" borderId="6" xfId="4" applyNumberFormat="1" applyFont="1" applyFill="1" applyBorder="1" applyAlignment="1">
      <alignment horizontal="left"/>
    </xf>
    <xf numFmtId="0" fontId="26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0" fontId="28" fillId="0" borderId="5" xfId="0" applyNumberFormat="1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/>
    </xf>
    <xf numFmtId="14" fontId="1" fillId="0" borderId="5" xfId="0" applyNumberFormat="1" applyFont="1" applyFill="1" applyBorder="1" applyAlignment="1">
      <alignment horizontal="center"/>
    </xf>
    <xf numFmtId="0" fontId="26" fillId="0" borderId="35" xfId="0" applyNumberFormat="1" applyFont="1" applyFill="1" applyBorder="1" applyAlignment="1">
      <alignment horizontal="center" vertical="center" wrapText="1"/>
    </xf>
    <xf numFmtId="14" fontId="0" fillId="0" borderId="7" xfId="0" applyNumberFormat="1" applyFont="1" applyFill="1" applyBorder="1" applyAlignment="1">
      <alignment horizontal="center"/>
    </xf>
    <xf numFmtId="14" fontId="0" fillId="0" borderId="36" xfId="0" applyNumberFormat="1" applyFont="1" applyFill="1" applyBorder="1" applyAlignment="1">
      <alignment horizontal="center"/>
    </xf>
    <xf numFmtId="0" fontId="0" fillId="0" borderId="36" xfId="0" applyNumberFormat="1" applyFont="1" applyFill="1" applyBorder="1" applyAlignment="1">
      <alignment horizontal="center"/>
    </xf>
    <xf numFmtId="14" fontId="0" fillId="0" borderId="38" xfId="0" applyNumberFormat="1" applyFont="1" applyFill="1" applyBorder="1" applyAlignment="1">
      <alignment horizontal="center"/>
    </xf>
    <xf numFmtId="0" fontId="0" fillId="0" borderId="38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 vertical="center" wrapText="1"/>
    </xf>
    <xf numFmtId="14" fontId="6" fillId="3" borderId="1" xfId="0" applyNumberFormat="1" applyFont="1" applyFill="1" applyBorder="1" applyAlignment="1">
      <alignment horizontal="center" vertical="center" wrapText="1"/>
    </xf>
    <xf numFmtId="166" fontId="6" fillId="3" borderId="1" xfId="4" applyNumberFormat="1" applyFont="1" applyFill="1" applyBorder="1" applyAlignment="1">
      <alignment horizontal="left" vertical="center" wrapText="1"/>
    </xf>
    <xf numFmtId="0" fontId="0" fillId="38" borderId="1" xfId="0" applyFont="1" applyFill="1" applyBorder="1" applyAlignment="1">
      <alignment horizontal="center"/>
    </xf>
    <xf numFmtId="0" fontId="0" fillId="38" borderId="3" xfId="0" applyFont="1" applyFill="1" applyBorder="1" applyAlignment="1">
      <alignment horizontal="center"/>
    </xf>
    <xf numFmtId="0" fontId="28" fillId="0" borderId="1" xfId="0" applyNumberFormat="1" applyFont="1" applyFill="1" applyBorder="1" applyAlignment="1">
      <alignment horizontal="center" vertical="center" wrapText="1"/>
    </xf>
    <xf numFmtId="0" fontId="26" fillId="38" borderId="5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left" vertical="center"/>
    </xf>
    <xf numFmtId="16" fontId="4" fillId="3" borderId="5" xfId="0" applyNumberFormat="1" applyFont="1" applyFill="1" applyBorder="1" applyAlignment="1">
      <alignment horizontal="center"/>
    </xf>
    <xf numFmtId="0" fontId="29" fillId="3" borderId="5" xfId="0" applyNumberFormat="1" applyFont="1" applyFill="1" applyBorder="1" applyAlignment="1">
      <alignment horizontal="center" vertical="center" wrapText="1"/>
    </xf>
    <xf numFmtId="0" fontId="0" fillId="0" borderId="3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36" xfId="0" applyFont="1" applyFill="1" applyBorder="1" applyAlignment="1">
      <alignment horizontal="left"/>
    </xf>
    <xf numFmtId="0" fontId="0" fillId="0" borderId="36" xfId="0" applyFont="1" applyFill="1" applyBorder="1" applyAlignment="1">
      <alignment horizontal="center"/>
    </xf>
    <xf numFmtId="14" fontId="1" fillId="0" borderId="3" xfId="0" applyNumberFormat="1" applyFont="1" applyFill="1" applyBorder="1" applyAlignment="1">
      <alignment horizontal="center"/>
    </xf>
    <xf numFmtId="0" fontId="0" fillId="38" borderId="1" xfId="0" applyFont="1" applyFill="1" applyBorder="1" applyAlignment="1">
      <alignment horizontal="left"/>
    </xf>
    <xf numFmtId="0" fontId="0" fillId="38" borderId="3" xfId="0" applyFont="1" applyFill="1" applyBorder="1" applyAlignment="1">
      <alignment horizontal="left"/>
    </xf>
    <xf numFmtId="14" fontId="0" fillId="38" borderId="1" xfId="0" applyNumberFormat="1" applyFont="1" applyFill="1" applyBorder="1" applyAlignment="1">
      <alignment horizontal="center"/>
    </xf>
    <xf numFmtId="14" fontId="4" fillId="3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" fillId="0" borderId="5" xfId="0" applyFont="1" applyFill="1" applyBorder="1" applyAlignment="1">
      <alignment horizontal="left"/>
    </xf>
    <xf numFmtId="0" fontId="0" fillId="36" borderId="26" xfId="0" applyFont="1" applyFill="1" applyBorder="1" applyAlignment="1">
      <alignment horizontal="center"/>
    </xf>
    <xf numFmtId="0" fontId="25" fillId="0" borderId="39" xfId="0" applyFont="1" applyFill="1" applyBorder="1" applyAlignment="1">
      <alignment vertical="center"/>
    </xf>
    <xf numFmtId="0" fontId="0" fillId="0" borderId="3" xfId="0" applyBorder="1" applyAlignment="1">
      <alignment horizontal="center"/>
    </xf>
    <xf numFmtId="0" fontId="0" fillId="0" borderId="24" xfId="0" applyBorder="1" applyAlignment="1">
      <alignment horizontal="left"/>
    </xf>
    <xf numFmtId="0" fontId="4" fillId="3" borderId="6" xfId="0" applyFont="1" applyFill="1" applyBorder="1" applyAlignment="1">
      <alignment horizontal="center"/>
    </xf>
    <xf numFmtId="0" fontId="31" fillId="39" borderId="1" xfId="0" applyFont="1" applyFill="1" applyBorder="1" applyAlignment="1">
      <alignment horizontal="center"/>
    </xf>
    <xf numFmtId="0" fontId="31" fillId="39" borderId="1" xfId="0" applyFont="1" applyFill="1" applyBorder="1" applyAlignment="1">
      <alignment horizontal="left"/>
    </xf>
    <xf numFmtId="0" fontId="31" fillId="39" borderId="3" xfId="0" applyFont="1" applyFill="1" applyBorder="1" applyAlignment="1">
      <alignment horizontal="left"/>
    </xf>
    <xf numFmtId="0" fontId="31" fillId="39" borderId="3" xfId="0" applyFont="1" applyFill="1" applyBorder="1" applyAlignment="1">
      <alignment horizontal="center"/>
    </xf>
    <xf numFmtId="0" fontId="32" fillId="39" borderId="5" xfId="0" applyNumberFormat="1" applyFont="1" applyFill="1" applyBorder="1" applyAlignment="1">
      <alignment horizontal="center" vertical="center" wrapText="1"/>
    </xf>
    <xf numFmtId="14" fontId="4" fillId="3" borderId="5" xfId="0" applyNumberFormat="1" applyFont="1" applyFill="1" applyBorder="1" applyAlignment="1">
      <alignment horizontal="center"/>
    </xf>
    <xf numFmtId="0" fontId="6" fillId="3" borderId="5" xfId="0" applyNumberFormat="1" applyFont="1" applyFill="1" applyBorder="1" applyAlignment="1">
      <alignment horizontal="center" vertical="center" wrapText="1"/>
    </xf>
    <xf numFmtId="14" fontId="31" fillId="39" borderId="1" xfId="0" applyNumberFormat="1" applyFont="1" applyFill="1" applyBorder="1" applyAlignment="1">
      <alignment horizontal="center"/>
    </xf>
    <xf numFmtId="0" fontId="33" fillId="39" borderId="1" xfId="0" applyFont="1" applyFill="1" applyBorder="1" applyAlignment="1">
      <alignment horizontal="center"/>
    </xf>
    <xf numFmtId="0" fontId="33" fillId="39" borderId="1" xfId="0" applyFont="1" applyFill="1" applyBorder="1" applyAlignment="1">
      <alignment horizontal="left"/>
    </xf>
    <xf numFmtId="0" fontId="33" fillId="39" borderId="3" xfId="0" applyFont="1" applyFill="1" applyBorder="1" applyAlignment="1">
      <alignment horizontal="left"/>
    </xf>
    <xf numFmtId="0" fontId="33" fillId="39" borderId="3" xfId="0" applyFont="1" applyFill="1" applyBorder="1" applyAlignment="1">
      <alignment horizontal="center"/>
    </xf>
    <xf numFmtId="0" fontId="34" fillId="39" borderId="5" xfId="0" applyNumberFormat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left"/>
    </xf>
    <xf numFmtId="0" fontId="4" fillId="3" borderId="1" xfId="0" applyNumberFormat="1" applyFont="1" applyFill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8" xfId="0" applyFont="1" applyBorder="1" applyAlignment="1">
      <alignment vertical="center"/>
    </xf>
    <xf numFmtId="14" fontId="2" fillId="3" borderId="5" xfId="0" applyNumberFormat="1" applyFont="1" applyFill="1" applyBorder="1" applyAlignment="1">
      <alignment horizontal="center"/>
    </xf>
    <xf numFmtId="14" fontId="0" fillId="0" borderId="35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6" fillId="38" borderId="1" xfId="0" applyNumberFormat="1" applyFont="1" applyFill="1" applyBorder="1" applyAlignment="1">
      <alignment horizontal="center" vertical="center" wrapText="1"/>
    </xf>
    <xf numFmtId="0" fontId="0" fillId="0" borderId="4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14" fontId="0" fillId="0" borderId="3" xfId="0" applyNumberFormat="1" applyFont="1" applyBorder="1" applyAlignment="1">
      <alignment horizontal="center"/>
    </xf>
    <xf numFmtId="166" fontId="0" fillId="0" borderId="1" xfId="4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left"/>
    </xf>
    <xf numFmtId="0" fontId="1" fillId="0" borderId="1" xfId="0" applyNumberFormat="1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left"/>
    </xf>
    <xf numFmtId="0" fontId="1" fillId="0" borderId="6" xfId="0" applyFont="1" applyFill="1" applyBorder="1" applyAlignment="1">
      <alignment horizontal="center"/>
    </xf>
    <xf numFmtId="0" fontId="6" fillId="3" borderId="35" xfId="0" applyNumberFormat="1" applyFont="1" applyFill="1" applyBorder="1" applyAlignment="1">
      <alignment horizontal="center" vertical="center" wrapText="1"/>
    </xf>
    <xf numFmtId="14" fontId="4" fillId="3" borderId="7" xfId="0" applyNumberFormat="1" applyFont="1" applyFill="1" applyBorder="1" applyAlignment="1">
      <alignment horizontal="center"/>
    </xf>
    <xf numFmtId="14" fontId="33" fillId="39" borderId="7" xfId="0" applyNumberFormat="1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29" fillId="3" borderId="1" xfId="0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 applyAlignment="1">
      <alignment horizontal="center"/>
    </xf>
    <xf numFmtId="0" fontId="0" fillId="0" borderId="35" xfId="0" applyNumberFormat="1" applyFont="1" applyFill="1" applyBorder="1" applyAlignment="1">
      <alignment horizontal="center"/>
    </xf>
    <xf numFmtId="0" fontId="1" fillId="38" borderId="1" xfId="0" applyFont="1" applyFill="1" applyBorder="1" applyAlignment="1">
      <alignment horizontal="center"/>
    </xf>
    <xf numFmtId="0" fontId="1" fillId="38" borderId="1" xfId="0" applyFont="1" applyFill="1" applyBorder="1" applyAlignment="1">
      <alignment horizontal="left"/>
    </xf>
    <xf numFmtId="0" fontId="1" fillId="38" borderId="3" xfId="0" applyFont="1" applyFill="1" applyBorder="1" applyAlignment="1">
      <alignment horizontal="left"/>
    </xf>
    <xf numFmtId="0" fontId="1" fillId="38" borderId="3" xfId="0" applyFont="1" applyFill="1" applyBorder="1" applyAlignment="1">
      <alignment horizontal="center"/>
    </xf>
    <xf numFmtId="14" fontId="1" fillId="38" borderId="1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5" xfId="0" applyNumberFormat="1" applyFont="1" applyFill="1" applyBorder="1" applyAlignment="1">
      <alignment horizontal="center"/>
    </xf>
    <xf numFmtId="0" fontId="2" fillId="3" borderId="7" xfId="0" applyFont="1" applyFill="1" applyBorder="1" applyAlignment="1">
      <alignment horizontal="left"/>
    </xf>
    <xf numFmtId="0" fontId="1" fillId="0" borderId="36" xfId="0" applyFont="1" applyFill="1" applyBorder="1" applyAlignment="1">
      <alignment horizontal="left"/>
    </xf>
    <xf numFmtId="0" fontId="1" fillId="0" borderId="36" xfId="0" applyFont="1" applyFill="1" applyBorder="1" applyAlignment="1">
      <alignment horizontal="center"/>
    </xf>
    <xf numFmtId="14" fontId="2" fillId="3" borderId="7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40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31" xfId="0" applyBorder="1"/>
    <xf numFmtId="0" fontId="0" fillId="4" borderId="41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169" fontId="0" fillId="4" borderId="24" xfId="0" applyNumberFormat="1" applyFill="1" applyBorder="1" applyAlignment="1">
      <alignment horizontal="left"/>
    </xf>
    <xf numFmtId="167" fontId="0" fillId="0" borderId="0" xfId="0" applyNumberFormat="1" applyFont="1" applyFill="1" applyBorder="1" applyAlignment="1">
      <alignment horizontal="left"/>
    </xf>
    <xf numFmtId="0" fontId="4" fillId="38" borderId="3" xfId="0" applyFont="1" applyFill="1" applyBorder="1" applyAlignment="1">
      <alignment horizontal="left"/>
    </xf>
    <xf numFmtId="0" fontId="4" fillId="38" borderId="3" xfId="0" applyFont="1" applyFill="1" applyBorder="1" applyAlignment="1">
      <alignment horizontal="center"/>
    </xf>
    <xf numFmtId="167" fontId="0" fillId="0" borderId="3" xfId="0" applyNumberFormat="1" applyFont="1" applyFill="1" applyBorder="1" applyAlignment="1">
      <alignment horizontal="left"/>
    </xf>
    <xf numFmtId="0" fontId="31" fillId="39" borderId="5" xfId="0" applyFont="1" applyFill="1" applyBorder="1" applyAlignment="1">
      <alignment horizontal="left"/>
    </xf>
    <xf numFmtId="0" fontId="4" fillId="38" borderId="5" xfId="0" applyFont="1" applyFill="1" applyBorder="1" applyAlignment="1">
      <alignment horizontal="left"/>
    </xf>
    <xf numFmtId="0" fontId="31" fillId="39" borderId="6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center"/>
    </xf>
    <xf numFmtId="0" fontId="6" fillId="38" borderId="5" xfId="0" applyNumberFormat="1" applyFont="1" applyFill="1" applyBorder="1" applyAlignment="1">
      <alignment horizontal="center" vertical="center" wrapText="1"/>
    </xf>
    <xf numFmtId="14" fontId="31" fillId="39" borderId="5" xfId="0" applyNumberFormat="1" applyFont="1" applyFill="1" applyBorder="1" applyAlignment="1">
      <alignment horizontal="center"/>
    </xf>
    <xf numFmtId="14" fontId="4" fillId="38" borderId="5" xfId="0" applyNumberFormat="1" applyFont="1" applyFill="1" applyBorder="1" applyAlignment="1">
      <alignment horizontal="center"/>
    </xf>
    <xf numFmtId="0" fontId="0" fillId="0" borderId="36" xfId="0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left"/>
    </xf>
    <xf numFmtId="0" fontId="0" fillId="0" borderId="3" xfId="0" applyNumberFormat="1" applyFon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0" fontId="28" fillId="38" borderId="1" xfId="0" applyNumberFormat="1" applyFont="1" applyFill="1" applyBorder="1" applyAlignment="1">
      <alignment horizontal="center" vertical="center" wrapText="1"/>
    </xf>
    <xf numFmtId="0" fontId="0" fillId="38" borderId="1" xfId="0" applyNumberFormat="1" applyFont="1" applyFill="1" applyBorder="1" applyAlignment="1">
      <alignment horizontal="center"/>
    </xf>
    <xf numFmtId="0" fontId="28" fillId="38" borderId="5" xfId="0" applyNumberFormat="1" applyFont="1" applyFill="1" applyBorder="1" applyAlignment="1">
      <alignment horizontal="center" vertical="center" wrapText="1"/>
    </xf>
    <xf numFmtId="0" fontId="28" fillId="0" borderId="3" xfId="0" applyNumberFormat="1" applyFont="1" applyFill="1" applyBorder="1" applyAlignment="1">
      <alignment horizontal="center" vertical="center" wrapText="1"/>
    </xf>
    <xf numFmtId="0" fontId="29" fillId="3" borderId="3" xfId="0" applyNumberFormat="1" applyFont="1" applyFill="1" applyBorder="1" applyAlignment="1">
      <alignment horizontal="center" vertical="center" wrapText="1"/>
    </xf>
    <xf numFmtId="0" fontId="26" fillId="0" borderId="36" xfId="0" applyNumberFormat="1" applyFont="1" applyFill="1" applyBorder="1" applyAlignment="1">
      <alignment horizontal="center" vertical="center" wrapText="1"/>
    </xf>
    <xf numFmtId="0" fontId="4" fillId="38" borderId="1" xfId="0" applyFont="1" applyFill="1" applyBorder="1" applyAlignment="1">
      <alignment horizontal="center"/>
    </xf>
    <xf numFmtId="0" fontId="26" fillId="0" borderId="7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vertical="center"/>
    </xf>
    <xf numFmtId="0" fontId="0" fillId="36" borderId="1" xfId="0" applyFont="1" applyFill="1" applyBorder="1" applyAlignment="1">
      <alignment horizontal="center"/>
    </xf>
    <xf numFmtId="0" fontId="0" fillId="0" borderId="1" xfId="0" applyBorder="1"/>
    <xf numFmtId="168" fontId="2" fillId="3" borderId="1" xfId="0" applyNumberFormat="1" applyFont="1" applyFill="1" applyBorder="1" applyAlignment="1">
      <alignment horizontal="center"/>
    </xf>
    <xf numFmtId="168" fontId="2" fillId="3" borderId="1" xfId="0" applyNumberFormat="1" applyFont="1" applyFill="1" applyBorder="1"/>
    <xf numFmtId="0" fontId="27" fillId="0" borderId="42" xfId="0" applyFont="1" applyBorder="1" applyAlignment="1">
      <alignment vertical="center"/>
    </xf>
    <xf numFmtId="0" fontId="27" fillId="37" borderId="43" xfId="0" applyFont="1" applyFill="1" applyBorder="1" applyAlignment="1">
      <alignment vertical="center"/>
    </xf>
    <xf numFmtId="14" fontId="27" fillId="37" borderId="0" xfId="0" applyNumberFormat="1" applyFont="1" applyFill="1" applyAlignment="1">
      <alignment vertical="center"/>
    </xf>
    <xf numFmtId="0" fontId="27" fillId="37" borderId="0" xfId="0" applyFont="1" applyFill="1" applyAlignment="1">
      <alignment vertical="center"/>
    </xf>
    <xf numFmtId="0" fontId="27" fillId="0" borderId="43" xfId="0" applyFont="1" applyBorder="1" applyAlignment="1">
      <alignment vertical="center"/>
    </xf>
    <xf numFmtId="14" fontId="27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0" fontId="1" fillId="0" borderId="5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38" borderId="5" xfId="0" applyNumberFormat="1" applyFont="1" applyFill="1" applyBorder="1" applyAlignment="1">
      <alignment horizontal="center"/>
    </xf>
    <xf numFmtId="14" fontId="0" fillId="38" borderId="6" xfId="0" applyNumberFormat="1" applyFont="1" applyFill="1" applyBorder="1" applyAlignment="1">
      <alignment horizontal="center"/>
    </xf>
    <xf numFmtId="0" fontId="0" fillId="38" borderId="6" xfId="0" applyNumberFormat="1" applyFont="1" applyFill="1" applyBorder="1" applyAlignment="1">
      <alignment horizontal="center"/>
    </xf>
    <xf numFmtId="0" fontId="27" fillId="0" borderId="44" xfId="0" applyFont="1" applyBorder="1" applyAlignment="1">
      <alignment vertical="center" wrapText="1"/>
    </xf>
    <xf numFmtId="0" fontId="27" fillId="0" borderId="45" xfId="0" applyFont="1" applyBorder="1" applyAlignment="1">
      <alignment vertical="center" wrapText="1"/>
    </xf>
    <xf numFmtId="0" fontId="27" fillId="0" borderId="45" xfId="0" applyFont="1" applyBorder="1" applyAlignment="1">
      <alignment horizontal="left" vertical="center" wrapText="1"/>
    </xf>
    <xf numFmtId="0" fontId="27" fillId="0" borderId="18" xfId="0" applyFont="1" applyBorder="1" applyAlignment="1">
      <alignment horizontal="left" vertical="center"/>
    </xf>
    <xf numFmtId="0" fontId="35" fillId="40" borderId="20" xfId="0" applyFont="1" applyFill="1" applyBorder="1" applyAlignment="1">
      <alignment horizontal="center" vertical="center" wrapText="1"/>
    </xf>
    <xf numFmtId="0" fontId="35" fillId="40" borderId="18" xfId="0" applyFont="1" applyFill="1" applyBorder="1" applyAlignment="1">
      <alignment horizontal="center" vertical="center" wrapText="1"/>
    </xf>
    <xf numFmtId="0" fontId="37" fillId="0" borderId="17" xfId="0" applyFont="1" applyBorder="1" applyAlignment="1">
      <alignment horizontal="right" vertical="center"/>
    </xf>
    <xf numFmtId="0" fontId="37" fillId="0" borderId="18" xfId="0" applyFont="1" applyBorder="1" applyAlignment="1">
      <alignment horizontal="right" vertical="center"/>
    </xf>
    <xf numFmtId="0" fontId="37" fillId="0" borderId="18" xfId="0" applyFont="1" applyBorder="1" applyAlignment="1">
      <alignment vertical="center"/>
    </xf>
    <xf numFmtId="14" fontId="37" fillId="0" borderId="18" xfId="0" applyNumberFormat="1" applyFont="1" applyBorder="1" applyAlignment="1">
      <alignment horizontal="right" vertical="center"/>
    </xf>
    <xf numFmtId="0" fontId="4" fillId="3" borderId="5" xfId="0" applyFont="1" applyFill="1" applyBorder="1" applyAlignment="1">
      <alignment horizontal="center"/>
    </xf>
    <xf numFmtId="0" fontId="0" fillId="0" borderId="35" xfId="0" applyFont="1" applyFill="1" applyBorder="1" applyAlignment="1">
      <alignment horizontal="center"/>
    </xf>
    <xf numFmtId="0" fontId="0" fillId="38" borderId="5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29" fillId="3" borderId="35" xfId="0" applyNumberFormat="1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left" vertical="center" textRotation="90" wrapText="1"/>
    </xf>
    <xf numFmtId="16" fontId="36" fillId="3" borderId="1" xfId="0" applyNumberFormat="1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left" vertical="center"/>
    </xf>
    <xf numFmtId="16" fontId="36" fillId="3" borderId="1" xfId="0" applyNumberFormat="1" applyFont="1" applyFill="1" applyBorder="1" applyAlignment="1">
      <alignment vertical="center"/>
    </xf>
    <xf numFmtId="14" fontId="27" fillId="0" borderId="18" xfId="0" applyNumberFormat="1" applyFont="1" applyBorder="1" applyAlignment="1">
      <alignment horizontal="right" vertical="center"/>
    </xf>
    <xf numFmtId="0" fontId="0" fillId="0" borderId="2" xfId="0" applyFont="1" applyFill="1" applyBorder="1" applyAlignment="1">
      <alignment horizontal="center"/>
    </xf>
    <xf numFmtId="0" fontId="6" fillId="3" borderId="7" xfId="0" applyNumberFormat="1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41" borderId="1" xfId="0" applyFont="1" applyFill="1" applyBorder="1" applyAlignment="1">
      <alignment horizontal="center"/>
    </xf>
    <xf numFmtId="0" fontId="0" fillId="0" borderId="6" xfId="0" applyFont="1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14" fontId="0" fillId="0" borderId="6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9" xfId="0" applyFont="1" applyFill="1" applyBorder="1" applyAlignment="1">
      <alignment horizontal="center"/>
    </xf>
    <xf numFmtId="0" fontId="25" fillId="0" borderId="7" xfId="0" applyFont="1" applyFill="1" applyBorder="1" applyAlignment="1">
      <alignment vertical="center"/>
    </xf>
    <xf numFmtId="0" fontId="0" fillId="0" borderId="36" xfId="0" applyBorder="1"/>
    <xf numFmtId="0" fontId="0" fillId="0" borderId="6" xfId="0" applyBorder="1"/>
    <xf numFmtId="0" fontId="0" fillId="0" borderId="3" xfId="0" applyFont="1" applyBorder="1" applyAlignment="1">
      <alignment horizontal="left"/>
    </xf>
    <xf numFmtId="0" fontId="1" fillId="38" borderId="5" xfId="0" applyFont="1" applyFill="1" applyBorder="1" applyAlignment="1">
      <alignment horizontal="center"/>
    </xf>
    <xf numFmtId="0" fontId="0" fillId="38" borderId="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38" borderId="5" xfId="0" applyFont="1" applyFill="1" applyBorder="1" applyAlignment="1">
      <alignment horizontal="left"/>
    </xf>
    <xf numFmtId="0" fontId="0" fillId="38" borderId="6" xfId="0" applyFont="1" applyFill="1" applyBorder="1" applyAlignment="1">
      <alignment horizontal="left"/>
    </xf>
    <xf numFmtId="0" fontId="0" fillId="38" borderId="6" xfId="0" applyFont="1" applyFill="1" applyBorder="1" applyAlignment="1">
      <alignment horizontal="center"/>
    </xf>
    <xf numFmtId="0" fontId="28" fillId="0" borderId="35" xfId="0" applyNumberFormat="1" applyFont="1" applyFill="1" applyBorder="1" applyAlignment="1">
      <alignment horizontal="center" vertical="center" wrapText="1"/>
    </xf>
    <xf numFmtId="14" fontId="1" fillId="0" borderId="7" xfId="0" applyNumberFormat="1" applyFont="1" applyFill="1" applyBorder="1" applyAlignment="1">
      <alignment horizontal="center"/>
    </xf>
    <xf numFmtId="14" fontId="1" fillId="38" borderId="5" xfId="0" applyNumberFormat="1" applyFont="1" applyFill="1" applyBorder="1" applyAlignment="1">
      <alignment horizontal="center"/>
    </xf>
    <xf numFmtId="14" fontId="1" fillId="0" borderId="6" xfId="0" applyNumberFormat="1" applyFont="1" applyFill="1" applyBorder="1" applyAlignment="1">
      <alignment horizontal="center"/>
    </xf>
    <xf numFmtId="0" fontId="36" fillId="3" borderId="3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36" fillId="3" borderId="3" xfId="0" applyNumberFormat="1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0" borderId="39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24" fillId="3" borderId="25" xfId="0" applyFont="1" applyFill="1" applyBorder="1" applyAlignment="1">
      <alignment horizontal="center" vertical="center"/>
    </xf>
    <xf numFmtId="0" fontId="24" fillId="3" borderId="18" xfId="0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/>
    </xf>
    <xf numFmtId="0" fontId="24" fillId="3" borderId="19" xfId="0" applyFont="1" applyFill="1" applyBorder="1" applyAlignment="1">
      <alignment horizontal="center" vertical="center"/>
    </xf>
    <xf numFmtId="0" fontId="24" fillId="3" borderId="20" xfId="0" applyFont="1" applyFill="1" applyBorder="1" applyAlignment="1">
      <alignment horizontal="center" vertical="center"/>
    </xf>
    <xf numFmtId="0" fontId="24" fillId="3" borderId="33" xfId="0" applyFont="1" applyFill="1" applyBorder="1" applyAlignment="1">
      <alignment horizontal="center" vertical="center"/>
    </xf>
    <xf numFmtId="0" fontId="24" fillId="3" borderId="34" xfId="0" applyFont="1" applyFill="1" applyBorder="1" applyAlignment="1">
      <alignment horizontal="center" vertical="center"/>
    </xf>
    <xf numFmtId="0" fontId="25" fillId="3" borderId="27" xfId="0" applyFont="1" applyFill="1" applyBorder="1" applyAlignment="1">
      <alignment horizontal="center" vertical="center"/>
    </xf>
    <xf numFmtId="0" fontId="24" fillId="3" borderId="26" xfId="0" applyFont="1" applyFill="1" applyBorder="1" applyAlignment="1">
      <alignment horizontal="center" vertical="center"/>
    </xf>
    <xf numFmtId="0" fontId="25" fillId="3" borderId="19" xfId="0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25" fillId="3" borderId="20" xfId="0" applyFont="1" applyFill="1" applyBorder="1" applyAlignment="1">
      <alignment horizontal="center" vertical="center"/>
    </xf>
    <xf numFmtId="0" fontId="35" fillId="43" borderId="28" xfId="0" applyFont="1" applyFill="1" applyBorder="1" applyAlignment="1">
      <alignment horizontal="center" vertical="center" wrapText="1"/>
    </xf>
    <xf numFmtId="0" fontId="35" fillId="43" borderId="17" xfId="0" applyFont="1" applyFill="1" applyBorder="1" applyAlignment="1">
      <alignment horizontal="center" vertical="center" wrapText="1"/>
    </xf>
    <xf numFmtId="0" fontId="35" fillId="43" borderId="28" xfId="0" applyFont="1" applyFill="1" applyBorder="1" applyAlignment="1">
      <alignment vertical="center" wrapText="1"/>
    </xf>
    <xf numFmtId="0" fontId="35" fillId="43" borderId="17" xfId="0" applyFont="1" applyFill="1" applyBorder="1" applyAlignment="1">
      <alignment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35" fillId="40" borderId="28" xfId="0" applyFont="1" applyFill="1" applyBorder="1" applyAlignment="1">
      <alignment horizontal="center" vertical="center" wrapText="1"/>
    </xf>
    <xf numFmtId="0" fontId="35" fillId="40" borderId="29" xfId="0" applyFont="1" applyFill="1" applyBorder="1" applyAlignment="1">
      <alignment horizontal="center" vertical="center" wrapText="1"/>
    </xf>
    <xf numFmtId="0" fontId="35" fillId="41" borderId="28" xfId="0" applyFont="1" applyFill="1" applyBorder="1" applyAlignment="1">
      <alignment horizontal="center" vertical="center" wrapText="1"/>
    </xf>
    <xf numFmtId="0" fontId="35" fillId="41" borderId="17" xfId="0" applyFont="1" applyFill="1" applyBorder="1" applyAlignment="1">
      <alignment horizontal="center" vertical="center" wrapText="1"/>
    </xf>
    <xf numFmtId="0" fontId="35" fillId="40" borderId="17" xfId="0" applyFont="1" applyFill="1" applyBorder="1" applyAlignment="1">
      <alignment horizontal="center" vertical="center" wrapText="1"/>
    </xf>
    <xf numFmtId="0" fontId="35" fillId="42" borderId="28" xfId="0" applyFont="1" applyFill="1" applyBorder="1" applyAlignment="1">
      <alignment horizontal="center" vertical="center" wrapText="1"/>
    </xf>
    <xf numFmtId="0" fontId="35" fillId="42" borderId="17" xfId="0" applyFont="1" applyFill="1" applyBorder="1" applyAlignment="1">
      <alignment horizontal="center" vertical="center" wrapText="1"/>
    </xf>
    <xf numFmtId="0" fontId="35" fillId="40" borderId="28" xfId="0" applyFont="1" applyFill="1" applyBorder="1" applyAlignment="1">
      <alignment vertical="center" wrapText="1"/>
    </xf>
    <xf numFmtId="0" fontId="35" fillId="40" borderId="17" xfId="0" applyFont="1" applyFill="1" applyBorder="1" applyAlignment="1">
      <alignment vertical="center" wrapText="1"/>
    </xf>
  </cellXfs>
  <cellStyles count="46">
    <cellStyle name="20% - Ênfase1" xfId="23" builtinId="30" customBuiltin="1"/>
    <cellStyle name="20% - Ênfase2" xfId="27" builtinId="34" customBuiltin="1"/>
    <cellStyle name="20% - Ênfase3" xfId="31" builtinId="38" customBuiltin="1"/>
    <cellStyle name="20% - Ênfase4" xfId="35" builtinId="42" customBuiltin="1"/>
    <cellStyle name="20% - Ênfase5" xfId="39" builtinId="46" customBuiltin="1"/>
    <cellStyle name="20% - Ênfase6" xfId="43" builtinId="50" customBuiltin="1"/>
    <cellStyle name="40% - Ênfase1" xfId="24" builtinId="31" customBuiltin="1"/>
    <cellStyle name="40% - Ênfase2" xfId="28" builtinId="35" customBuiltin="1"/>
    <cellStyle name="40% - Ênfase3" xfId="32" builtinId="39" customBuiltin="1"/>
    <cellStyle name="40% - Ênfase4" xfId="36" builtinId="43" customBuiltin="1"/>
    <cellStyle name="40% - Ênfase5" xfId="40" builtinId="47" customBuiltin="1"/>
    <cellStyle name="40% - Ênfase6" xfId="44" builtinId="51" customBuiltin="1"/>
    <cellStyle name="60% - Ênfase1" xfId="25" builtinId="32" customBuiltin="1"/>
    <cellStyle name="60% - Ênfase2" xfId="29" builtinId="36" customBuiltin="1"/>
    <cellStyle name="60% - Ênfase3" xfId="33" builtinId="40" customBuiltin="1"/>
    <cellStyle name="60% - Ênfase4" xfId="37" builtinId="44" customBuiltin="1"/>
    <cellStyle name="60% - Ênfase5" xfId="41" builtinId="48" customBuiltin="1"/>
    <cellStyle name="60% - Ênfase6" xfId="45" builtinId="52" customBuiltin="1"/>
    <cellStyle name="Bom" xfId="10" builtinId="26" customBuiltin="1"/>
    <cellStyle name="Cálculo" xfId="15" builtinId="22" customBuiltin="1"/>
    <cellStyle name="Célula de Verificação" xfId="17" builtinId="23" customBuiltin="1"/>
    <cellStyle name="Célula Vinculada" xfId="16" builtinId="24" customBuiltin="1"/>
    <cellStyle name="Ênfase1" xfId="22" builtinId="29" customBuiltin="1"/>
    <cellStyle name="Ênfase2" xfId="26" builtinId="33" customBuiltin="1"/>
    <cellStyle name="Ênfase3" xfId="30" builtinId="37" customBuiltin="1"/>
    <cellStyle name="Ênfase4" xfId="34" builtinId="41" customBuiltin="1"/>
    <cellStyle name="Ênfase5" xfId="38" builtinId="45" customBuiltin="1"/>
    <cellStyle name="Ênfase6" xfId="42" builtinId="49" customBuiltin="1"/>
    <cellStyle name="Entrada" xfId="13" builtinId="20" customBuiltin="1"/>
    <cellStyle name="Incorreto" xfId="11" builtinId="27" customBuiltin="1"/>
    <cellStyle name="Moeda 2" xfId="2"/>
    <cellStyle name="Neutra" xfId="12" builtinId="28" customBuiltin="1"/>
    <cellStyle name="Normal" xfId="0" builtinId="0"/>
    <cellStyle name="Normal 2" xfId="1"/>
    <cellStyle name="Nota" xfId="19" builtinId="10" customBuiltin="1"/>
    <cellStyle name="Porcentagem 2" xfId="3"/>
    <cellStyle name="Saída" xfId="14" builtinId="21" customBuiltin="1"/>
    <cellStyle name="Texto de Aviso" xfId="18" builtinId="11" customBuiltin="1"/>
    <cellStyle name="Texto Explicativo" xfId="20" builtinId="53" customBuiltin="1"/>
    <cellStyle name="Título" xfId="5" builtinId="15" customBuiltin="1"/>
    <cellStyle name="Título 1" xfId="6" builtinId="16" customBuiltin="1"/>
    <cellStyle name="Título 2" xfId="7" builtinId="17" customBuiltin="1"/>
    <cellStyle name="Título 3" xfId="8" builtinId="18" customBuiltin="1"/>
    <cellStyle name="Título 4" xfId="9" builtinId="19" customBuiltin="1"/>
    <cellStyle name="Total" xfId="21" builtinId="25" customBuiltin="1"/>
    <cellStyle name="Vírgula" xfId="4" builtinId="3"/>
  </cellStyles>
  <dxfs count="986"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theme="0"/>
          <bgColor theme="3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0000"/>
      <color rgb="FFF7A3A9"/>
      <color rgb="FFFF3300"/>
      <color rgb="FFCC0000"/>
      <color rgb="FFFFCCCC"/>
      <color rgb="FFFF9999"/>
      <color rgb="FFFF0066"/>
      <color rgb="FFFF7C80"/>
      <color rgb="FFE5F5FF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122</xdr:row>
      <xdr:rowOff>0</xdr:rowOff>
    </xdr:from>
    <xdr:to>
      <xdr:col>3</xdr:col>
      <xdr:colOff>28575</xdr:colOff>
      <xdr:row>123</xdr:row>
      <xdr:rowOff>159070</xdr:rowOff>
    </xdr:to>
    <xdr:pic>
      <xdr:nvPicPr>
        <xdr:cNvPr id="2" name="Imagem 1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28725" cy="63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139</xdr:row>
      <xdr:rowOff>0</xdr:rowOff>
    </xdr:from>
    <xdr:to>
      <xdr:col>3</xdr:col>
      <xdr:colOff>28575</xdr:colOff>
      <xdr:row>140</xdr:row>
      <xdr:rowOff>159070</xdr:rowOff>
    </xdr:to>
    <xdr:pic>
      <xdr:nvPicPr>
        <xdr:cNvPr id="3" name="Imagem 2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28725" cy="63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153</xdr:row>
      <xdr:rowOff>0</xdr:rowOff>
    </xdr:from>
    <xdr:to>
      <xdr:col>3</xdr:col>
      <xdr:colOff>28575</xdr:colOff>
      <xdr:row>154</xdr:row>
      <xdr:rowOff>159070</xdr:rowOff>
    </xdr:to>
    <xdr:pic>
      <xdr:nvPicPr>
        <xdr:cNvPr id="4" name="Imagem 3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4975" y="3429000"/>
          <a:ext cx="981075" cy="3495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105</xdr:row>
      <xdr:rowOff>28575</xdr:rowOff>
    </xdr:from>
    <xdr:to>
      <xdr:col>3</xdr:col>
      <xdr:colOff>28575</xdr:colOff>
      <xdr:row>106</xdr:row>
      <xdr:rowOff>187645</xdr:rowOff>
    </xdr:to>
    <xdr:pic>
      <xdr:nvPicPr>
        <xdr:cNvPr id="6" name="Imagem 5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67075"/>
          <a:ext cx="1228725" cy="501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90</xdr:row>
      <xdr:rowOff>28575</xdr:rowOff>
    </xdr:from>
    <xdr:to>
      <xdr:col>3</xdr:col>
      <xdr:colOff>28575</xdr:colOff>
      <xdr:row>91</xdr:row>
      <xdr:rowOff>187645</xdr:rowOff>
    </xdr:to>
    <xdr:pic>
      <xdr:nvPicPr>
        <xdr:cNvPr id="7" name="Imagem 6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67075"/>
          <a:ext cx="1228725" cy="501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75</xdr:row>
      <xdr:rowOff>37561</xdr:rowOff>
    </xdr:from>
    <xdr:to>
      <xdr:col>3</xdr:col>
      <xdr:colOff>28575</xdr:colOff>
      <xdr:row>76</xdr:row>
      <xdr:rowOff>196631</xdr:rowOff>
    </xdr:to>
    <xdr:pic>
      <xdr:nvPicPr>
        <xdr:cNvPr id="8" name="Imagem 7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8386"/>
          <a:ext cx="1232679" cy="5005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0</xdr:colOff>
      <xdr:row>75</xdr:row>
      <xdr:rowOff>28575</xdr:rowOff>
    </xdr:from>
    <xdr:to>
      <xdr:col>16</xdr:col>
      <xdr:colOff>0</xdr:colOff>
      <xdr:row>76</xdr:row>
      <xdr:rowOff>187645</xdr:rowOff>
    </xdr:to>
    <xdr:pic>
      <xdr:nvPicPr>
        <xdr:cNvPr id="9" name="Imagem 8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219200" cy="4964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0</xdr:colOff>
      <xdr:row>75</xdr:row>
      <xdr:rowOff>28575</xdr:rowOff>
    </xdr:from>
    <xdr:to>
      <xdr:col>16</xdr:col>
      <xdr:colOff>28575</xdr:colOff>
      <xdr:row>76</xdr:row>
      <xdr:rowOff>187645</xdr:rowOff>
    </xdr:to>
    <xdr:pic>
      <xdr:nvPicPr>
        <xdr:cNvPr id="10" name="Imagem 9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232679" cy="500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56</xdr:row>
      <xdr:rowOff>37561</xdr:rowOff>
    </xdr:from>
    <xdr:to>
      <xdr:col>3</xdr:col>
      <xdr:colOff>28575</xdr:colOff>
      <xdr:row>57</xdr:row>
      <xdr:rowOff>196631</xdr:rowOff>
    </xdr:to>
    <xdr:pic>
      <xdr:nvPicPr>
        <xdr:cNvPr id="12" name="Imagem 11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65792"/>
          <a:ext cx="1232679" cy="500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37561</xdr:rowOff>
    </xdr:from>
    <xdr:to>
      <xdr:col>1</xdr:col>
      <xdr:colOff>8986</xdr:colOff>
      <xdr:row>41</xdr:row>
      <xdr:rowOff>196631</xdr:rowOff>
    </xdr:to>
    <xdr:pic>
      <xdr:nvPicPr>
        <xdr:cNvPr id="11" name="Imagem 10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561"/>
          <a:ext cx="1213090" cy="500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29</xdr:row>
      <xdr:rowOff>37561</xdr:rowOff>
    </xdr:from>
    <xdr:to>
      <xdr:col>1</xdr:col>
      <xdr:colOff>8986</xdr:colOff>
      <xdr:row>30</xdr:row>
      <xdr:rowOff>196631</xdr:rowOff>
    </xdr:to>
    <xdr:pic>
      <xdr:nvPicPr>
        <xdr:cNvPr id="13" name="Imagem 12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56806"/>
          <a:ext cx="1213090" cy="5005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15</xdr:row>
      <xdr:rowOff>37561</xdr:rowOff>
    </xdr:from>
    <xdr:to>
      <xdr:col>1</xdr:col>
      <xdr:colOff>8986</xdr:colOff>
      <xdr:row>16</xdr:row>
      <xdr:rowOff>196631</xdr:rowOff>
    </xdr:to>
    <xdr:pic>
      <xdr:nvPicPr>
        <xdr:cNvPr id="14" name="Imagem 13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3292"/>
          <a:ext cx="1213090" cy="491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37561</xdr:rowOff>
    </xdr:from>
    <xdr:to>
      <xdr:col>1</xdr:col>
      <xdr:colOff>8986</xdr:colOff>
      <xdr:row>1</xdr:row>
      <xdr:rowOff>196631</xdr:rowOff>
    </xdr:to>
    <xdr:pic>
      <xdr:nvPicPr>
        <xdr:cNvPr id="15" name="Imagem 14" descr="Kon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34212"/>
          <a:ext cx="1213090" cy="3567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6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7" Type="http://schemas.microsoft.com/office/2006/relationships/wsSortMap" Target="wsSortMap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10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Q25" sqref="A1:Q25"/>
    </sheetView>
  </sheetViews>
  <sheetFormatPr defaultRowHeight="15" x14ac:dyDescent="0.25"/>
  <sheetData/>
  <customSheetViews>
    <customSheetView guid="{8DFF655C-62BA-4527-8B82-3263C3734441}" state="hidden">
      <selection activeCell="Q25" sqref="A1:Q25"/>
      <pageMargins left="0.511811024" right="0.511811024" top="0.78740157499999996" bottom="0.78740157499999996" header="0.31496062000000002" footer="0.31496062000000002"/>
    </customSheetView>
    <customSheetView guid="{095A3D2E-B082-45FD-B82E-E63CCAF3ADFE}" state="hidden">
      <selection activeCell="Q25" sqref="A1:Q25"/>
      <pageMargins left="0.511811024" right="0.511811024" top="0.78740157499999996" bottom="0.78740157499999996" header="0.31496062000000002" footer="0.31496062000000002"/>
    </customSheetView>
    <customSheetView guid="{BCAC6F9D-A5D3-4BF4-A6B7-85B9B6C91B10}" showPageBreaks="1" state="hidden">
      <selection activeCell="Q25" sqref="A1:Q25"/>
      <pageMargins left="0.511811024" right="0.511811024" top="0.78740157499999996" bottom="0.78740157499999996" header="0.31496062000000002" footer="0.31496062000000002"/>
      <pageSetup paperSize="9" orientation="portrait" verticalDpi="0" r:id="rId1"/>
    </customSheetView>
  </customSheetView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XFB300"/>
  <sheetViews>
    <sheetView tabSelected="1" zoomScale="78" zoomScaleNormal="78" workbookViewId="0">
      <selection activeCell="J7" sqref="J7"/>
    </sheetView>
  </sheetViews>
  <sheetFormatPr defaultRowHeight="15" x14ac:dyDescent="0.25"/>
  <cols>
    <col min="1" max="1" width="11.7109375" style="9" bestFit="1" customWidth="1"/>
    <col min="2" max="2" width="9.140625" style="10"/>
    <col min="3" max="4" width="9.140625" style="11"/>
    <col min="5" max="5" width="29.85546875" style="9" bestFit="1" customWidth="1"/>
    <col min="6" max="6" width="13.140625" style="9" customWidth="1"/>
    <col min="7" max="7" width="10.28515625" style="9" customWidth="1"/>
    <col min="8" max="8" width="8" style="9" bestFit="1" customWidth="1"/>
    <col min="9" max="9" width="13" style="9" bestFit="1" customWidth="1"/>
    <col min="10" max="10" width="11.85546875" style="9" bestFit="1" customWidth="1"/>
    <col min="11" max="11" width="4.140625" style="9" customWidth="1"/>
    <col min="12" max="12" width="10.7109375" style="9" bestFit="1" customWidth="1"/>
    <col min="13" max="13" width="11.42578125" style="9" bestFit="1" customWidth="1"/>
    <col min="14" max="14" width="9.140625" style="23"/>
    <col min="15" max="15" width="9.140625" style="240"/>
    <col min="16" max="16" width="12" style="9" bestFit="1" customWidth="1"/>
    <col min="17" max="17" width="15" style="9" bestFit="1" customWidth="1"/>
    <col min="18" max="16384" width="9.140625" style="9"/>
  </cols>
  <sheetData>
    <row r="1" spans="1:54" s="24" customFormat="1" ht="79.5" customHeight="1" x14ac:dyDescent="0.2">
      <c r="A1" s="75" t="s">
        <v>26</v>
      </c>
      <c r="B1" s="75" t="s">
        <v>10</v>
      </c>
      <c r="C1" s="75" t="s">
        <v>0</v>
      </c>
      <c r="D1" s="75" t="s">
        <v>1</v>
      </c>
      <c r="E1" s="75" t="s">
        <v>14</v>
      </c>
      <c r="F1" s="75" t="s">
        <v>2</v>
      </c>
      <c r="G1" s="105" t="s">
        <v>233</v>
      </c>
      <c r="H1" s="91" t="s">
        <v>3</v>
      </c>
      <c r="I1" s="75" t="s">
        <v>15</v>
      </c>
      <c r="J1" s="75" t="s">
        <v>4</v>
      </c>
      <c r="K1" s="76">
        <f ca="1">NOW()</f>
        <v>45460.660617824076</v>
      </c>
      <c r="L1" s="111" t="s">
        <v>232</v>
      </c>
      <c r="M1" s="110" t="s">
        <v>27</v>
      </c>
      <c r="N1" s="111" t="s">
        <v>231</v>
      </c>
      <c r="O1" s="111" t="s">
        <v>5</v>
      </c>
      <c r="P1" s="92" t="s">
        <v>11</v>
      </c>
      <c r="Q1" s="77" t="s">
        <v>12</v>
      </c>
      <c r="R1" s="25"/>
      <c r="S1" s="27"/>
      <c r="T1" s="27"/>
      <c r="U1" s="27"/>
      <c r="V1" s="26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25">
      <c r="A2" s="6" t="s">
        <v>57</v>
      </c>
      <c r="B2" s="6">
        <v>3509</v>
      </c>
      <c r="C2" s="6">
        <v>183091</v>
      </c>
      <c r="D2" s="6">
        <v>5</v>
      </c>
      <c r="E2" s="151">
        <v>725301025</v>
      </c>
      <c r="F2" s="151" t="s">
        <v>167</v>
      </c>
      <c r="G2" s="192">
        <v>940</v>
      </c>
      <c r="H2" s="44">
        <v>940</v>
      </c>
      <c r="I2" s="244">
        <f t="shared" ref="I2:I4" si="0">H2-L2</f>
        <v>0</v>
      </c>
      <c r="J2" s="124">
        <v>45215</v>
      </c>
      <c r="K2" s="43"/>
      <c r="L2" s="116">
        <v>940</v>
      </c>
      <c r="M2" s="43">
        <v>45212</v>
      </c>
      <c r="N2" s="116">
        <v>19340</v>
      </c>
      <c r="O2" s="108">
        <v>0</v>
      </c>
      <c r="P2" s="118">
        <v>11.65</v>
      </c>
      <c r="Q2" s="71">
        <f>P2*H2</f>
        <v>10951</v>
      </c>
    </row>
    <row r="3" spans="1:54" x14ac:dyDescent="0.25">
      <c r="A3" s="20" t="s">
        <v>57</v>
      </c>
      <c r="B3" s="20">
        <v>3504</v>
      </c>
      <c r="C3" s="20">
        <v>182964</v>
      </c>
      <c r="D3" s="20">
        <v>8</v>
      </c>
      <c r="E3" s="45">
        <v>725301025</v>
      </c>
      <c r="F3" s="45" t="s">
        <v>167</v>
      </c>
      <c r="G3" s="231">
        <v>650</v>
      </c>
      <c r="H3" s="160">
        <v>650</v>
      </c>
      <c r="I3" s="111">
        <f t="shared" si="0"/>
        <v>0</v>
      </c>
      <c r="J3" s="162">
        <v>45223</v>
      </c>
      <c r="K3" s="43"/>
      <c r="L3" s="116">
        <v>650</v>
      </c>
      <c r="M3" s="43">
        <v>45219</v>
      </c>
      <c r="N3" s="116">
        <v>19378</v>
      </c>
      <c r="O3" s="108">
        <v>0</v>
      </c>
      <c r="P3" s="118">
        <v>11.65</v>
      </c>
      <c r="Q3" s="71">
        <f>P3*H3</f>
        <v>7572.5</v>
      </c>
    </row>
    <row r="4" spans="1:54" x14ac:dyDescent="0.25">
      <c r="A4" s="5" t="s">
        <v>57</v>
      </c>
      <c r="B4" s="5">
        <v>3519</v>
      </c>
      <c r="C4" s="5">
        <v>183228</v>
      </c>
      <c r="D4" s="5">
        <v>8</v>
      </c>
      <c r="E4" s="42">
        <v>725301025</v>
      </c>
      <c r="F4" s="42" t="s">
        <v>167</v>
      </c>
      <c r="G4" s="115">
        <v>100</v>
      </c>
      <c r="H4" s="41">
        <v>100</v>
      </c>
      <c r="I4" s="117">
        <f t="shared" si="0"/>
        <v>0</v>
      </c>
      <c r="J4" s="43">
        <v>45228</v>
      </c>
      <c r="K4" s="43"/>
      <c r="L4" s="116">
        <v>100</v>
      </c>
      <c r="M4" s="43">
        <v>45224</v>
      </c>
      <c r="N4" s="116">
        <v>19406</v>
      </c>
      <c r="O4" s="108">
        <v>0</v>
      </c>
      <c r="P4" s="118">
        <v>11.65</v>
      </c>
      <c r="Q4" s="71">
        <f>P4*H4</f>
        <v>1165</v>
      </c>
    </row>
    <row r="5" spans="1:54" x14ac:dyDescent="0.25">
      <c r="A5" s="5" t="s">
        <v>57</v>
      </c>
      <c r="B5" s="5">
        <v>3616</v>
      </c>
      <c r="C5" s="5">
        <v>184416</v>
      </c>
      <c r="D5" s="5">
        <v>4</v>
      </c>
      <c r="E5" s="42">
        <v>725392447</v>
      </c>
      <c r="F5" s="42" t="s">
        <v>280</v>
      </c>
      <c r="G5" s="115">
        <v>2500</v>
      </c>
      <c r="H5" s="41">
        <v>500</v>
      </c>
      <c r="I5" s="117">
        <f>H5-L5</f>
        <v>0</v>
      </c>
      <c r="J5" s="43">
        <v>45257</v>
      </c>
      <c r="K5" s="43"/>
      <c r="L5" s="116">
        <v>500</v>
      </c>
      <c r="M5" s="43">
        <v>45244</v>
      </c>
      <c r="N5" s="116">
        <v>19500</v>
      </c>
      <c r="O5" s="108">
        <v>0</v>
      </c>
      <c r="P5" s="118">
        <v>39.090000000000003</v>
      </c>
      <c r="Q5" s="71">
        <f>P5*H5</f>
        <v>19545</v>
      </c>
    </row>
    <row r="6" spans="1:54" x14ac:dyDescent="0.25">
      <c r="A6" s="6" t="s">
        <v>57</v>
      </c>
      <c r="B6" s="6">
        <v>3616</v>
      </c>
      <c r="C6" s="6">
        <v>184416</v>
      </c>
      <c r="D6" s="6">
        <v>7</v>
      </c>
      <c r="E6" s="151">
        <v>725392447</v>
      </c>
      <c r="F6" s="151" t="s">
        <v>280</v>
      </c>
      <c r="G6" s="192">
        <v>2500</v>
      </c>
      <c r="H6" s="44">
        <v>500</v>
      </c>
      <c r="I6" s="244">
        <f>H6-L6</f>
        <v>0</v>
      </c>
      <c r="J6" s="124">
        <v>45258</v>
      </c>
      <c r="K6" s="43"/>
      <c r="L6" s="116">
        <v>500</v>
      </c>
      <c r="M6" s="43">
        <v>45257</v>
      </c>
      <c r="N6" s="4">
        <v>19565</v>
      </c>
      <c r="O6" s="108">
        <v>0</v>
      </c>
      <c r="P6" s="118">
        <v>39.090000000000003</v>
      </c>
      <c r="Q6" s="71">
        <f>P6*H6</f>
        <v>19545</v>
      </c>
    </row>
    <row r="7" spans="1:54" x14ac:dyDescent="0.25">
      <c r="A7" s="182" t="s">
        <v>57</v>
      </c>
      <c r="B7" s="182">
        <v>3518</v>
      </c>
      <c r="C7" s="182">
        <v>183092</v>
      </c>
      <c r="D7" s="182">
        <v>5</v>
      </c>
      <c r="E7" s="207" t="s">
        <v>59</v>
      </c>
      <c r="F7" s="207" t="s">
        <v>60</v>
      </c>
      <c r="G7" s="115">
        <v>1000</v>
      </c>
      <c r="H7" s="41">
        <v>405</v>
      </c>
      <c r="I7" s="245">
        <f>H7-L7</f>
        <v>0</v>
      </c>
      <c r="J7" s="177">
        <v>45260</v>
      </c>
      <c r="K7" s="43"/>
      <c r="L7" s="116">
        <v>405</v>
      </c>
      <c r="M7" s="43">
        <v>45233</v>
      </c>
      <c r="N7" s="4">
        <v>19458</v>
      </c>
      <c r="O7" s="4">
        <v>0</v>
      </c>
      <c r="P7" s="74"/>
      <c r="Q7" s="71"/>
    </row>
    <row r="8" spans="1:54" x14ac:dyDescent="0.25">
      <c r="A8" s="20" t="s">
        <v>247</v>
      </c>
      <c r="B8" s="20">
        <v>3553</v>
      </c>
      <c r="C8" s="20">
        <v>21370</v>
      </c>
      <c r="D8" s="20">
        <v>1</v>
      </c>
      <c r="E8" s="45" t="s">
        <v>248</v>
      </c>
      <c r="F8" s="45" t="s">
        <v>249</v>
      </c>
      <c r="G8" s="156">
        <v>60</v>
      </c>
      <c r="H8" s="68">
        <v>30</v>
      </c>
      <c r="I8" s="140" t="e">
        <f>H8-#REF!</f>
        <v>#REF!</v>
      </c>
      <c r="J8" s="139">
        <v>45191</v>
      </c>
      <c r="K8" s="43"/>
      <c r="L8" s="113">
        <v>30</v>
      </c>
      <c r="M8" s="17">
        <v>45202</v>
      </c>
      <c r="N8" s="14">
        <v>19284</v>
      </c>
      <c r="O8" s="4">
        <v>0</v>
      </c>
      <c r="P8" s="74"/>
      <c r="Q8" s="71"/>
    </row>
    <row r="9" spans="1:54" x14ac:dyDescent="0.25">
      <c r="A9" s="20" t="s">
        <v>247</v>
      </c>
      <c r="B9" s="20">
        <v>3553</v>
      </c>
      <c r="C9" s="20">
        <v>21370</v>
      </c>
      <c r="D9" s="20">
        <v>1</v>
      </c>
      <c r="E9" s="45" t="s">
        <v>248</v>
      </c>
      <c r="F9" s="45" t="s">
        <v>249</v>
      </c>
      <c r="G9" s="156">
        <v>60</v>
      </c>
      <c r="H9" s="68">
        <v>33</v>
      </c>
      <c r="I9" s="163">
        <f t="shared" ref="I9:I72" si="1">H9-L9</f>
        <v>0</v>
      </c>
      <c r="J9" s="162">
        <v>45191</v>
      </c>
      <c r="K9" s="162"/>
      <c r="L9" s="113">
        <v>33</v>
      </c>
      <c r="M9" s="17">
        <v>45219</v>
      </c>
      <c r="N9" s="14">
        <v>19385</v>
      </c>
      <c r="O9" s="238">
        <v>0</v>
      </c>
      <c r="P9" s="197"/>
      <c r="Q9" s="74">
        <v>35.15</v>
      </c>
    </row>
    <row r="10" spans="1:54" x14ac:dyDescent="0.25">
      <c r="A10" s="157" t="s">
        <v>16</v>
      </c>
      <c r="B10" s="157">
        <v>3543</v>
      </c>
      <c r="C10" s="157">
        <v>37379</v>
      </c>
      <c r="D10" s="157">
        <v>1</v>
      </c>
      <c r="E10" s="229" t="s">
        <v>154</v>
      </c>
      <c r="F10" s="229" t="s">
        <v>150</v>
      </c>
      <c r="G10" s="231">
        <v>50</v>
      </c>
      <c r="H10" s="160">
        <v>50</v>
      </c>
      <c r="I10" s="161">
        <f t="shared" si="1"/>
        <v>-1</v>
      </c>
      <c r="J10" s="235">
        <v>45194</v>
      </c>
      <c r="K10" s="124"/>
      <c r="L10" s="116">
        <v>51</v>
      </c>
      <c r="M10" s="43">
        <v>45215</v>
      </c>
      <c r="N10" s="116">
        <v>19357</v>
      </c>
      <c r="O10" s="4">
        <v>1</v>
      </c>
      <c r="P10" s="74">
        <v>75.959999999999994</v>
      </c>
      <c r="Q10" s="71">
        <f t="shared" ref="Q10:Q15" si="2">P10*H10</f>
        <v>3797.9999999999995</v>
      </c>
    </row>
    <row r="11" spans="1:54" x14ac:dyDescent="0.25">
      <c r="A11" s="20" t="s">
        <v>57</v>
      </c>
      <c r="B11" s="20">
        <v>3518</v>
      </c>
      <c r="C11" s="20">
        <v>183092</v>
      </c>
      <c r="D11" s="20">
        <v>24</v>
      </c>
      <c r="E11" s="45" t="s">
        <v>59</v>
      </c>
      <c r="F11" s="45" t="s">
        <v>60</v>
      </c>
      <c r="G11" s="279">
        <v>1000</v>
      </c>
      <c r="H11" s="68">
        <v>595</v>
      </c>
      <c r="I11" s="163">
        <f t="shared" si="1"/>
        <v>0</v>
      </c>
      <c r="J11" s="162">
        <v>45260</v>
      </c>
      <c r="K11" s="43"/>
      <c r="L11" s="116">
        <v>595</v>
      </c>
      <c r="M11" s="43">
        <v>45260</v>
      </c>
      <c r="N11" s="116">
        <v>19588</v>
      </c>
      <c r="O11" s="4">
        <v>0</v>
      </c>
      <c r="P11" s="74">
        <v>9.02</v>
      </c>
      <c r="Q11" s="71">
        <f t="shared" si="2"/>
        <v>5366.9</v>
      </c>
    </row>
    <row r="12" spans="1:54" x14ac:dyDescent="0.25">
      <c r="A12" s="5" t="s">
        <v>9</v>
      </c>
      <c r="B12" s="4" t="s">
        <v>38</v>
      </c>
      <c r="C12" s="5">
        <v>5500007922</v>
      </c>
      <c r="D12" s="5" t="s">
        <v>6</v>
      </c>
      <c r="E12" s="42" t="s">
        <v>25</v>
      </c>
      <c r="F12" s="42" t="s">
        <v>151</v>
      </c>
      <c r="G12" s="115">
        <v>11</v>
      </c>
      <c r="H12" s="41">
        <v>11</v>
      </c>
      <c r="I12" s="114">
        <f t="shared" si="1"/>
        <v>0</v>
      </c>
      <c r="J12" s="43">
        <v>45201</v>
      </c>
      <c r="K12" s="43"/>
      <c r="L12" s="116">
        <v>11</v>
      </c>
      <c r="M12" s="43">
        <v>45212</v>
      </c>
      <c r="N12" s="116">
        <v>19337</v>
      </c>
      <c r="O12" s="4">
        <v>0</v>
      </c>
      <c r="P12" s="74">
        <v>23.78</v>
      </c>
      <c r="Q12" s="71">
        <f t="shared" si="2"/>
        <v>261.58000000000004</v>
      </c>
    </row>
    <row r="13" spans="1:54" x14ac:dyDescent="0.25">
      <c r="A13" s="5" t="s">
        <v>9</v>
      </c>
      <c r="B13" s="5">
        <v>3575</v>
      </c>
      <c r="C13" s="5">
        <v>5500015214</v>
      </c>
      <c r="D13" s="5" t="s">
        <v>6</v>
      </c>
      <c r="E13" s="42" t="s">
        <v>22</v>
      </c>
      <c r="F13" s="42" t="s">
        <v>193</v>
      </c>
      <c r="G13" s="115">
        <v>170</v>
      </c>
      <c r="H13" s="41">
        <v>170</v>
      </c>
      <c r="I13" s="114">
        <f t="shared" si="1"/>
        <v>0</v>
      </c>
      <c r="J13" s="43">
        <v>45202</v>
      </c>
      <c r="K13" s="43"/>
      <c r="L13" s="116">
        <v>170</v>
      </c>
      <c r="M13" s="43">
        <v>45212</v>
      </c>
      <c r="N13" s="116">
        <v>19337</v>
      </c>
      <c r="O13" s="4">
        <v>0</v>
      </c>
      <c r="P13" s="74">
        <v>60.83</v>
      </c>
      <c r="Q13" s="71">
        <f t="shared" si="2"/>
        <v>10341.1</v>
      </c>
    </row>
    <row r="14" spans="1:54" x14ac:dyDescent="0.25">
      <c r="A14" s="6" t="s">
        <v>57</v>
      </c>
      <c r="B14" s="6">
        <v>3518</v>
      </c>
      <c r="C14" s="6">
        <v>183092</v>
      </c>
      <c r="D14" s="6">
        <v>6</v>
      </c>
      <c r="E14" s="151" t="s">
        <v>61</v>
      </c>
      <c r="F14" s="151" t="s">
        <v>62</v>
      </c>
      <c r="G14" s="192">
        <v>200</v>
      </c>
      <c r="H14" s="44">
        <v>200</v>
      </c>
      <c r="I14" s="122">
        <f t="shared" si="1"/>
        <v>0</v>
      </c>
      <c r="J14" s="43">
        <v>45215</v>
      </c>
      <c r="K14" s="43"/>
      <c r="L14" s="116">
        <v>200</v>
      </c>
      <c r="M14" s="43">
        <v>45215</v>
      </c>
      <c r="N14" s="116">
        <v>19350</v>
      </c>
      <c r="O14" s="4">
        <v>0</v>
      </c>
      <c r="P14" s="74">
        <v>15.38</v>
      </c>
      <c r="Q14" s="71">
        <f t="shared" si="2"/>
        <v>3076</v>
      </c>
    </row>
    <row r="15" spans="1:54" x14ac:dyDescent="0.25">
      <c r="A15" s="6" t="s">
        <v>32</v>
      </c>
      <c r="B15" s="190">
        <v>3637</v>
      </c>
      <c r="C15" s="208">
        <v>275174</v>
      </c>
      <c r="D15" s="6" t="s">
        <v>6</v>
      </c>
      <c r="E15" s="120" t="s">
        <v>238</v>
      </c>
      <c r="F15" s="120" t="s">
        <v>250</v>
      </c>
      <c r="G15" s="80">
        <v>450</v>
      </c>
      <c r="H15" s="41">
        <v>79</v>
      </c>
      <c r="I15" s="122">
        <f t="shared" si="1"/>
        <v>0</v>
      </c>
      <c r="J15" s="123">
        <v>45245</v>
      </c>
      <c r="K15" s="35"/>
      <c r="L15" s="4">
        <v>79</v>
      </c>
      <c r="M15" s="35">
        <v>45237</v>
      </c>
      <c r="N15" s="4">
        <v>19743</v>
      </c>
      <c r="O15" s="4">
        <v>0</v>
      </c>
      <c r="P15" s="36">
        <v>48.89</v>
      </c>
      <c r="Q15" s="32">
        <f t="shared" si="2"/>
        <v>3862.31</v>
      </c>
    </row>
    <row r="16" spans="1:54" x14ac:dyDescent="0.25">
      <c r="A16" s="5" t="s">
        <v>246</v>
      </c>
      <c r="B16" s="5">
        <v>3587</v>
      </c>
      <c r="C16" s="5">
        <v>4510399379</v>
      </c>
      <c r="D16" s="5">
        <v>10</v>
      </c>
      <c r="E16" s="42" t="s">
        <v>207</v>
      </c>
      <c r="F16" s="42" t="s">
        <v>8</v>
      </c>
      <c r="G16" s="115">
        <v>10</v>
      </c>
      <c r="H16" s="41">
        <v>6</v>
      </c>
      <c r="I16" s="114">
        <f t="shared" si="1"/>
        <v>0</v>
      </c>
      <c r="J16" s="43">
        <v>45210</v>
      </c>
      <c r="K16" s="35"/>
      <c r="L16" s="116">
        <v>6</v>
      </c>
      <c r="M16" s="43">
        <v>45208</v>
      </c>
      <c r="N16" s="116">
        <v>19328</v>
      </c>
      <c r="O16" s="4">
        <v>0</v>
      </c>
      <c r="P16" s="36"/>
      <c r="Q16" s="32"/>
    </row>
    <row r="17" spans="1:18" x14ac:dyDescent="0.25">
      <c r="A17" s="5" t="s">
        <v>9</v>
      </c>
      <c r="B17" s="5">
        <v>3575</v>
      </c>
      <c r="C17" s="5">
        <v>5500012550</v>
      </c>
      <c r="D17" s="5" t="s">
        <v>6</v>
      </c>
      <c r="E17" s="42" t="s">
        <v>36</v>
      </c>
      <c r="F17" s="42" t="s">
        <v>193</v>
      </c>
      <c r="G17" s="115">
        <v>50</v>
      </c>
      <c r="H17" s="41">
        <v>7</v>
      </c>
      <c r="I17" s="114">
        <f t="shared" si="1"/>
        <v>0</v>
      </c>
      <c r="J17" s="43">
        <v>45210</v>
      </c>
      <c r="K17" s="39"/>
      <c r="L17" s="116">
        <v>7</v>
      </c>
      <c r="M17" s="43"/>
      <c r="N17" s="116">
        <v>19267</v>
      </c>
      <c r="O17" s="4">
        <v>0</v>
      </c>
      <c r="P17" s="36">
        <v>23.66</v>
      </c>
      <c r="Q17" s="32">
        <f>P17*H17</f>
        <v>165.62</v>
      </c>
    </row>
    <row r="18" spans="1:18" x14ac:dyDescent="0.25">
      <c r="A18" s="5" t="s">
        <v>9</v>
      </c>
      <c r="B18" s="5">
        <v>3575</v>
      </c>
      <c r="C18" s="5">
        <v>5500007886</v>
      </c>
      <c r="D18" s="5" t="s">
        <v>6</v>
      </c>
      <c r="E18" s="31" t="s">
        <v>33</v>
      </c>
      <c r="F18" s="31" t="s">
        <v>165</v>
      </c>
      <c r="G18" s="80">
        <v>30</v>
      </c>
      <c r="H18" s="41">
        <v>30</v>
      </c>
      <c r="I18" s="114">
        <f t="shared" si="1"/>
        <v>0</v>
      </c>
      <c r="J18" s="35">
        <v>45210</v>
      </c>
      <c r="K18" s="35"/>
      <c r="L18" s="4">
        <v>30</v>
      </c>
      <c r="M18" s="35">
        <v>45212</v>
      </c>
      <c r="N18" s="4">
        <v>19337</v>
      </c>
      <c r="O18" s="4">
        <v>0</v>
      </c>
      <c r="P18" s="36">
        <v>14.6</v>
      </c>
      <c r="Q18" s="32">
        <f>P18*H18</f>
        <v>438</v>
      </c>
    </row>
    <row r="19" spans="1:18" x14ac:dyDescent="0.25">
      <c r="A19" s="5" t="s">
        <v>9</v>
      </c>
      <c r="B19" s="5">
        <v>3575</v>
      </c>
      <c r="C19" s="5">
        <v>5500012550</v>
      </c>
      <c r="D19" s="5" t="s">
        <v>6</v>
      </c>
      <c r="E19" s="31" t="s">
        <v>36</v>
      </c>
      <c r="F19" s="31" t="s">
        <v>193</v>
      </c>
      <c r="G19" s="80">
        <v>50</v>
      </c>
      <c r="H19" s="41">
        <v>43</v>
      </c>
      <c r="I19" s="114">
        <f t="shared" si="1"/>
        <v>0</v>
      </c>
      <c r="J19" s="35">
        <v>45210</v>
      </c>
      <c r="K19" s="35"/>
      <c r="L19" s="108">
        <v>43</v>
      </c>
      <c r="M19" s="106">
        <v>45215</v>
      </c>
      <c r="N19" s="108">
        <v>19356</v>
      </c>
      <c r="O19" s="108">
        <v>0</v>
      </c>
      <c r="P19" s="93">
        <v>24.66</v>
      </c>
      <c r="Q19" s="32">
        <f>P19*H19</f>
        <v>1060.3800000000001</v>
      </c>
    </row>
    <row r="20" spans="1:18" x14ac:dyDescent="0.25">
      <c r="A20" s="5" t="s">
        <v>246</v>
      </c>
      <c r="B20" s="5">
        <v>3587</v>
      </c>
      <c r="C20" s="5">
        <v>4510399379</v>
      </c>
      <c r="D20" s="5">
        <v>20</v>
      </c>
      <c r="E20" s="31" t="s">
        <v>237</v>
      </c>
      <c r="F20" s="31" t="s">
        <v>8</v>
      </c>
      <c r="G20" s="80">
        <v>10</v>
      </c>
      <c r="H20" s="41">
        <v>6</v>
      </c>
      <c r="I20" s="114">
        <f t="shared" si="1"/>
        <v>0</v>
      </c>
      <c r="J20" s="35">
        <v>45211</v>
      </c>
      <c r="K20" s="35"/>
      <c r="L20" s="108">
        <v>6</v>
      </c>
      <c r="M20" s="106">
        <v>45209</v>
      </c>
      <c r="N20" s="108">
        <v>19329</v>
      </c>
      <c r="O20" s="108">
        <v>0</v>
      </c>
      <c r="P20" s="93"/>
      <c r="Q20" s="32"/>
    </row>
    <row r="21" spans="1:18" s="37" customFormat="1" ht="15" customHeight="1" x14ac:dyDescent="0.25">
      <c r="A21" s="182" t="s">
        <v>57</v>
      </c>
      <c r="B21" s="182"/>
      <c r="C21" s="182">
        <v>184857</v>
      </c>
      <c r="D21" s="182">
        <v>1</v>
      </c>
      <c r="E21" s="185" t="s">
        <v>63</v>
      </c>
      <c r="F21" s="185" t="s">
        <v>64</v>
      </c>
      <c r="G21" s="183">
        <v>45</v>
      </c>
      <c r="H21" s="184">
        <v>45</v>
      </c>
      <c r="I21" s="140">
        <f t="shared" si="1"/>
        <v>0</v>
      </c>
      <c r="J21" s="171">
        <v>45240</v>
      </c>
      <c r="K21" s="35"/>
      <c r="L21" s="108">
        <v>45</v>
      </c>
      <c r="M21" s="106">
        <v>45238</v>
      </c>
      <c r="N21" s="108">
        <v>19480</v>
      </c>
      <c r="O21" s="108">
        <v>0</v>
      </c>
      <c r="P21" s="36">
        <v>41.31</v>
      </c>
      <c r="Q21" s="32">
        <f>P21*G21</f>
        <v>1858.95</v>
      </c>
      <c r="R21" s="33"/>
    </row>
    <row r="22" spans="1:18" s="7" customFormat="1" ht="15" customHeight="1" x14ac:dyDescent="0.25">
      <c r="A22" s="5" t="s">
        <v>57</v>
      </c>
      <c r="B22" s="5">
        <v>3501</v>
      </c>
      <c r="C22" s="5">
        <v>182965</v>
      </c>
      <c r="D22" s="5">
        <v>5</v>
      </c>
      <c r="E22" s="31" t="s">
        <v>63</v>
      </c>
      <c r="F22" s="31" t="s">
        <v>64</v>
      </c>
      <c r="G22" s="80">
        <v>141</v>
      </c>
      <c r="H22" s="41">
        <v>55</v>
      </c>
      <c r="I22" s="114">
        <f t="shared" si="1"/>
        <v>0</v>
      </c>
      <c r="J22" s="35">
        <v>45211</v>
      </c>
      <c r="K22" s="106"/>
      <c r="L22" s="108">
        <v>55</v>
      </c>
      <c r="M22" s="106">
        <v>45205</v>
      </c>
      <c r="N22" s="108">
        <v>19320</v>
      </c>
      <c r="O22" s="108">
        <v>0</v>
      </c>
      <c r="P22" s="36">
        <v>41.31</v>
      </c>
      <c r="Q22" s="32">
        <f t="shared" ref="Q22:Q27" si="3">P22*H22</f>
        <v>2272.0500000000002</v>
      </c>
      <c r="R22" s="33"/>
    </row>
    <row r="23" spans="1:18" s="7" customFormat="1" ht="15" customHeight="1" x14ac:dyDescent="0.25">
      <c r="A23" s="6" t="s">
        <v>57</v>
      </c>
      <c r="B23" s="6">
        <v>3501</v>
      </c>
      <c r="C23" s="6">
        <v>182965</v>
      </c>
      <c r="D23" s="6">
        <v>18</v>
      </c>
      <c r="E23" s="120" t="s">
        <v>63</v>
      </c>
      <c r="F23" s="120" t="s">
        <v>64</v>
      </c>
      <c r="G23" s="121">
        <v>141</v>
      </c>
      <c r="H23" s="44">
        <v>50</v>
      </c>
      <c r="I23" s="122">
        <f t="shared" si="1"/>
        <v>0</v>
      </c>
      <c r="J23" s="123">
        <v>45215</v>
      </c>
      <c r="K23" s="106"/>
      <c r="L23" s="108">
        <v>50</v>
      </c>
      <c r="M23" s="106">
        <v>45215</v>
      </c>
      <c r="N23" s="108">
        <v>19350</v>
      </c>
      <c r="O23" s="108">
        <v>0</v>
      </c>
      <c r="P23" s="36">
        <v>41.31</v>
      </c>
      <c r="Q23" s="32">
        <f t="shared" si="3"/>
        <v>2065.5</v>
      </c>
      <c r="R23" s="33"/>
    </row>
    <row r="24" spans="1:18" s="33" customFormat="1" ht="15" customHeight="1" x14ac:dyDescent="0.25">
      <c r="A24" s="6" t="s">
        <v>57</v>
      </c>
      <c r="B24" s="6">
        <v>3501</v>
      </c>
      <c r="C24" s="6">
        <v>182965</v>
      </c>
      <c r="D24" s="6">
        <v>18</v>
      </c>
      <c r="E24" s="120" t="s">
        <v>63</v>
      </c>
      <c r="F24" s="120" t="s">
        <v>64</v>
      </c>
      <c r="G24" s="121">
        <v>141</v>
      </c>
      <c r="H24" s="44">
        <v>5</v>
      </c>
      <c r="I24" s="122">
        <f t="shared" si="1"/>
        <v>0</v>
      </c>
      <c r="J24" s="123">
        <v>45215</v>
      </c>
      <c r="K24" s="106"/>
      <c r="L24" s="108">
        <v>5</v>
      </c>
      <c r="M24" s="106">
        <v>45215</v>
      </c>
      <c r="N24" s="108">
        <v>19352</v>
      </c>
      <c r="O24" s="108">
        <v>0</v>
      </c>
      <c r="P24" s="36">
        <v>41.31</v>
      </c>
      <c r="Q24" s="32">
        <f t="shared" si="3"/>
        <v>206.55</v>
      </c>
    </row>
    <row r="25" spans="1:18" s="33" customFormat="1" ht="15" customHeight="1" x14ac:dyDescent="0.25">
      <c r="A25" s="6" t="s">
        <v>57</v>
      </c>
      <c r="B25" s="6">
        <v>3523</v>
      </c>
      <c r="C25" s="6">
        <v>183229</v>
      </c>
      <c r="D25" s="6">
        <v>4</v>
      </c>
      <c r="E25" s="120" t="s">
        <v>63</v>
      </c>
      <c r="F25" s="120" t="s">
        <v>64</v>
      </c>
      <c r="G25" s="192">
        <v>60</v>
      </c>
      <c r="H25" s="193">
        <v>60</v>
      </c>
      <c r="I25" s="122">
        <f t="shared" si="1"/>
        <v>0</v>
      </c>
      <c r="J25" s="123">
        <v>45215</v>
      </c>
      <c r="K25" s="106"/>
      <c r="L25" s="108">
        <v>60</v>
      </c>
      <c r="M25" s="106">
        <v>45215</v>
      </c>
      <c r="N25" s="108">
        <v>19350</v>
      </c>
      <c r="O25" s="181">
        <v>0</v>
      </c>
      <c r="P25" s="93">
        <v>41.31</v>
      </c>
      <c r="Q25" s="32">
        <f t="shared" si="3"/>
        <v>2478.6000000000004</v>
      </c>
    </row>
    <row r="26" spans="1:18" s="7" customFormat="1" ht="15" customHeight="1" x14ac:dyDescent="0.25">
      <c r="A26" s="6" t="s">
        <v>57</v>
      </c>
      <c r="B26" s="6">
        <v>3518</v>
      </c>
      <c r="C26" s="6">
        <v>183092</v>
      </c>
      <c r="D26" s="6">
        <v>7</v>
      </c>
      <c r="E26" s="120" t="s">
        <v>63</v>
      </c>
      <c r="F26" s="120" t="s">
        <v>64</v>
      </c>
      <c r="G26" s="192">
        <v>100</v>
      </c>
      <c r="H26" s="193">
        <v>100</v>
      </c>
      <c r="I26" s="122">
        <f t="shared" si="1"/>
        <v>0</v>
      </c>
      <c r="J26" s="123">
        <v>45215</v>
      </c>
      <c r="K26" s="106"/>
      <c r="L26" s="108">
        <v>100</v>
      </c>
      <c r="M26" s="106">
        <v>45215</v>
      </c>
      <c r="N26" s="108">
        <v>19350</v>
      </c>
      <c r="O26" s="4">
        <v>0</v>
      </c>
      <c r="P26" s="36">
        <v>41.31</v>
      </c>
      <c r="Q26" s="32">
        <f t="shared" si="3"/>
        <v>4131</v>
      </c>
      <c r="R26" s="33"/>
    </row>
    <row r="27" spans="1:18" s="7" customFormat="1" ht="15" customHeight="1" x14ac:dyDescent="0.25">
      <c r="A27" s="5" t="s">
        <v>9</v>
      </c>
      <c r="B27" s="5">
        <v>3589</v>
      </c>
      <c r="C27" s="5">
        <v>5500022285</v>
      </c>
      <c r="D27" s="5" t="s">
        <v>6</v>
      </c>
      <c r="E27" s="31" t="s">
        <v>206</v>
      </c>
      <c r="F27" s="31" t="s">
        <v>24</v>
      </c>
      <c r="G27" s="31">
        <v>40</v>
      </c>
      <c r="H27" s="5">
        <v>1</v>
      </c>
      <c r="I27" s="114">
        <f t="shared" si="1"/>
        <v>0</v>
      </c>
      <c r="J27" s="35">
        <v>45212</v>
      </c>
      <c r="K27" s="39"/>
      <c r="L27" s="4">
        <v>1</v>
      </c>
      <c r="M27" s="35"/>
      <c r="N27" s="4">
        <v>19267</v>
      </c>
      <c r="O27" s="4">
        <v>0</v>
      </c>
      <c r="P27" s="36">
        <v>197.86</v>
      </c>
      <c r="Q27" s="32">
        <f t="shared" si="3"/>
        <v>197.86</v>
      </c>
      <c r="R27" s="33"/>
    </row>
    <row r="28" spans="1:18" s="33" customFormat="1" ht="15" customHeight="1" x14ac:dyDescent="0.25">
      <c r="A28" s="5" t="s">
        <v>9</v>
      </c>
      <c r="B28" s="5">
        <v>3589</v>
      </c>
      <c r="C28" s="5">
        <v>5500022285</v>
      </c>
      <c r="D28" s="5" t="s">
        <v>6</v>
      </c>
      <c r="E28" s="31" t="s">
        <v>206</v>
      </c>
      <c r="F28" s="31" t="s">
        <v>24</v>
      </c>
      <c r="G28" s="80">
        <v>40</v>
      </c>
      <c r="H28" s="41">
        <v>6</v>
      </c>
      <c r="I28" s="114">
        <f t="shared" si="1"/>
        <v>0</v>
      </c>
      <c r="J28" s="35">
        <v>45212</v>
      </c>
      <c r="K28" s="106"/>
      <c r="L28" s="108">
        <v>6</v>
      </c>
      <c r="M28" s="106">
        <v>45212</v>
      </c>
      <c r="N28" s="108">
        <v>19337</v>
      </c>
      <c r="O28" s="108">
        <v>0</v>
      </c>
      <c r="P28" s="36"/>
      <c r="Q28" s="32"/>
    </row>
    <row r="29" spans="1:18" s="7" customFormat="1" ht="15" customHeight="1" x14ac:dyDescent="0.25">
      <c r="A29" s="157" t="s">
        <v>9</v>
      </c>
      <c r="B29" s="157">
        <v>3589</v>
      </c>
      <c r="C29" s="157">
        <v>5500022285</v>
      </c>
      <c r="D29" s="157" t="s">
        <v>6</v>
      </c>
      <c r="E29" s="158" t="s">
        <v>206</v>
      </c>
      <c r="F29" s="158" t="s">
        <v>24</v>
      </c>
      <c r="G29" s="159">
        <v>40</v>
      </c>
      <c r="H29" s="160">
        <v>27</v>
      </c>
      <c r="I29" s="161">
        <f t="shared" si="1"/>
        <v>0</v>
      </c>
      <c r="J29" s="164">
        <v>45212</v>
      </c>
      <c r="K29" s="145"/>
      <c r="L29" s="108">
        <v>27</v>
      </c>
      <c r="M29" s="106">
        <v>45215</v>
      </c>
      <c r="N29" s="108">
        <v>19356</v>
      </c>
      <c r="O29" s="108">
        <v>0</v>
      </c>
      <c r="P29" s="36">
        <v>198.86</v>
      </c>
      <c r="Q29" s="32">
        <f>P29*H29</f>
        <v>5369.22</v>
      </c>
      <c r="R29" s="33"/>
    </row>
    <row r="30" spans="1:18" s="7" customFormat="1" ht="15" customHeight="1" x14ac:dyDescent="0.25">
      <c r="A30" s="20" t="s">
        <v>32</v>
      </c>
      <c r="B30" s="173">
        <v>3609</v>
      </c>
      <c r="C30" s="20">
        <v>51000589</v>
      </c>
      <c r="D30" s="20" t="s">
        <v>6</v>
      </c>
      <c r="E30" s="21" t="s">
        <v>238</v>
      </c>
      <c r="F30" s="21" t="s">
        <v>250</v>
      </c>
      <c r="G30" s="172">
        <v>450</v>
      </c>
      <c r="H30" s="68">
        <v>398</v>
      </c>
      <c r="I30" s="163">
        <f t="shared" si="1"/>
        <v>0</v>
      </c>
      <c r="J30" s="171">
        <v>45219</v>
      </c>
      <c r="K30" s="106"/>
      <c r="L30" s="108">
        <v>398</v>
      </c>
      <c r="M30" s="106">
        <v>45219</v>
      </c>
      <c r="N30" s="108">
        <v>19387</v>
      </c>
      <c r="O30" s="108">
        <v>0</v>
      </c>
      <c r="P30" s="36"/>
      <c r="Q30" s="32"/>
      <c r="R30" s="33"/>
    </row>
    <row r="31" spans="1:18" s="33" customFormat="1" ht="15" customHeight="1" x14ac:dyDescent="0.25">
      <c r="A31" s="20" t="s">
        <v>32</v>
      </c>
      <c r="B31" s="173">
        <v>3609</v>
      </c>
      <c r="C31" s="20">
        <v>275174</v>
      </c>
      <c r="D31" s="20" t="s">
        <v>6</v>
      </c>
      <c r="E31" s="21" t="s">
        <v>238</v>
      </c>
      <c r="F31" s="21" t="s">
        <v>250</v>
      </c>
      <c r="G31" s="172">
        <v>450</v>
      </c>
      <c r="H31" s="68">
        <v>52</v>
      </c>
      <c r="I31" s="163">
        <f t="shared" si="1"/>
        <v>0</v>
      </c>
      <c r="J31" s="22">
        <v>45219</v>
      </c>
      <c r="K31" s="106"/>
      <c r="L31" s="108">
        <v>52</v>
      </c>
      <c r="M31" s="106">
        <v>45230</v>
      </c>
      <c r="N31" s="108">
        <v>19444</v>
      </c>
      <c r="O31" s="108">
        <v>0</v>
      </c>
      <c r="P31" s="36">
        <v>48.89</v>
      </c>
      <c r="Q31" s="32">
        <f>P31*H31</f>
        <v>2542.2800000000002</v>
      </c>
    </row>
    <row r="32" spans="1:18" s="7" customFormat="1" ht="12.75" customHeight="1" x14ac:dyDescent="0.25">
      <c r="A32" s="182" t="s">
        <v>57</v>
      </c>
      <c r="B32" s="182">
        <v>3640</v>
      </c>
      <c r="C32" s="182">
        <v>184744</v>
      </c>
      <c r="D32" s="182">
        <v>2</v>
      </c>
      <c r="E32" s="185" t="s">
        <v>63</v>
      </c>
      <c r="F32" s="185" t="s">
        <v>64</v>
      </c>
      <c r="G32" s="183">
        <v>84</v>
      </c>
      <c r="H32" s="184">
        <v>84</v>
      </c>
      <c r="I32" s="140">
        <f t="shared" si="1"/>
        <v>0</v>
      </c>
      <c r="J32" s="171">
        <v>45240</v>
      </c>
      <c r="K32" s="106"/>
      <c r="L32" s="108">
        <v>84</v>
      </c>
      <c r="M32" s="106">
        <v>45238</v>
      </c>
      <c r="N32" s="108">
        <v>19480</v>
      </c>
      <c r="O32" s="108">
        <v>0</v>
      </c>
      <c r="P32" s="36">
        <v>41.31</v>
      </c>
      <c r="Q32" s="32">
        <f>P32*G32</f>
        <v>3470.04</v>
      </c>
      <c r="R32" s="33"/>
    </row>
    <row r="33" spans="1:18" s="7" customFormat="1" ht="15" customHeight="1" x14ac:dyDescent="0.25">
      <c r="A33" s="5" t="s">
        <v>57</v>
      </c>
      <c r="B33" s="5"/>
      <c r="C33" s="5">
        <v>182965</v>
      </c>
      <c r="D33" s="5">
        <v>20</v>
      </c>
      <c r="E33" s="31" t="s">
        <v>63</v>
      </c>
      <c r="F33" s="31" t="s">
        <v>64</v>
      </c>
      <c r="G33" s="80">
        <v>31</v>
      </c>
      <c r="H33" s="41">
        <v>31</v>
      </c>
      <c r="I33" s="114">
        <f t="shared" si="1"/>
        <v>0</v>
      </c>
      <c r="J33" s="35">
        <v>45223</v>
      </c>
      <c r="K33" s="106"/>
      <c r="L33" s="108">
        <v>31</v>
      </c>
      <c r="M33" s="106">
        <v>45219</v>
      </c>
      <c r="N33" s="108">
        <v>19344</v>
      </c>
      <c r="O33" s="108">
        <v>0</v>
      </c>
      <c r="P33" s="94">
        <v>41.31</v>
      </c>
      <c r="Q33" s="72">
        <f t="shared" ref="Q33:Q43" si="4">P33*H33</f>
        <v>1280.6100000000001</v>
      </c>
      <c r="R33" s="33"/>
    </row>
    <row r="34" spans="1:18" s="33" customFormat="1" ht="15" customHeight="1" x14ac:dyDescent="0.25">
      <c r="A34" s="6" t="s">
        <v>57</v>
      </c>
      <c r="B34" s="6">
        <v>3558</v>
      </c>
      <c r="C34" s="6">
        <v>183438</v>
      </c>
      <c r="D34" s="6">
        <v>4</v>
      </c>
      <c r="E34" s="120" t="s">
        <v>63</v>
      </c>
      <c r="F34" s="120" t="s">
        <v>64</v>
      </c>
      <c r="G34" s="192">
        <v>60</v>
      </c>
      <c r="H34" s="193">
        <v>60</v>
      </c>
      <c r="I34" s="136">
        <f t="shared" si="1"/>
        <v>0</v>
      </c>
      <c r="J34" s="123">
        <v>45228</v>
      </c>
      <c r="K34" s="35"/>
      <c r="L34" s="4">
        <v>60</v>
      </c>
      <c r="M34" s="35">
        <v>45229</v>
      </c>
      <c r="N34" s="4">
        <v>19437</v>
      </c>
      <c r="O34" s="4">
        <v>0</v>
      </c>
      <c r="P34" s="36">
        <v>41.31</v>
      </c>
      <c r="Q34" s="32">
        <f t="shared" si="4"/>
        <v>2478.6000000000004</v>
      </c>
    </row>
    <row r="35" spans="1:18" s="7" customFormat="1" ht="15" customHeight="1" x14ac:dyDescent="0.25">
      <c r="A35" s="6" t="s">
        <v>57</v>
      </c>
      <c r="B35" s="6">
        <v>3558</v>
      </c>
      <c r="C35" s="6">
        <v>183790</v>
      </c>
      <c r="D35" s="6">
        <v>1</v>
      </c>
      <c r="E35" s="120" t="s">
        <v>63</v>
      </c>
      <c r="F35" s="120" t="s">
        <v>64</v>
      </c>
      <c r="G35" s="121">
        <v>150</v>
      </c>
      <c r="H35" s="44">
        <v>62</v>
      </c>
      <c r="I35" s="136">
        <f t="shared" si="1"/>
        <v>0</v>
      </c>
      <c r="J35" s="123">
        <v>45228</v>
      </c>
      <c r="K35" s="35"/>
      <c r="L35" s="4">
        <v>62</v>
      </c>
      <c r="M35" s="35">
        <v>45229</v>
      </c>
      <c r="N35" s="4">
        <v>19437</v>
      </c>
      <c r="O35" s="4">
        <v>0</v>
      </c>
      <c r="P35" s="36">
        <v>42.31</v>
      </c>
      <c r="Q35" s="32">
        <f t="shared" si="4"/>
        <v>2623.2200000000003</v>
      </c>
      <c r="R35" s="33"/>
    </row>
    <row r="36" spans="1:18" s="7" customFormat="1" ht="15" customHeight="1" x14ac:dyDescent="0.25">
      <c r="A36" s="6" t="s">
        <v>57</v>
      </c>
      <c r="B36" s="6">
        <v>3558</v>
      </c>
      <c r="C36" s="6">
        <v>183790</v>
      </c>
      <c r="D36" s="6">
        <v>1</v>
      </c>
      <c r="E36" s="120" t="s">
        <v>63</v>
      </c>
      <c r="F36" s="120" t="s">
        <v>64</v>
      </c>
      <c r="G36" s="121">
        <v>150</v>
      </c>
      <c r="H36" s="44">
        <v>88</v>
      </c>
      <c r="I36" s="136">
        <f t="shared" si="1"/>
        <v>0</v>
      </c>
      <c r="J36" s="123">
        <v>45228</v>
      </c>
      <c r="K36" s="35"/>
      <c r="L36" s="4">
        <v>88</v>
      </c>
      <c r="M36" s="35">
        <v>45230</v>
      </c>
      <c r="N36" s="4">
        <v>19447</v>
      </c>
      <c r="O36" s="4">
        <v>0</v>
      </c>
      <c r="P36" s="36">
        <v>41.31</v>
      </c>
      <c r="Q36" s="32">
        <f t="shared" si="4"/>
        <v>3635.28</v>
      </c>
      <c r="R36" s="33"/>
    </row>
    <row r="37" spans="1:18" s="7" customFormat="1" ht="15" customHeight="1" x14ac:dyDescent="0.25">
      <c r="A37" s="6" t="s">
        <v>32</v>
      </c>
      <c r="B37" s="190">
        <v>3592</v>
      </c>
      <c r="C37" s="6">
        <v>51000589</v>
      </c>
      <c r="D37" s="6" t="s">
        <v>6</v>
      </c>
      <c r="E37" s="120" t="s">
        <v>17</v>
      </c>
      <c r="F37" s="120" t="s">
        <v>194</v>
      </c>
      <c r="G37" s="80">
        <v>76</v>
      </c>
      <c r="H37" s="41">
        <v>76</v>
      </c>
      <c r="I37" s="136">
        <f t="shared" si="1"/>
        <v>0</v>
      </c>
      <c r="J37" s="123">
        <v>45237</v>
      </c>
      <c r="K37" s="35"/>
      <c r="L37" s="4">
        <v>76</v>
      </c>
      <c r="M37" s="35">
        <v>45237</v>
      </c>
      <c r="N37" s="4">
        <v>19473</v>
      </c>
      <c r="O37" s="128">
        <v>0</v>
      </c>
      <c r="P37" s="94">
        <v>27.01</v>
      </c>
      <c r="Q37" s="79">
        <f t="shared" si="4"/>
        <v>2052.7600000000002</v>
      </c>
      <c r="R37" s="33"/>
    </row>
    <row r="38" spans="1:18" s="7" customFormat="1" ht="15" customHeight="1" x14ac:dyDescent="0.25">
      <c r="A38" s="6" t="s">
        <v>32</v>
      </c>
      <c r="B38" s="190">
        <v>3592</v>
      </c>
      <c r="C38" s="6">
        <v>51000589</v>
      </c>
      <c r="D38" s="6" t="s">
        <v>6</v>
      </c>
      <c r="E38" s="120" t="s">
        <v>17</v>
      </c>
      <c r="F38" s="120" t="s">
        <v>194</v>
      </c>
      <c r="G38" s="80">
        <v>27</v>
      </c>
      <c r="H38" s="41">
        <v>27</v>
      </c>
      <c r="I38" s="136">
        <f t="shared" si="1"/>
        <v>0</v>
      </c>
      <c r="J38" s="123">
        <v>45240</v>
      </c>
      <c r="K38" s="35"/>
      <c r="L38" s="4">
        <v>27</v>
      </c>
      <c r="M38" s="35">
        <v>45237</v>
      </c>
      <c r="N38" s="4">
        <v>19473</v>
      </c>
      <c r="O38" s="4">
        <v>0</v>
      </c>
      <c r="P38" s="36">
        <v>27.01</v>
      </c>
      <c r="Q38" s="32">
        <f t="shared" si="4"/>
        <v>729.2700000000001</v>
      </c>
      <c r="R38" s="33"/>
    </row>
    <row r="39" spans="1:18" s="33" customFormat="1" ht="15" customHeight="1" x14ac:dyDescent="0.25">
      <c r="A39" s="179" t="s">
        <v>32</v>
      </c>
      <c r="B39" s="190">
        <v>3607</v>
      </c>
      <c r="C39" s="6">
        <v>51000589</v>
      </c>
      <c r="D39" s="6" t="s">
        <v>6</v>
      </c>
      <c r="E39" s="120" t="s">
        <v>239</v>
      </c>
      <c r="F39" s="120" t="s">
        <v>23</v>
      </c>
      <c r="G39" s="80">
        <v>200</v>
      </c>
      <c r="H39" s="41">
        <v>57</v>
      </c>
      <c r="I39" s="136">
        <f t="shared" si="1"/>
        <v>0</v>
      </c>
      <c r="J39" s="123">
        <v>45260</v>
      </c>
      <c r="K39" s="35"/>
      <c r="L39" s="4">
        <v>57</v>
      </c>
      <c r="M39" s="35">
        <v>44933</v>
      </c>
      <c r="N39" s="4">
        <v>19473</v>
      </c>
      <c r="O39" s="128">
        <v>0</v>
      </c>
      <c r="P39" s="85">
        <v>169.25</v>
      </c>
      <c r="Q39" s="79">
        <f t="shared" si="4"/>
        <v>9647.25</v>
      </c>
    </row>
    <row r="40" spans="1:18" s="37" customFormat="1" ht="15" customHeight="1" x14ac:dyDescent="0.25">
      <c r="A40" s="179" t="s">
        <v>57</v>
      </c>
      <c r="B40" s="6">
        <v>3504</v>
      </c>
      <c r="C40" s="6">
        <v>183436</v>
      </c>
      <c r="D40" s="6">
        <v>2</v>
      </c>
      <c r="E40" s="120" t="s">
        <v>159</v>
      </c>
      <c r="F40" s="120" t="s">
        <v>160</v>
      </c>
      <c r="G40" s="121">
        <v>500</v>
      </c>
      <c r="H40" s="44">
        <v>500</v>
      </c>
      <c r="I40" s="136">
        <f t="shared" si="1"/>
        <v>0</v>
      </c>
      <c r="J40" s="123">
        <v>45258</v>
      </c>
      <c r="K40" s="35"/>
      <c r="L40" s="4">
        <v>500</v>
      </c>
      <c r="M40" s="35">
        <v>45257</v>
      </c>
      <c r="N40" s="4">
        <v>19564</v>
      </c>
      <c r="O40" s="4">
        <v>0</v>
      </c>
      <c r="P40" s="36">
        <v>13.7</v>
      </c>
      <c r="Q40" s="32">
        <f t="shared" si="4"/>
        <v>6850</v>
      </c>
      <c r="R40" s="33"/>
    </row>
    <row r="41" spans="1:18" s="37" customFormat="1" ht="15" customHeight="1" x14ac:dyDescent="0.25">
      <c r="A41" s="5" t="s">
        <v>57</v>
      </c>
      <c r="B41" s="5">
        <v>3461</v>
      </c>
      <c r="C41" s="5">
        <v>182296</v>
      </c>
      <c r="D41" s="5">
        <v>3</v>
      </c>
      <c r="E41" s="31" t="s">
        <v>65</v>
      </c>
      <c r="F41" s="31" t="s">
        <v>66</v>
      </c>
      <c r="G41" s="80">
        <v>300</v>
      </c>
      <c r="H41" s="41">
        <v>300</v>
      </c>
      <c r="I41" s="119">
        <f t="shared" si="1"/>
        <v>0</v>
      </c>
      <c r="J41" s="35">
        <v>45229</v>
      </c>
      <c r="K41" s="35"/>
      <c r="L41" s="4">
        <v>300</v>
      </c>
      <c r="M41" s="35">
        <v>45219</v>
      </c>
      <c r="N41" s="4">
        <v>19381</v>
      </c>
      <c r="O41" s="130">
        <v>0</v>
      </c>
      <c r="P41" s="85">
        <v>31.86</v>
      </c>
      <c r="Q41" s="79">
        <f t="shared" si="4"/>
        <v>9558</v>
      </c>
      <c r="R41" s="33"/>
    </row>
    <row r="42" spans="1:18" s="37" customFormat="1" ht="15" customHeight="1" x14ac:dyDescent="0.25">
      <c r="A42" s="5" t="s">
        <v>57</v>
      </c>
      <c r="B42" s="5">
        <v>3518</v>
      </c>
      <c r="C42" s="5">
        <v>183092</v>
      </c>
      <c r="D42" s="5">
        <v>8</v>
      </c>
      <c r="E42" s="31" t="s">
        <v>65</v>
      </c>
      <c r="F42" s="31" t="s">
        <v>66</v>
      </c>
      <c r="G42" s="80">
        <v>300</v>
      </c>
      <c r="H42" s="41">
        <v>300</v>
      </c>
      <c r="I42" s="119">
        <f t="shared" si="1"/>
        <v>0</v>
      </c>
      <c r="J42" s="35">
        <v>45230</v>
      </c>
      <c r="K42" s="35"/>
      <c r="L42" s="4">
        <v>300</v>
      </c>
      <c r="M42" s="35">
        <v>45219</v>
      </c>
      <c r="N42" s="4">
        <v>19381</v>
      </c>
      <c r="O42" s="4">
        <v>0</v>
      </c>
      <c r="P42" s="36">
        <v>31.86</v>
      </c>
      <c r="Q42" s="32">
        <f t="shared" si="4"/>
        <v>9558</v>
      </c>
      <c r="R42" s="33"/>
    </row>
    <row r="43" spans="1:18" s="33" customFormat="1" ht="15" customHeight="1" x14ac:dyDescent="0.25">
      <c r="A43" s="182" t="s">
        <v>57</v>
      </c>
      <c r="B43" s="182">
        <v>3619</v>
      </c>
      <c r="C43" s="182">
        <v>184417</v>
      </c>
      <c r="D43" s="182">
        <v>15</v>
      </c>
      <c r="E43" s="185" t="s">
        <v>71</v>
      </c>
      <c r="F43" s="185" t="s">
        <v>72</v>
      </c>
      <c r="G43" s="80">
        <v>80</v>
      </c>
      <c r="H43" s="41">
        <v>80</v>
      </c>
      <c r="I43" s="199">
        <f t="shared" si="1"/>
        <v>0</v>
      </c>
      <c r="J43" s="171">
        <v>45279</v>
      </c>
      <c r="K43" s="35"/>
      <c r="L43" s="4">
        <v>80</v>
      </c>
      <c r="M43" s="35">
        <v>45233</v>
      </c>
      <c r="N43" s="4">
        <v>19458</v>
      </c>
      <c r="O43" s="4">
        <v>0</v>
      </c>
      <c r="P43" s="36">
        <v>12.4</v>
      </c>
      <c r="Q43" s="32">
        <f t="shared" si="4"/>
        <v>992</v>
      </c>
    </row>
    <row r="44" spans="1:18" s="37" customFormat="1" ht="15" customHeight="1" x14ac:dyDescent="0.25">
      <c r="A44" s="5" t="s">
        <v>9</v>
      </c>
      <c r="B44" s="5">
        <v>3575</v>
      </c>
      <c r="C44" s="5">
        <v>5500015214</v>
      </c>
      <c r="D44" s="5" t="s">
        <v>6</v>
      </c>
      <c r="E44" s="42" t="s">
        <v>22</v>
      </c>
      <c r="F44" s="42" t="s">
        <v>193</v>
      </c>
      <c r="G44" s="80">
        <v>230</v>
      </c>
      <c r="H44" s="5">
        <v>33</v>
      </c>
      <c r="I44" s="114">
        <f t="shared" si="1"/>
        <v>0</v>
      </c>
      <c r="J44" s="43">
        <v>45215</v>
      </c>
      <c r="K44" s="107"/>
      <c r="L44" s="108">
        <v>33</v>
      </c>
      <c r="M44" s="35">
        <v>45212</v>
      </c>
      <c r="N44" s="4">
        <v>19337</v>
      </c>
      <c r="O44" s="109">
        <v>0</v>
      </c>
      <c r="P44" s="74"/>
      <c r="Q44" s="71"/>
      <c r="R44" s="33"/>
    </row>
    <row r="45" spans="1:18" s="37" customFormat="1" ht="15" customHeight="1" x14ac:dyDescent="0.25">
      <c r="A45" s="5" t="s">
        <v>57</v>
      </c>
      <c r="B45" s="5">
        <v>3519</v>
      </c>
      <c r="C45" s="5">
        <v>182964</v>
      </c>
      <c r="D45" s="5">
        <v>3</v>
      </c>
      <c r="E45" s="42" t="s">
        <v>159</v>
      </c>
      <c r="F45" s="42" t="s">
        <v>160</v>
      </c>
      <c r="G45" s="80">
        <v>500</v>
      </c>
      <c r="H45" s="5">
        <v>500</v>
      </c>
      <c r="I45" s="114">
        <f t="shared" si="1"/>
        <v>0</v>
      </c>
      <c r="J45" s="43">
        <v>45211</v>
      </c>
      <c r="K45" s="107"/>
      <c r="L45" s="108">
        <v>500</v>
      </c>
      <c r="M45" s="106">
        <v>45205</v>
      </c>
      <c r="N45" s="108">
        <v>19318</v>
      </c>
      <c r="O45" s="109">
        <v>0</v>
      </c>
      <c r="P45" s="74">
        <v>13.7</v>
      </c>
      <c r="Q45" s="71">
        <f>P45*H45</f>
        <v>6850</v>
      </c>
      <c r="R45" s="33"/>
    </row>
    <row r="46" spans="1:18" s="7" customFormat="1" ht="15.75" customHeight="1" x14ac:dyDescent="0.25">
      <c r="A46" s="6" t="s">
        <v>57</v>
      </c>
      <c r="B46" s="6">
        <v>3558</v>
      </c>
      <c r="C46" s="6">
        <v>183790</v>
      </c>
      <c r="D46" s="6">
        <v>2</v>
      </c>
      <c r="E46" s="120" t="s">
        <v>75</v>
      </c>
      <c r="F46" s="120" t="s">
        <v>76</v>
      </c>
      <c r="G46" s="121">
        <v>150</v>
      </c>
      <c r="H46" s="44">
        <v>150</v>
      </c>
      <c r="I46" s="122">
        <f t="shared" si="1"/>
        <v>0</v>
      </c>
      <c r="J46" s="123">
        <v>45254</v>
      </c>
      <c r="K46" s="106"/>
      <c r="L46" s="108">
        <v>150</v>
      </c>
      <c r="M46" s="106">
        <v>45258</v>
      </c>
      <c r="N46" s="108">
        <v>19574</v>
      </c>
      <c r="O46" s="108">
        <v>0</v>
      </c>
      <c r="P46" s="36">
        <v>21.2</v>
      </c>
      <c r="Q46" s="32">
        <f>P46*H46</f>
        <v>3180</v>
      </c>
      <c r="R46" s="33"/>
    </row>
    <row r="47" spans="1:18" s="7" customFormat="1" ht="15" customHeight="1" x14ac:dyDescent="0.25">
      <c r="A47" s="5" t="s">
        <v>57</v>
      </c>
      <c r="B47" s="5">
        <v>3461</v>
      </c>
      <c r="C47" s="5">
        <v>182296</v>
      </c>
      <c r="D47" s="5">
        <v>5</v>
      </c>
      <c r="E47" s="31" t="s">
        <v>77</v>
      </c>
      <c r="F47" s="31" t="s">
        <v>78</v>
      </c>
      <c r="G47" s="80">
        <v>34</v>
      </c>
      <c r="H47" s="41">
        <v>34</v>
      </c>
      <c r="I47" s="114">
        <f t="shared" si="1"/>
        <v>0</v>
      </c>
      <c r="J47" s="35">
        <v>45265</v>
      </c>
      <c r="K47" s="106"/>
      <c r="L47" s="108">
        <v>34</v>
      </c>
      <c r="M47" s="106">
        <v>45244</v>
      </c>
      <c r="N47" s="108">
        <v>19503</v>
      </c>
      <c r="O47" s="108">
        <v>0</v>
      </c>
      <c r="P47" s="36">
        <v>59.88</v>
      </c>
      <c r="Q47" s="32">
        <f>P47*H47</f>
        <v>2035.92</v>
      </c>
      <c r="R47" s="33"/>
    </row>
    <row r="48" spans="1:18" s="37" customFormat="1" ht="15" customHeight="1" x14ac:dyDescent="0.25">
      <c r="A48" s="6" t="s">
        <v>57</v>
      </c>
      <c r="B48" s="6">
        <v>3518</v>
      </c>
      <c r="C48" s="6">
        <v>183092</v>
      </c>
      <c r="D48" s="6">
        <v>21</v>
      </c>
      <c r="E48" s="120" t="s">
        <v>148</v>
      </c>
      <c r="F48" s="120" t="s">
        <v>149</v>
      </c>
      <c r="G48" s="121">
        <v>200</v>
      </c>
      <c r="H48" s="44">
        <v>101</v>
      </c>
      <c r="I48" s="122">
        <f t="shared" si="1"/>
        <v>0</v>
      </c>
      <c r="J48" s="123">
        <v>45239</v>
      </c>
      <c r="K48" s="106"/>
      <c r="L48" s="108">
        <v>101</v>
      </c>
      <c r="M48" s="106">
        <v>45238</v>
      </c>
      <c r="N48" s="108">
        <v>19480</v>
      </c>
      <c r="O48" s="108">
        <v>0</v>
      </c>
      <c r="P48" s="36">
        <v>28.11</v>
      </c>
      <c r="Q48" s="32">
        <f>P48*H48</f>
        <v>2839.11</v>
      </c>
      <c r="R48" s="33"/>
    </row>
    <row r="49" spans="1:18" s="37" customFormat="1" ht="15" customHeight="1" x14ac:dyDescent="0.25">
      <c r="A49" s="5" t="s">
        <v>32</v>
      </c>
      <c r="B49" s="5">
        <v>3631</v>
      </c>
      <c r="C49" s="5">
        <v>275094</v>
      </c>
      <c r="D49" s="5">
        <v>1</v>
      </c>
      <c r="E49" s="31" t="s">
        <v>296</v>
      </c>
      <c r="F49" s="31" t="s">
        <v>8</v>
      </c>
      <c r="G49" s="80">
        <v>400</v>
      </c>
      <c r="H49" s="41">
        <v>10</v>
      </c>
      <c r="I49" s="114">
        <f t="shared" si="1"/>
        <v>0</v>
      </c>
      <c r="J49" s="35">
        <v>45219</v>
      </c>
      <c r="K49" s="106"/>
      <c r="L49" s="108">
        <v>10</v>
      </c>
      <c r="M49" s="106">
        <v>45219</v>
      </c>
      <c r="N49" s="108">
        <v>19384</v>
      </c>
      <c r="O49" s="108">
        <v>0</v>
      </c>
      <c r="P49" s="187"/>
      <c r="Q49" s="32"/>
      <c r="R49" s="33"/>
    </row>
    <row r="50" spans="1:18" s="7" customFormat="1" ht="15" customHeight="1" x14ac:dyDescent="0.25">
      <c r="A50" s="5" t="s">
        <v>32</v>
      </c>
      <c r="B50" s="5">
        <v>3631</v>
      </c>
      <c r="C50" s="5">
        <v>275094</v>
      </c>
      <c r="D50" s="5">
        <v>1</v>
      </c>
      <c r="E50" s="31" t="s">
        <v>296</v>
      </c>
      <c r="F50" s="31" t="s">
        <v>8</v>
      </c>
      <c r="G50" s="80">
        <v>400</v>
      </c>
      <c r="H50" s="41">
        <v>9</v>
      </c>
      <c r="I50" s="114">
        <f t="shared" si="1"/>
        <v>0</v>
      </c>
      <c r="J50" s="35">
        <v>45219</v>
      </c>
      <c r="K50" s="106"/>
      <c r="L50" s="108">
        <v>9</v>
      </c>
      <c r="M50" s="106">
        <v>45219</v>
      </c>
      <c r="N50" s="108">
        <v>19386</v>
      </c>
      <c r="O50" s="4">
        <v>0</v>
      </c>
      <c r="P50" s="187"/>
      <c r="Q50" s="32"/>
      <c r="R50" s="33"/>
    </row>
    <row r="51" spans="1:18" s="7" customFormat="1" ht="15" customHeight="1" x14ac:dyDescent="0.25">
      <c r="A51" s="182" t="s">
        <v>32</v>
      </c>
      <c r="B51" s="182">
        <v>3631</v>
      </c>
      <c r="C51" s="182">
        <v>275094</v>
      </c>
      <c r="D51" s="182">
        <v>1</v>
      </c>
      <c r="E51" s="185" t="s">
        <v>296</v>
      </c>
      <c r="F51" s="185" t="s">
        <v>8</v>
      </c>
      <c r="G51" s="80">
        <v>400</v>
      </c>
      <c r="H51" s="41">
        <v>15</v>
      </c>
      <c r="I51" s="140">
        <f t="shared" si="1"/>
        <v>0</v>
      </c>
      <c r="J51" s="171">
        <v>45219</v>
      </c>
      <c r="K51" s="106"/>
      <c r="L51" s="108">
        <v>15</v>
      </c>
      <c r="M51" s="106">
        <v>45222</v>
      </c>
      <c r="N51" s="108">
        <v>19397</v>
      </c>
      <c r="O51" s="4">
        <v>0</v>
      </c>
      <c r="P51" s="36">
        <v>390.17</v>
      </c>
      <c r="Q51" s="32">
        <f>P51*H51</f>
        <v>5852.55</v>
      </c>
      <c r="R51" s="33"/>
    </row>
    <row r="52" spans="1:18" s="33" customFormat="1" ht="15" customHeight="1" x14ac:dyDescent="0.25">
      <c r="A52" s="182" t="s">
        <v>32</v>
      </c>
      <c r="B52" s="182">
        <v>3631</v>
      </c>
      <c r="C52" s="182">
        <v>275094</v>
      </c>
      <c r="D52" s="182">
        <v>1</v>
      </c>
      <c r="E52" s="185" t="s">
        <v>296</v>
      </c>
      <c r="F52" s="185" t="s">
        <v>8</v>
      </c>
      <c r="G52" s="80">
        <v>400</v>
      </c>
      <c r="H52" s="41">
        <v>53</v>
      </c>
      <c r="I52" s="140">
        <f t="shared" si="1"/>
        <v>0</v>
      </c>
      <c r="J52" s="213">
        <v>45219</v>
      </c>
      <c r="K52" s="106"/>
      <c r="L52" s="108">
        <v>53</v>
      </c>
      <c r="M52" s="106">
        <v>45224</v>
      </c>
      <c r="N52" s="108">
        <v>19415</v>
      </c>
      <c r="O52" s="108">
        <v>0</v>
      </c>
      <c r="P52" s="36"/>
      <c r="Q52" s="32"/>
    </row>
    <row r="53" spans="1:18" s="33" customFormat="1" ht="15" customHeight="1" x14ac:dyDescent="0.25">
      <c r="A53" s="165" t="s">
        <v>158</v>
      </c>
      <c r="B53" s="165"/>
      <c r="C53" s="165" t="s">
        <v>13</v>
      </c>
      <c r="D53" s="165" t="s">
        <v>6</v>
      </c>
      <c r="E53" s="166" t="s">
        <v>273</v>
      </c>
      <c r="F53" s="166" t="s">
        <v>164</v>
      </c>
      <c r="G53" s="167">
        <v>60</v>
      </c>
      <c r="H53" s="168">
        <v>60</v>
      </c>
      <c r="I53" s="169">
        <f t="shared" si="1"/>
        <v>0</v>
      </c>
      <c r="J53" s="196">
        <v>45219</v>
      </c>
      <c r="K53" s="106"/>
      <c r="L53" s="108">
        <v>60</v>
      </c>
      <c r="M53" s="106">
        <v>45218</v>
      </c>
      <c r="N53" s="108"/>
      <c r="O53" s="108">
        <v>0</v>
      </c>
      <c r="P53" s="36">
        <v>35.64</v>
      </c>
      <c r="Q53" s="32">
        <f>P53*H53</f>
        <v>2138.4</v>
      </c>
    </row>
    <row r="54" spans="1:18" s="33" customFormat="1" ht="15" customHeight="1" x14ac:dyDescent="0.25">
      <c r="A54" s="20" t="s">
        <v>247</v>
      </c>
      <c r="B54" s="20"/>
      <c r="C54" s="20" t="s">
        <v>262</v>
      </c>
      <c r="D54" s="20"/>
      <c r="E54" s="21" t="s">
        <v>248</v>
      </c>
      <c r="F54" s="21" t="s">
        <v>261</v>
      </c>
      <c r="G54" s="68">
        <v>60</v>
      </c>
      <c r="H54" s="68">
        <v>60</v>
      </c>
      <c r="I54" s="140">
        <f t="shared" si="1"/>
        <v>0</v>
      </c>
      <c r="J54" s="195">
        <v>45219</v>
      </c>
      <c r="K54" s="149"/>
      <c r="L54" s="141">
        <v>60</v>
      </c>
      <c r="M54" s="186">
        <v>45219</v>
      </c>
      <c r="N54" s="150"/>
      <c r="O54" s="239">
        <v>0</v>
      </c>
      <c r="P54" s="39"/>
      <c r="Q54" s="36"/>
    </row>
    <row r="55" spans="1:18" s="33" customFormat="1" ht="15" customHeight="1" x14ac:dyDescent="0.25">
      <c r="A55" s="20" t="s">
        <v>32</v>
      </c>
      <c r="B55" s="20">
        <v>3631</v>
      </c>
      <c r="C55" s="20">
        <v>275094</v>
      </c>
      <c r="D55" s="20">
        <v>1</v>
      </c>
      <c r="E55" s="170" t="s">
        <v>296</v>
      </c>
      <c r="F55" s="170" t="s">
        <v>8</v>
      </c>
      <c r="G55" s="80">
        <v>400</v>
      </c>
      <c r="H55" s="41">
        <v>96</v>
      </c>
      <c r="I55" s="163">
        <f t="shared" si="1"/>
        <v>0</v>
      </c>
      <c r="J55" s="195">
        <v>45219</v>
      </c>
      <c r="K55" s="106"/>
      <c r="L55" s="108">
        <v>96</v>
      </c>
      <c r="M55" s="106">
        <v>45225</v>
      </c>
      <c r="N55" s="108">
        <v>19424</v>
      </c>
      <c r="O55" s="108">
        <v>1</v>
      </c>
      <c r="P55" s="36"/>
      <c r="Q55" s="32"/>
    </row>
    <row r="56" spans="1:18" s="33" customFormat="1" ht="15" customHeight="1" x14ac:dyDescent="0.25">
      <c r="A56" s="20" t="s">
        <v>32</v>
      </c>
      <c r="B56" s="20">
        <v>3631</v>
      </c>
      <c r="C56" s="20">
        <v>275094</v>
      </c>
      <c r="D56" s="20">
        <v>1</v>
      </c>
      <c r="E56" s="21" t="s">
        <v>296</v>
      </c>
      <c r="F56" s="21" t="s">
        <v>8</v>
      </c>
      <c r="G56" s="31">
        <v>400</v>
      </c>
      <c r="H56" s="5">
        <v>81</v>
      </c>
      <c r="I56" s="131">
        <f t="shared" si="1"/>
        <v>0</v>
      </c>
      <c r="J56" s="22">
        <v>45219</v>
      </c>
      <c r="K56" s="35"/>
      <c r="L56" s="4">
        <f>16+65</f>
        <v>81</v>
      </c>
      <c r="M56" s="35">
        <v>45230</v>
      </c>
      <c r="N56" s="4">
        <v>19444</v>
      </c>
      <c r="O56" s="4">
        <v>0</v>
      </c>
      <c r="P56" s="36">
        <v>390.17</v>
      </c>
      <c r="Q56" s="32">
        <f>P56*H56</f>
        <v>31603.77</v>
      </c>
    </row>
    <row r="57" spans="1:18" s="33" customFormat="1" ht="15" customHeight="1" x14ac:dyDescent="0.25">
      <c r="A57" s="20" t="s">
        <v>32</v>
      </c>
      <c r="B57" s="20">
        <v>3631</v>
      </c>
      <c r="C57" s="20">
        <v>275094</v>
      </c>
      <c r="D57" s="20">
        <v>1</v>
      </c>
      <c r="E57" s="21" t="s">
        <v>296</v>
      </c>
      <c r="F57" s="21" t="s">
        <v>8</v>
      </c>
      <c r="G57" s="192">
        <v>400</v>
      </c>
      <c r="H57" s="193">
        <v>82</v>
      </c>
      <c r="I57" s="163">
        <f t="shared" si="1"/>
        <v>0</v>
      </c>
      <c r="J57" s="22">
        <v>45219</v>
      </c>
      <c r="K57" s="107"/>
      <c r="L57" s="109">
        <v>82</v>
      </c>
      <c r="M57" s="107">
        <v>45237</v>
      </c>
      <c r="N57" s="109">
        <v>19473</v>
      </c>
      <c r="O57" s="109">
        <v>0</v>
      </c>
      <c r="P57" s="36">
        <v>390.17</v>
      </c>
      <c r="Q57" s="72">
        <f>P57*H57</f>
        <v>31993.940000000002</v>
      </c>
    </row>
    <row r="58" spans="1:18" s="7" customFormat="1" ht="15" customHeight="1" x14ac:dyDescent="0.25">
      <c r="A58" s="20" t="s">
        <v>32</v>
      </c>
      <c r="B58" s="20">
        <v>3631</v>
      </c>
      <c r="C58" s="20">
        <v>275094</v>
      </c>
      <c r="D58" s="20">
        <v>1</v>
      </c>
      <c r="E58" s="170" t="s">
        <v>296</v>
      </c>
      <c r="F58" s="170" t="s">
        <v>8</v>
      </c>
      <c r="G58" s="121">
        <v>400</v>
      </c>
      <c r="H58" s="44">
        <v>54</v>
      </c>
      <c r="I58" s="194">
        <f t="shared" si="1"/>
        <v>0</v>
      </c>
      <c r="J58" s="195">
        <v>45219</v>
      </c>
      <c r="K58" s="106"/>
      <c r="L58" s="108">
        <v>54</v>
      </c>
      <c r="M58" s="106">
        <v>45237</v>
      </c>
      <c r="N58" s="108">
        <v>19473</v>
      </c>
      <c r="O58" s="108">
        <v>0</v>
      </c>
      <c r="P58" s="36">
        <v>390.17</v>
      </c>
      <c r="Q58" s="32">
        <f>P58*H58</f>
        <v>21069.18</v>
      </c>
      <c r="R58" s="33"/>
    </row>
    <row r="59" spans="1:18" s="7" customFormat="1" ht="15" customHeight="1" x14ac:dyDescent="0.25">
      <c r="A59" s="6" t="s">
        <v>32</v>
      </c>
      <c r="B59" s="6">
        <v>3607</v>
      </c>
      <c r="C59" s="6">
        <v>51000589</v>
      </c>
      <c r="D59" s="6" t="s">
        <v>6</v>
      </c>
      <c r="E59" s="120" t="s">
        <v>240</v>
      </c>
      <c r="F59" s="120" t="s">
        <v>8</v>
      </c>
      <c r="G59" s="80">
        <v>100</v>
      </c>
      <c r="H59" s="41">
        <v>46</v>
      </c>
      <c r="I59" s="136">
        <f t="shared" si="1"/>
        <v>0</v>
      </c>
      <c r="J59" s="123">
        <v>45260</v>
      </c>
      <c r="K59" s="106"/>
      <c r="L59" s="108">
        <v>46</v>
      </c>
      <c r="M59" s="106">
        <v>45237</v>
      </c>
      <c r="N59" s="108">
        <v>19473</v>
      </c>
      <c r="O59" s="108">
        <v>0</v>
      </c>
      <c r="P59" s="36">
        <v>13.68</v>
      </c>
      <c r="Q59" s="32">
        <f>P59*H59</f>
        <v>629.28</v>
      </c>
      <c r="R59" s="33"/>
    </row>
    <row r="60" spans="1:18" s="7" customFormat="1" ht="15" customHeight="1" x14ac:dyDescent="0.25">
      <c r="A60" s="20" t="s">
        <v>31</v>
      </c>
      <c r="B60" s="20"/>
      <c r="C60" s="20">
        <v>100491</v>
      </c>
      <c r="D60" s="20">
        <v>1</v>
      </c>
      <c r="E60" s="45" t="s">
        <v>260</v>
      </c>
      <c r="F60" s="45" t="s">
        <v>24</v>
      </c>
      <c r="G60" s="172">
        <v>120</v>
      </c>
      <c r="H60" s="68">
        <v>120</v>
      </c>
      <c r="I60" s="163">
        <f t="shared" si="1"/>
        <v>-15</v>
      </c>
      <c r="J60" s="162">
        <v>45219</v>
      </c>
      <c r="K60" s="106"/>
      <c r="L60" s="108">
        <v>135</v>
      </c>
      <c r="M60" s="106">
        <v>45226</v>
      </c>
      <c r="N60" s="108"/>
      <c r="O60" s="108">
        <v>0</v>
      </c>
      <c r="P60" s="36">
        <v>23.77</v>
      </c>
      <c r="Q60" s="32">
        <f>P60*G60</f>
        <v>2852.4</v>
      </c>
      <c r="R60" s="33"/>
    </row>
    <row r="61" spans="1:18" s="7" customFormat="1" ht="15" customHeight="1" x14ac:dyDescent="0.25">
      <c r="A61" s="5" t="s">
        <v>32</v>
      </c>
      <c r="B61" s="4" t="s">
        <v>161</v>
      </c>
      <c r="C61" s="5">
        <v>51000589</v>
      </c>
      <c r="D61" s="5" t="s">
        <v>6</v>
      </c>
      <c r="E61" s="31" t="s">
        <v>29</v>
      </c>
      <c r="F61" s="31" t="s">
        <v>23</v>
      </c>
      <c r="G61" s="80">
        <v>200</v>
      </c>
      <c r="H61" s="41">
        <v>200</v>
      </c>
      <c r="I61" s="114">
        <f t="shared" si="1"/>
        <v>0</v>
      </c>
      <c r="J61" s="35">
        <v>45219</v>
      </c>
      <c r="K61" s="106"/>
      <c r="L61" s="108">
        <v>200</v>
      </c>
      <c r="M61" s="106">
        <v>45205</v>
      </c>
      <c r="N61" s="108">
        <v>19323</v>
      </c>
      <c r="O61" s="108">
        <v>0</v>
      </c>
      <c r="P61" s="36">
        <v>6.51</v>
      </c>
      <c r="Q61" s="32">
        <f>P61*H61</f>
        <v>1302</v>
      </c>
      <c r="R61" s="33"/>
    </row>
    <row r="62" spans="1:18" s="33" customFormat="1" ht="15" customHeight="1" x14ac:dyDescent="0.25">
      <c r="A62" s="20" t="s">
        <v>31</v>
      </c>
      <c r="B62" s="20"/>
      <c r="C62" s="20">
        <v>100492</v>
      </c>
      <c r="D62" s="20">
        <v>1</v>
      </c>
      <c r="E62" s="21" t="s">
        <v>263</v>
      </c>
      <c r="F62" s="21" t="s">
        <v>164</v>
      </c>
      <c r="G62" s="172">
        <v>200</v>
      </c>
      <c r="H62" s="68">
        <v>146</v>
      </c>
      <c r="I62" s="163">
        <f t="shared" si="1"/>
        <v>0</v>
      </c>
      <c r="J62" s="171">
        <v>45219</v>
      </c>
      <c r="K62" s="106"/>
      <c r="L62" s="108">
        <v>146</v>
      </c>
      <c r="M62" s="106"/>
      <c r="N62" s="108"/>
      <c r="O62" s="108">
        <v>0</v>
      </c>
      <c r="P62" s="36"/>
      <c r="Q62" s="32"/>
    </row>
    <row r="63" spans="1:18" s="7" customFormat="1" ht="15" customHeight="1" x14ac:dyDescent="0.25">
      <c r="A63" s="5" t="s">
        <v>32</v>
      </c>
      <c r="B63" s="4">
        <v>3535</v>
      </c>
      <c r="C63" s="5">
        <v>51000589</v>
      </c>
      <c r="D63" s="5" t="s">
        <v>6</v>
      </c>
      <c r="E63" s="42" t="s">
        <v>181</v>
      </c>
      <c r="F63" s="42" t="s">
        <v>8</v>
      </c>
      <c r="G63" s="80">
        <v>100</v>
      </c>
      <c r="H63" s="41">
        <v>27</v>
      </c>
      <c r="I63" s="114">
        <f t="shared" si="1"/>
        <v>0</v>
      </c>
      <c r="J63" s="43">
        <v>45212</v>
      </c>
      <c r="K63" s="107"/>
      <c r="L63" s="109">
        <v>27</v>
      </c>
      <c r="M63" s="107">
        <v>45205</v>
      </c>
      <c r="N63" s="109">
        <v>19323</v>
      </c>
      <c r="O63" s="109">
        <v>1</v>
      </c>
      <c r="P63" s="85"/>
      <c r="Q63" s="79"/>
      <c r="R63" s="33"/>
    </row>
    <row r="64" spans="1:18" s="7" customFormat="1" ht="15" customHeight="1" x14ac:dyDescent="0.25">
      <c r="A64" s="20" t="s">
        <v>32</v>
      </c>
      <c r="B64" s="173">
        <v>3535</v>
      </c>
      <c r="C64" s="20">
        <v>51000589</v>
      </c>
      <c r="D64" s="20" t="s">
        <v>6</v>
      </c>
      <c r="E64" s="170" t="s">
        <v>181</v>
      </c>
      <c r="F64" s="170" t="s">
        <v>8</v>
      </c>
      <c r="G64" s="172">
        <v>100</v>
      </c>
      <c r="H64" s="68">
        <v>73</v>
      </c>
      <c r="I64" s="194">
        <f t="shared" si="1"/>
        <v>0</v>
      </c>
      <c r="J64" s="195">
        <v>45212</v>
      </c>
      <c r="K64" s="106"/>
      <c r="L64" s="108">
        <v>73</v>
      </c>
      <c r="M64" s="106">
        <v>45230</v>
      </c>
      <c r="N64" s="108">
        <v>19444</v>
      </c>
      <c r="O64" s="108">
        <v>1</v>
      </c>
      <c r="P64" s="94">
        <v>25.13</v>
      </c>
      <c r="Q64" s="72">
        <f>P64*H64</f>
        <v>1834.49</v>
      </c>
      <c r="R64" s="33"/>
    </row>
    <row r="65" spans="1:18" s="7" customFormat="1" ht="15" customHeight="1" x14ac:dyDescent="0.25">
      <c r="A65" s="5" t="s">
        <v>32</v>
      </c>
      <c r="B65" s="5">
        <v>3563</v>
      </c>
      <c r="C65" s="5">
        <v>51000589</v>
      </c>
      <c r="D65" s="5" t="s">
        <v>6</v>
      </c>
      <c r="E65" s="31" t="s">
        <v>18</v>
      </c>
      <c r="F65" s="31" t="s">
        <v>24</v>
      </c>
      <c r="G65" s="80">
        <v>100</v>
      </c>
      <c r="H65" s="41">
        <v>8</v>
      </c>
      <c r="I65" s="119">
        <f t="shared" si="1"/>
        <v>0</v>
      </c>
      <c r="J65" s="35">
        <v>45226</v>
      </c>
      <c r="K65" s="106"/>
      <c r="L65" s="108">
        <v>8</v>
      </c>
      <c r="M65" s="106">
        <v>45205</v>
      </c>
      <c r="N65" s="108">
        <v>19323</v>
      </c>
      <c r="O65" s="108">
        <v>0</v>
      </c>
      <c r="P65" s="36"/>
      <c r="Q65" s="32"/>
      <c r="R65" s="33"/>
    </row>
    <row r="66" spans="1:18" s="7" customFormat="1" ht="15" customHeight="1" x14ac:dyDescent="0.25">
      <c r="A66" s="20" t="s">
        <v>32</v>
      </c>
      <c r="B66" s="20">
        <v>3563</v>
      </c>
      <c r="C66" s="20">
        <v>51000589</v>
      </c>
      <c r="D66" s="20" t="s">
        <v>6</v>
      </c>
      <c r="E66" s="45" t="s">
        <v>18</v>
      </c>
      <c r="F66" s="45" t="s">
        <v>24</v>
      </c>
      <c r="G66" s="172">
        <v>100</v>
      </c>
      <c r="H66" s="68">
        <v>72</v>
      </c>
      <c r="I66" s="163">
        <f t="shared" si="1"/>
        <v>0</v>
      </c>
      <c r="J66" s="162">
        <v>45226</v>
      </c>
      <c r="K66" s="106"/>
      <c r="L66" s="108">
        <v>72</v>
      </c>
      <c r="M66" s="106">
        <v>45219</v>
      </c>
      <c r="N66" s="108">
        <v>19387</v>
      </c>
      <c r="O66" s="108">
        <v>0</v>
      </c>
      <c r="P66" s="36"/>
      <c r="Q66" s="32"/>
      <c r="R66" s="33"/>
    </row>
    <row r="67" spans="1:18" s="7" customFormat="1" ht="15" customHeight="1" x14ac:dyDescent="0.25">
      <c r="A67" s="247" t="s">
        <v>32</v>
      </c>
      <c r="B67" s="247">
        <v>3563</v>
      </c>
      <c r="C67" s="247">
        <v>51000589</v>
      </c>
      <c r="D67" s="247" t="s">
        <v>6</v>
      </c>
      <c r="E67" s="230" t="s">
        <v>18</v>
      </c>
      <c r="F67" s="230" t="s">
        <v>24</v>
      </c>
      <c r="G67" s="226">
        <v>100</v>
      </c>
      <c r="H67" s="227">
        <v>20</v>
      </c>
      <c r="I67" s="234">
        <f t="shared" si="1"/>
        <v>20</v>
      </c>
      <c r="J67" s="236">
        <v>45226</v>
      </c>
      <c r="K67" s="106"/>
      <c r="L67" s="108"/>
      <c r="M67" s="106"/>
      <c r="N67" s="108"/>
      <c r="O67" s="108">
        <v>0</v>
      </c>
      <c r="P67" s="36">
        <v>137.5</v>
      </c>
      <c r="Q67" s="32">
        <f>P67*H67</f>
        <v>2750</v>
      </c>
      <c r="R67" s="33"/>
    </row>
    <row r="68" spans="1:18" s="7" customFormat="1" ht="15" customHeight="1" x14ac:dyDescent="0.25">
      <c r="A68" s="5" t="s">
        <v>32</v>
      </c>
      <c r="B68" s="5">
        <v>3582</v>
      </c>
      <c r="C68" s="5">
        <v>51000589</v>
      </c>
      <c r="D68" s="5" t="s">
        <v>6</v>
      </c>
      <c r="E68" s="42" t="s">
        <v>37</v>
      </c>
      <c r="F68" s="42" t="s">
        <v>8</v>
      </c>
      <c r="G68" s="80">
        <v>100</v>
      </c>
      <c r="H68" s="41">
        <v>17</v>
      </c>
      <c r="I68" s="114">
        <f t="shared" si="1"/>
        <v>0</v>
      </c>
      <c r="J68" s="43">
        <v>45219</v>
      </c>
      <c r="K68" s="106"/>
      <c r="L68" s="108">
        <v>17</v>
      </c>
      <c r="M68" s="106">
        <v>45205</v>
      </c>
      <c r="N68" s="108">
        <v>19323</v>
      </c>
      <c r="O68" s="108">
        <v>0</v>
      </c>
      <c r="P68" s="36"/>
      <c r="Q68" s="32"/>
      <c r="R68" s="33"/>
    </row>
    <row r="69" spans="1:18" s="7" customFormat="1" ht="15" customHeight="1" x14ac:dyDescent="0.25">
      <c r="A69" s="20" t="s">
        <v>247</v>
      </c>
      <c r="B69" s="20">
        <v>3553</v>
      </c>
      <c r="C69" s="20">
        <v>21370</v>
      </c>
      <c r="D69" s="20">
        <v>1</v>
      </c>
      <c r="E69" s="45" t="s">
        <v>248</v>
      </c>
      <c r="F69" s="45" t="s">
        <v>249</v>
      </c>
      <c r="G69" s="68">
        <v>60</v>
      </c>
      <c r="H69" s="68">
        <v>16</v>
      </c>
      <c r="I69" s="140">
        <f t="shared" si="1"/>
        <v>0</v>
      </c>
      <c r="J69" s="139">
        <v>45221</v>
      </c>
      <c r="K69" s="106"/>
      <c r="L69" s="108">
        <v>16</v>
      </c>
      <c r="M69" s="106">
        <v>45208</v>
      </c>
      <c r="N69" s="108"/>
      <c r="O69" s="108">
        <v>0</v>
      </c>
      <c r="P69" s="36"/>
      <c r="Q69" s="32"/>
      <c r="R69" s="33"/>
    </row>
    <row r="70" spans="1:18" s="7" customFormat="1" ht="15" customHeight="1" x14ac:dyDescent="0.25">
      <c r="A70" s="6" t="s">
        <v>32</v>
      </c>
      <c r="B70" s="6">
        <v>3607</v>
      </c>
      <c r="C70" s="6">
        <v>51000589</v>
      </c>
      <c r="D70" s="6" t="s">
        <v>6</v>
      </c>
      <c r="E70" s="120" t="s">
        <v>241</v>
      </c>
      <c r="F70" s="120" t="s">
        <v>8</v>
      </c>
      <c r="G70" s="80">
        <v>112</v>
      </c>
      <c r="H70" s="41">
        <v>21</v>
      </c>
      <c r="I70" s="122">
        <f t="shared" si="1"/>
        <v>0</v>
      </c>
      <c r="J70" s="123">
        <v>45260</v>
      </c>
      <c r="K70" s="106"/>
      <c r="L70" s="108">
        <v>21</v>
      </c>
      <c r="M70" s="106">
        <v>45237</v>
      </c>
      <c r="N70" s="108">
        <v>19473</v>
      </c>
      <c r="O70" s="108">
        <v>0</v>
      </c>
      <c r="P70" s="36">
        <v>31.12</v>
      </c>
      <c r="Q70" s="32">
        <f t="shared" ref="Q70:Q83" si="5">P70*H70</f>
        <v>653.52</v>
      </c>
      <c r="R70" s="33"/>
    </row>
    <row r="71" spans="1:18" s="7" customFormat="1" ht="15" customHeight="1" x14ac:dyDescent="0.25">
      <c r="A71" s="6" t="s">
        <v>57</v>
      </c>
      <c r="B71" s="6">
        <v>3518</v>
      </c>
      <c r="C71" s="6">
        <v>183092</v>
      </c>
      <c r="D71" s="6">
        <v>9</v>
      </c>
      <c r="E71" s="120" t="s">
        <v>69</v>
      </c>
      <c r="F71" s="120" t="s">
        <v>70</v>
      </c>
      <c r="G71" s="121">
        <v>142</v>
      </c>
      <c r="H71" s="44">
        <v>127</v>
      </c>
      <c r="I71" s="122">
        <f t="shared" si="1"/>
        <v>0</v>
      </c>
      <c r="J71" s="123">
        <v>45215</v>
      </c>
      <c r="K71" s="106"/>
      <c r="L71" s="108">
        <v>127</v>
      </c>
      <c r="M71" s="106">
        <v>45215</v>
      </c>
      <c r="N71" s="108">
        <v>19350</v>
      </c>
      <c r="O71" s="108">
        <v>0</v>
      </c>
      <c r="P71" s="36">
        <v>6.27</v>
      </c>
      <c r="Q71" s="32">
        <f t="shared" si="5"/>
        <v>796.29</v>
      </c>
      <c r="R71" s="33"/>
    </row>
    <row r="72" spans="1:18" s="7" customFormat="1" ht="15" customHeight="1" x14ac:dyDescent="0.25">
      <c r="A72" s="5" t="s">
        <v>57</v>
      </c>
      <c r="B72" s="5">
        <v>3518</v>
      </c>
      <c r="C72" s="5">
        <v>183092</v>
      </c>
      <c r="D72" s="5">
        <v>9</v>
      </c>
      <c r="E72" s="42" t="s">
        <v>69</v>
      </c>
      <c r="F72" s="42" t="s">
        <v>70</v>
      </c>
      <c r="G72" s="80">
        <v>142</v>
      </c>
      <c r="H72" s="41">
        <v>15</v>
      </c>
      <c r="I72" s="114">
        <f t="shared" si="1"/>
        <v>0</v>
      </c>
      <c r="J72" s="43">
        <v>45226</v>
      </c>
      <c r="K72" s="198"/>
      <c r="L72" s="109">
        <v>15</v>
      </c>
      <c r="M72" s="107"/>
      <c r="N72" s="109">
        <v>19299</v>
      </c>
      <c r="O72" s="109">
        <v>0</v>
      </c>
      <c r="P72" s="74">
        <v>5.27</v>
      </c>
      <c r="Q72" s="79">
        <f t="shared" si="5"/>
        <v>79.05</v>
      </c>
      <c r="R72" s="33"/>
    </row>
    <row r="73" spans="1:18" s="33" customFormat="1" ht="15" customHeight="1" x14ac:dyDescent="0.25">
      <c r="A73" s="5" t="s">
        <v>57</v>
      </c>
      <c r="B73" s="5">
        <v>3501</v>
      </c>
      <c r="C73" s="5">
        <v>182965</v>
      </c>
      <c r="D73" s="5">
        <v>8</v>
      </c>
      <c r="E73" s="42" t="s">
        <v>71</v>
      </c>
      <c r="F73" s="42" t="s">
        <v>72</v>
      </c>
      <c r="G73" s="115">
        <v>180</v>
      </c>
      <c r="H73" s="70">
        <v>180</v>
      </c>
      <c r="I73" s="114">
        <f t="shared" ref="I73:I136" si="6">H73-L73</f>
        <v>0</v>
      </c>
      <c r="J73" s="43">
        <v>45212</v>
      </c>
      <c r="K73" s="107"/>
      <c r="L73" s="109">
        <v>180</v>
      </c>
      <c r="M73" s="107">
        <v>45205</v>
      </c>
      <c r="N73" s="109">
        <v>19317</v>
      </c>
      <c r="O73" s="116">
        <v>1</v>
      </c>
      <c r="P73" s="74">
        <v>12.4</v>
      </c>
      <c r="Q73" s="71">
        <f t="shared" si="5"/>
        <v>2232</v>
      </c>
    </row>
    <row r="74" spans="1:18" s="33" customFormat="1" ht="15" customHeight="1" x14ac:dyDescent="0.25">
      <c r="A74" s="182" t="s">
        <v>57</v>
      </c>
      <c r="B74" s="182">
        <v>3518</v>
      </c>
      <c r="C74" s="182">
        <v>183092</v>
      </c>
      <c r="D74" s="182">
        <v>12</v>
      </c>
      <c r="E74" s="210" t="s">
        <v>83</v>
      </c>
      <c r="F74" s="210" t="s">
        <v>84</v>
      </c>
      <c r="G74" s="183">
        <v>100</v>
      </c>
      <c r="H74" s="184">
        <v>100</v>
      </c>
      <c r="I74" s="280">
        <f t="shared" si="6"/>
        <v>0</v>
      </c>
      <c r="J74" s="213">
        <v>45260</v>
      </c>
      <c r="K74" s="127"/>
      <c r="L74" s="128">
        <v>100</v>
      </c>
      <c r="M74" s="127">
        <v>45233</v>
      </c>
      <c r="N74" s="128">
        <v>19458</v>
      </c>
      <c r="O74" s="128">
        <v>0</v>
      </c>
      <c r="P74" s="94">
        <v>25.64</v>
      </c>
      <c r="Q74" s="72">
        <f t="shared" si="5"/>
        <v>2564</v>
      </c>
    </row>
    <row r="75" spans="1:18" s="7" customFormat="1" ht="15" customHeight="1" x14ac:dyDescent="0.25">
      <c r="A75" s="6" t="s">
        <v>57</v>
      </c>
      <c r="B75" s="6">
        <v>3640</v>
      </c>
      <c r="C75" s="6">
        <v>184744</v>
      </c>
      <c r="D75" s="6">
        <v>3</v>
      </c>
      <c r="E75" s="120" t="s">
        <v>83</v>
      </c>
      <c r="F75" s="120" t="s">
        <v>84</v>
      </c>
      <c r="G75" s="121">
        <v>100</v>
      </c>
      <c r="H75" s="44">
        <v>100</v>
      </c>
      <c r="I75" s="122">
        <f t="shared" si="6"/>
        <v>0</v>
      </c>
      <c r="J75" s="124">
        <v>45258</v>
      </c>
      <c r="K75" s="107"/>
      <c r="L75" s="109">
        <v>100</v>
      </c>
      <c r="M75" s="107">
        <v>45260</v>
      </c>
      <c r="N75" s="109">
        <v>19588</v>
      </c>
      <c r="O75" s="108">
        <v>0</v>
      </c>
      <c r="P75" s="74">
        <v>25.64</v>
      </c>
      <c r="Q75" s="79">
        <f t="shared" si="5"/>
        <v>2564</v>
      </c>
      <c r="R75" s="33"/>
    </row>
    <row r="76" spans="1:18" s="33" customFormat="1" ht="15" customHeight="1" x14ac:dyDescent="0.25">
      <c r="A76" s="182" t="s">
        <v>270</v>
      </c>
      <c r="B76" s="182">
        <v>3613</v>
      </c>
      <c r="C76" s="182">
        <v>12504</v>
      </c>
      <c r="D76" s="182">
        <v>1</v>
      </c>
      <c r="E76" s="207">
        <v>705996</v>
      </c>
      <c r="F76" s="207" t="s">
        <v>271</v>
      </c>
      <c r="G76" s="232">
        <v>50</v>
      </c>
      <c r="H76" s="233">
        <v>50</v>
      </c>
      <c r="I76" s="140">
        <f t="shared" si="6"/>
        <v>0</v>
      </c>
      <c r="J76" s="177">
        <v>45224</v>
      </c>
      <c r="K76" s="107"/>
      <c r="L76" s="109">
        <v>50</v>
      </c>
      <c r="M76" s="107">
        <v>45218</v>
      </c>
      <c r="N76" s="109">
        <v>19373</v>
      </c>
      <c r="O76" s="116">
        <v>0</v>
      </c>
      <c r="P76" s="74">
        <v>30.12</v>
      </c>
      <c r="Q76" s="71">
        <f t="shared" si="5"/>
        <v>1506</v>
      </c>
    </row>
    <row r="77" spans="1:18" s="7" customFormat="1" ht="15" customHeight="1" x14ac:dyDescent="0.25">
      <c r="A77" s="182" t="s">
        <v>270</v>
      </c>
      <c r="B77" s="182">
        <v>3613</v>
      </c>
      <c r="C77" s="182">
        <v>12504</v>
      </c>
      <c r="D77" s="182">
        <v>2</v>
      </c>
      <c r="E77" s="185">
        <v>705997</v>
      </c>
      <c r="F77" s="185" t="s">
        <v>272</v>
      </c>
      <c r="G77" s="183">
        <v>50</v>
      </c>
      <c r="H77" s="184">
        <v>50</v>
      </c>
      <c r="I77" s="140">
        <f t="shared" si="6"/>
        <v>0</v>
      </c>
      <c r="J77" s="171">
        <v>45224</v>
      </c>
      <c r="K77" s="106"/>
      <c r="L77" s="108">
        <v>50</v>
      </c>
      <c r="M77" s="106">
        <v>45218</v>
      </c>
      <c r="N77" s="108">
        <v>19373</v>
      </c>
      <c r="O77" s="108">
        <v>0</v>
      </c>
      <c r="P77" s="36">
        <v>26.83</v>
      </c>
      <c r="Q77" s="32">
        <f t="shared" si="5"/>
        <v>1341.5</v>
      </c>
      <c r="R77" s="33"/>
    </row>
    <row r="78" spans="1:18" s="7" customFormat="1" ht="15" customHeight="1" x14ac:dyDescent="0.25">
      <c r="A78" s="5" t="s">
        <v>9</v>
      </c>
      <c r="B78" s="5">
        <v>3575</v>
      </c>
      <c r="C78" s="5">
        <v>5500007886</v>
      </c>
      <c r="D78" s="5" t="s">
        <v>6</v>
      </c>
      <c r="E78" s="31" t="s">
        <v>33</v>
      </c>
      <c r="F78" s="31" t="s">
        <v>165</v>
      </c>
      <c r="G78" s="80">
        <v>57</v>
      </c>
      <c r="H78" s="41">
        <v>57</v>
      </c>
      <c r="I78" s="114">
        <f t="shared" si="6"/>
        <v>0</v>
      </c>
      <c r="J78" s="35">
        <v>45225</v>
      </c>
      <c r="K78" s="106"/>
      <c r="L78" s="108">
        <v>57</v>
      </c>
      <c r="M78" s="106">
        <v>45212</v>
      </c>
      <c r="N78" s="108">
        <v>19337</v>
      </c>
      <c r="O78" s="108">
        <v>0</v>
      </c>
      <c r="P78" s="36">
        <v>14.6</v>
      </c>
      <c r="Q78" s="32">
        <f t="shared" si="5"/>
        <v>832.19999999999993</v>
      </c>
      <c r="R78" s="33"/>
    </row>
    <row r="79" spans="1:18" s="7" customFormat="1" ht="15" customHeight="1" x14ac:dyDescent="0.25">
      <c r="A79" s="20" t="s">
        <v>32</v>
      </c>
      <c r="B79" s="20">
        <v>3582</v>
      </c>
      <c r="C79" s="20">
        <v>51000589</v>
      </c>
      <c r="D79" s="20" t="s">
        <v>6</v>
      </c>
      <c r="E79" s="21" t="s">
        <v>37</v>
      </c>
      <c r="F79" s="21" t="s">
        <v>8</v>
      </c>
      <c r="G79" s="172">
        <v>100</v>
      </c>
      <c r="H79" s="68">
        <v>83</v>
      </c>
      <c r="I79" s="163">
        <f t="shared" si="6"/>
        <v>0</v>
      </c>
      <c r="J79" s="22">
        <v>45219</v>
      </c>
      <c r="K79" s="106"/>
      <c r="L79" s="108">
        <v>83</v>
      </c>
      <c r="M79" s="106">
        <v>45219</v>
      </c>
      <c r="N79" s="108">
        <v>19387</v>
      </c>
      <c r="O79" s="108">
        <v>0</v>
      </c>
      <c r="P79" s="36">
        <v>15.61</v>
      </c>
      <c r="Q79" s="32">
        <f t="shared" si="5"/>
        <v>1295.6299999999999</v>
      </c>
      <c r="R79" s="33"/>
    </row>
    <row r="80" spans="1:18" s="7" customFormat="1" ht="15" customHeight="1" x14ac:dyDescent="0.25">
      <c r="A80" s="5" t="s">
        <v>57</v>
      </c>
      <c r="B80" s="5">
        <v>3619</v>
      </c>
      <c r="C80" s="5">
        <v>184417</v>
      </c>
      <c r="D80" s="5">
        <v>17</v>
      </c>
      <c r="E80" s="31" t="s">
        <v>71</v>
      </c>
      <c r="F80" s="31" t="s">
        <v>72</v>
      </c>
      <c r="G80" s="80">
        <v>120</v>
      </c>
      <c r="H80" s="41">
        <v>120</v>
      </c>
      <c r="I80" s="114">
        <f t="shared" si="6"/>
        <v>0</v>
      </c>
      <c r="J80" s="35">
        <v>45299</v>
      </c>
      <c r="K80" s="106"/>
      <c r="L80" s="108">
        <v>120</v>
      </c>
      <c r="M80" s="106">
        <v>45252</v>
      </c>
      <c r="N80" s="108">
        <v>19541</v>
      </c>
      <c r="O80" s="108"/>
      <c r="P80" s="36">
        <v>12.4</v>
      </c>
      <c r="Q80" s="32">
        <f t="shared" si="5"/>
        <v>1488</v>
      </c>
      <c r="R80" s="33"/>
    </row>
    <row r="81" spans="1:18" s="33" customFormat="1" ht="15" customHeight="1" x14ac:dyDescent="0.25">
      <c r="A81" s="16" t="s">
        <v>57</v>
      </c>
      <c r="B81" s="16">
        <v>3461</v>
      </c>
      <c r="C81" s="16">
        <v>182296</v>
      </c>
      <c r="D81" s="16">
        <v>8</v>
      </c>
      <c r="E81" s="42" t="s">
        <v>85</v>
      </c>
      <c r="F81" s="42" t="s">
        <v>179</v>
      </c>
      <c r="G81" s="80">
        <v>1000</v>
      </c>
      <c r="H81" s="41">
        <v>100</v>
      </c>
      <c r="I81" s="114">
        <f t="shared" si="6"/>
        <v>0</v>
      </c>
      <c r="J81" s="43">
        <v>45239</v>
      </c>
      <c r="K81" s="107"/>
      <c r="L81" s="108">
        <v>100</v>
      </c>
      <c r="M81" s="106">
        <v>45238</v>
      </c>
      <c r="N81" s="108">
        <v>19480</v>
      </c>
      <c r="O81" s="108">
        <v>0</v>
      </c>
      <c r="P81" s="36">
        <v>39.950000000000003</v>
      </c>
      <c r="Q81" s="32">
        <f t="shared" si="5"/>
        <v>3995.0000000000005</v>
      </c>
    </row>
    <row r="82" spans="1:18" s="7" customFormat="1" x14ac:dyDescent="0.25">
      <c r="A82" s="6" t="s">
        <v>57</v>
      </c>
      <c r="B82" s="6">
        <v>3461</v>
      </c>
      <c r="C82" s="6">
        <v>182296</v>
      </c>
      <c r="D82" s="6">
        <v>19</v>
      </c>
      <c r="E82" s="120" t="s">
        <v>85</v>
      </c>
      <c r="F82" s="120" t="s">
        <v>179</v>
      </c>
      <c r="G82" s="121">
        <v>1000</v>
      </c>
      <c r="H82" s="44">
        <v>450</v>
      </c>
      <c r="I82" s="122">
        <f t="shared" si="6"/>
        <v>0</v>
      </c>
      <c r="J82" s="123">
        <v>45254</v>
      </c>
      <c r="K82" s="106"/>
      <c r="L82" s="108">
        <v>450</v>
      </c>
      <c r="M82" s="106">
        <v>45258</v>
      </c>
      <c r="N82" s="108">
        <v>19574</v>
      </c>
      <c r="O82" s="108">
        <v>0</v>
      </c>
      <c r="P82" s="36">
        <v>39.950000000000003</v>
      </c>
      <c r="Q82" s="32">
        <f t="shared" si="5"/>
        <v>17977.5</v>
      </c>
      <c r="R82" s="33"/>
    </row>
    <row r="83" spans="1:18" s="7" customFormat="1" x14ac:dyDescent="0.25">
      <c r="A83" s="5" t="s">
        <v>9</v>
      </c>
      <c r="B83" s="5">
        <v>3575</v>
      </c>
      <c r="C83" s="5">
        <v>5500007621</v>
      </c>
      <c r="D83" s="5" t="s">
        <v>6</v>
      </c>
      <c r="E83" s="31" t="s">
        <v>236</v>
      </c>
      <c r="F83" s="31" t="s">
        <v>24</v>
      </c>
      <c r="G83" s="80">
        <v>50</v>
      </c>
      <c r="H83" s="41">
        <v>23</v>
      </c>
      <c r="I83" s="114">
        <f t="shared" si="6"/>
        <v>0</v>
      </c>
      <c r="J83" s="35">
        <v>45226</v>
      </c>
      <c r="K83" s="138"/>
      <c r="L83" s="108">
        <v>23</v>
      </c>
      <c r="M83" s="106"/>
      <c r="N83" s="108">
        <v>19267</v>
      </c>
      <c r="O83" s="108">
        <v>0</v>
      </c>
      <c r="P83" s="36">
        <v>34.14</v>
      </c>
      <c r="Q83" s="32">
        <f t="shared" si="5"/>
        <v>785.22</v>
      </c>
      <c r="R83" s="33"/>
    </row>
    <row r="84" spans="1:18" s="7" customFormat="1" ht="15" customHeight="1" x14ac:dyDescent="0.25">
      <c r="A84" s="6" t="s">
        <v>57</v>
      </c>
      <c r="B84" s="6">
        <v>3518</v>
      </c>
      <c r="C84" s="6">
        <v>183092</v>
      </c>
      <c r="D84" s="6">
        <v>10</v>
      </c>
      <c r="E84" s="189" t="s">
        <v>148</v>
      </c>
      <c r="F84" s="189" t="s">
        <v>149</v>
      </c>
      <c r="G84" s="121">
        <v>200</v>
      </c>
      <c r="H84" s="44">
        <v>99</v>
      </c>
      <c r="I84" s="136">
        <f t="shared" si="6"/>
        <v>0</v>
      </c>
      <c r="J84" s="123">
        <v>45230</v>
      </c>
      <c r="K84" s="127"/>
      <c r="L84" s="128">
        <v>99</v>
      </c>
      <c r="M84" s="127">
        <v>45229</v>
      </c>
      <c r="N84" s="128">
        <v>19437</v>
      </c>
      <c r="O84" s="128">
        <v>0</v>
      </c>
      <c r="P84" s="85"/>
      <c r="Q84" s="79"/>
      <c r="R84" s="33"/>
    </row>
    <row r="85" spans="1:18" s="7" customFormat="1" ht="15" customHeight="1" x14ac:dyDescent="0.25">
      <c r="A85" s="182" t="s">
        <v>42</v>
      </c>
      <c r="B85" s="182">
        <v>3581</v>
      </c>
      <c r="C85" s="182">
        <v>25532</v>
      </c>
      <c r="D85" s="182" t="s">
        <v>6</v>
      </c>
      <c r="E85" s="210" t="s">
        <v>163</v>
      </c>
      <c r="F85" s="210" t="s">
        <v>24</v>
      </c>
      <c r="G85" s="183">
        <v>100</v>
      </c>
      <c r="H85" s="184">
        <v>100</v>
      </c>
      <c r="I85" s="199">
        <f t="shared" si="6"/>
        <v>0</v>
      </c>
      <c r="J85" s="171">
        <v>45226</v>
      </c>
      <c r="K85" s="127"/>
      <c r="L85" s="128">
        <v>100</v>
      </c>
      <c r="M85" s="127">
        <v>45224</v>
      </c>
      <c r="N85" s="128">
        <v>19417</v>
      </c>
      <c r="O85" s="128">
        <v>0</v>
      </c>
      <c r="P85" s="85">
        <v>33.58</v>
      </c>
      <c r="Q85" s="79">
        <f t="shared" ref="Q85:Q90" si="7">P85*H85</f>
        <v>3358</v>
      </c>
      <c r="R85" s="33"/>
    </row>
    <row r="86" spans="1:18" s="7" customFormat="1" x14ac:dyDescent="0.25">
      <c r="A86" s="6" t="s">
        <v>57</v>
      </c>
      <c r="B86" s="6">
        <v>3371</v>
      </c>
      <c r="C86" s="6">
        <v>180915</v>
      </c>
      <c r="D86" s="6">
        <v>8</v>
      </c>
      <c r="E86" s="120" t="s">
        <v>86</v>
      </c>
      <c r="F86" s="120" t="s">
        <v>87</v>
      </c>
      <c r="G86" s="121">
        <v>100</v>
      </c>
      <c r="H86" s="44">
        <v>100</v>
      </c>
      <c r="I86" s="136">
        <f t="shared" si="6"/>
        <v>0</v>
      </c>
      <c r="J86" s="123">
        <v>45257</v>
      </c>
      <c r="K86" s="127"/>
      <c r="L86" s="128">
        <v>100</v>
      </c>
      <c r="M86" s="127">
        <v>45258</v>
      </c>
      <c r="N86" s="128">
        <v>19574</v>
      </c>
      <c r="O86" s="128">
        <v>0</v>
      </c>
      <c r="P86" s="85">
        <v>50.99</v>
      </c>
      <c r="Q86" s="79">
        <f t="shared" si="7"/>
        <v>5099</v>
      </c>
      <c r="R86" s="33"/>
    </row>
    <row r="87" spans="1:18" s="7" customFormat="1" ht="15" customHeight="1" x14ac:dyDescent="0.25">
      <c r="A87" s="16" t="s">
        <v>57</v>
      </c>
      <c r="B87" s="277">
        <v>3501</v>
      </c>
      <c r="C87" s="16">
        <v>182965</v>
      </c>
      <c r="D87" s="16">
        <v>9</v>
      </c>
      <c r="E87" s="42" t="s">
        <v>79</v>
      </c>
      <c r="F87" s="42" t="s">
        <v>80</v>
      </c>
      <c r="G87" s="80">
        <v>500</v>
      </c>
      <c r="H87" s="41">
        <v>500</v>
      </c>
      <c r="I87" s="114">
        <f t="shared" si="6"/>
        <v>0</v>
      </c>
      <c r="J87" s="43">
        <v>45228</v>
      </c>
      <c r="K87" s="107"/>
      <c r="L87" s="108">
        <v>500</v>
      </c>
      <c r="M87" s="106">
        <v>45219</v>
      </c>
      <c r="N87" s="108">
        <v>19381</v>
      </c>
      <c r="O87" s="108">
        <v>0</v>
      </c>
      <c r="P87" s="36">
        <v>24.96</v>
      </c>
      <c r="Q87" s="32">
        <f t="shared" si="7"/>
        <v>12480</v>
      </c>
      <c r="R87" s="33"/>
    </row>
    <row r="88" spans="1:18" s="33" customFormat="1" ht="15" customHeight="1" x14ac:dyDescent="0.25">
      <c r="A88" s="191" t="s">
        <v>57</v>
      </c>
      <c r="B88" s="191">
        <v>3290</v>
      </c>
      <c r="C88" s="191">
        <v>179596</v>
      </c>
      <c r="D88" s="191">
        <v>1</v>
      </c>
      <c r="E88" s="151" t="s">
        <v>86</v>
      </c>
      <c r="F88" s="151" t="s">
        <v>87</v>
      </c>
      <c r="G88" s="192">
        <v>200</v>
      </c>
      <c r="H88" s="193">
        <v>200</v>
      </c>
      <c r="I88" s="122">
        <f t="shared" si="6"/>
        <v>0</v>
      </c>
      <c r="J88" s="124">
        <v>45260</v>
      </c>
      <c r="K88" s="107"/>
      <c r="L88" s="109">
        <v>200</v>
      </c>
      <c r="M88" s="107">
        <v>45258</v>
      </c>
      <c r="N88" s="109">
        <v>19574</v>
      </c>
      <c r="O88" s="116">
        <v>0</v>
      </c>
      <c r="P88" s="74">
        <v>50.99</v>
      </c>
      <c r="Q88" s="71">
        <f t="shared" si="7"/>
        <v>10198</v>
      </c>
    </row>
    <row r="89" spans="1:18" s="7" customFormat="1" ht="15" customHeight="1" x14ac:dyDescent="0.25">
      <c r="A89" s="6" t="s">
        <v>9</v>
      </c>
      <c r="B89" s="6">
        <v>3575</v>
      </c>
      <c r="C89" s="6">
        <v>5500007621</v>
      </c>
      <c r="D89" s="6" t="s">
        <v>6</v>
      </c>
      <c r="E89" s="120" t="s">
        <v>30</v>
      </c>
      <c r="F89" s="120" t="s">
        <v>24</v>
      </c>
      <c r="G89" s="192">
        <v>50</v>
      </c>
      <c r="H89" s="193">
        <v>27</v>
      </c>
      <c r="I89" s="136">
        <f t="shared" si="6"/>
        <v>0</v>
      </c>
      <c r="J89" s="123">
        <v>45226</v>
      </c>
      <c r="K89" s="35"/>
      <c r="L89" s="108">
        <v>27</v>
      </c>
      <c r="M89" s="106">
        <v>45230</v>
      </c>
      <c r="N89" s="108">
        <v>19446</v>
      </c>
      <c r="O89" s="4">
        <v>0</v>
      </c>
      <c r="P89" s="36">
        <v>35.14</v>
      </c>
      <c r="Q89" s="32">
        <f t="shared" si="7"/>
        <v>948.78</v>
      </c>
      <c r="R89" s="33"/>
    </row>
    <row r="90" spans="1:18" s="7" customFormat="1" ht="15" customHeight="1" x14ac:dyDescent="0.25">
      <c r="A90" s="214" t="s">
        <v>57</v>
      </c>
      <c r="B90" s="214">
        <v>3531</v>
      </c>
      <c r="C90" s="214">
        <v>183438</v>
      </c>
      <c r="D90" s="214">
        <v>5</v>
      </c>
      <c r="E90" s="207" t="s">
        <v>88</v>
      </c>
      <c r="F90" s="207" t="s">
        <v>89</v>
      </c>
      <c r="G90" s="183">
        <v>500</v>
      </c>
      <c r="H90" s="184">
        <v>101</v>
      </c>
      <c r="I90" s="140">
        <f t="shared" si="6"/>
        <v>0</v>
      </c>
      <c r="J90" s="177">
        <v>45287</v>
      </c>
      <c r="K90" s="107"/>
      <c r="L90" s="108">
        <v>101</v>
      </c>
      <c r="M90" s="106">
        <v>45252</v>
      </c>
      <c r="N90" s="108">
        <v>19539</v>
      </c>
      <c r="O90" s="108">
        <v>0</v>
      </c>
      <c r="P90" s="36">
        <v>23.05</v>
      </c>
      <c r="Q90" s="32">
        <f t="shared" si="7"/>
        <v>2328.0500000000002</v>
      </c>
      <c r="R90" s="33"/>
    </row>
    <row r="91" spans="1:18" s="7" customFormat="1" ht="15" customHeight="1" x14ac:dyDescent="0.25">
      <c r="A91" s="6" t="s">
        <v>57</v>
      </c>
      <c r="B91" s="6">
        <v>3461</v>
      </c>
      <c r="C91" s="6">
        <v>182296</v>
      </c>
      <c r="D91" s="6">
        <v>7</v>
      </c>
      <c r="E91" s="120" t="s">
        <v>81</v>
      </c>
      <c r="F91" s="120" t="s">
        <v>82</v>
      </c>
      <c r="G91" s="121">
        <v>1000</v>
      </c>
      <c r="H91" s="44">
        <v>411</v>
      </c>
      <c r="I91" s="122">
        <f t="shared" si="6"/>
        <v>0</v>
      </c>
      <c r="J91" s="123">
        <v>45230</v>
      </c>
      <c r="K91" s="106"/>
      <c r="L91" s="108">
        <v>411</v>
      </c>
      <c r="M91" s="106">
        <v>45229</v>
      </c>
      <c r="N91" s="108">
        <v>19437</v>
      </c>
      <c r="O91" s="108">
        <v>0</v>
      </c>
      <c r="P91" s="36"/>
      <c r="Q91" s="32"/>
      <c r="R91" s="33"/>
    </row>
    <row r="92" spans="1:18" s="7" customFormat="1" ht="15" customHeight="1" x14ac:dyDescent="0.25">
      <c r="A92" s="182" t="s">
        <v>57</v>
      </c>
      <c r="B92" s="182">
        <v>3531</v>
      </c>
      <c r="C92" s="182">
        <v>183438</v>
      </c>
      <c r="D92" s="182">
        <v>5</v>
      </c>
      <c r="E92" s="185" t="s">
        <v>88</v>
      </c>
      <c r="F92" s="185" t="s">
        <v>89</v>
      </c>
      <c r="G92" s="183">
        <v>500</v>
      </c>
      <c r="H92" s="184">
        <v>269</v>
      </c>
      <c r="I92" s="199">
        <f t="shared" si="6"/>
        <v>0</v>
      </c>
      <c r="J92" s="171">
        <v>45287</v>
      </c>
      <c r="K92" s="35"/>
      <c r="L92" s="108">
        <v>269</v>
      </c>
      <c r="M92" s="106">
        <v>45260</v>
      </c>
      <c r="N92" s="108">
        <v>19588</v>
      </c>
      <c r="O92" s="108">
        <v>0</v>
      </c>
      <c r="P92" s="36">
        <v>23.05</v>
      </c>
      <c r="Q92" s="32">
        <f>P92*H92</f>
        <v>6200.45</v>
      </c>
      <c r="R92" s="33"/>
    </row>
    <row r="93" spans="1:18" s="7" customFormat="1" ht="15" customHeight="1" x14ac:dyDescent="0.25">
      <c r="A93" s="214" t="s">
        <v>57</v>
      </c>
      <c r="B93" s="214">
        <v>3482</v>
      </c>
      <c r="C93" s="214">
        <v>182437</v>
      </c>
      <c r="D93" s="214">
        <v>7</v>
      </c>
      <c r="E93" s="207" t="s">
        <v>90</v>
      </c>
      <c r="F93" s="207" t="s">
        <v>91</v>
      </c>
      <c r="G93" s="183">
        <v>200</v>
      </c>
      <c r="H93" s="184">
        <v>200</v>
      </c>
      <c r="I93" s="140">
        <f t="shared" si="6"/>
        <v>0</v>
      </c>
      <c r="J93" s="177">
        <v>45260</v>
      </c>
      <c r="K93" s="107"/>
      <c r="L93" s="108">
        <v>200</v>
      </c>
      <c r="M93" s="106">
        <v>45233</v>
      </c>
      <c r="N93" s="108">
        <v>19458</v>
      </c>
      <c r="O93" s="108">
        <v>0</v>
      </c>
      <c r="P93" s="36">
        <v>39.76</v>
      </c>
      <c r="Q93" s="32">
        <f>P93*H93</f>
        <v>7952</v>
      </c>
      <c r="R93" s="33"/>
    </row>
    <row r="94" spans="1:18" s="7" customFormat="1" ht="15" customHeight="1" x14ac:dyDescent="0.25">
      <c r="A94" s="20" t="s">
        <v>57</v>
      </c>
      <c r="B94" s="20">
        <v>3013</v>
      </c>
      <c r="C94" s="20">
        <v>182725</v>
      </c>
      <c r="D94" s="20">
        <v>1</v>
      </c>
      <c r="E94" s="21" t="s">
        <v>96</v>
      </c>
      <c r="F94" s="21" t="s">
        <v>180</v>
      </c>
      <c r="G94" s="172">
        <v>100</v>
      </c>
      <c r="H94" s="68">
        <v>100</v>
      </c>
      <c r="I94" s="163">
        <f t="shared" si="6"/>
        <v>0</v>
      </c>
      <c r="J94" s="162">
        <v>45258</v>
      </c>
      <c r="K94" s="107"/>
      <c r="L94" s="109">
        <v>100</v>
      </c>
      <c r="M94" s="107">
        <v>45258</v>
      </c>
      <c r="N94" s="109">
        <v>19574</v>
      </c>
      <c r="O94" s="109">
        <v>0</v>
      </c>
      <c r="P94" s="74">
        <v>49.04</v>
      </c>
      <c r="Q94" s="79">
        <f>P94*H94</f>
        <v>4904</v>
      </c>
      <c r="R94" s="33"/>
    </row>
    <row r="95" spans="1:18" s="33" customFormat="1" x14ac:dyDescent="0.25">
      <c r="A95" s="6" t="s">
        <v>57</v>
      </c>
      <c r="B95" s="6">
        <v>3518</v>
      </c>
      <c r="C95" s="6">
        <v>183092</v>
      </c>
      <c r="D95" s="6">
        <v>13</v>
      </c>
      <c r="E95" s="120" t="s">
        <v>85</v>
      </c>
      <c r="F95" s="120" t="s">
        <v>179</v>
      </c>
      <c r="G95" s="121">
        <v>1000</v>
      </c>
      <c r="H95" s="44">
        <v>614</v>
      </c>
      <c r="I95" s="122">
        <f t="shared" si="6"/>
        <v>0</v>
      </c>
      <c r="J95" s="123">
        <v>45226</v>
      </c>
      <c r="K95" s="106"/>
      <c r="L95" s="108">
        <v>614</v>
      </c>
      <c r="M95" s="106">
        <v>45229</v>
      </c>
      <c r="N95" s="108">
        <v>19437</v>
      </c>
      <c r="O95" s="108">
        <v>0</v>
      </c>
      <c r="P95" s="36"/>
      <c r="Q95" s="32"/>
    </row>
    <row r="96" spans="1:18" s="33" customFormat="1" x14ac:dyDescent="0.25">
      <c r="A96" s="20" t="s">
        <v>57</v>
      </c>
      <c r="B96" s="20">
        <v>3531</v>
      </c>
      <c r="C96" s="20">
        <v>183438</v>
      </c>
      <c r="D96" s="20">
        <v>8</v>
      </c>
      <c r="E96" s="21" t="s">
        <v>97</v>
      </c>
      <c r="F96" s="21" t="s">
        <v>98</v>
      </c>
      <c r="G96" s="172">
        <v>100</v>
      </c>
      <c r="H96" s="68">
        <v>72</v>
      </c>
      <c r="I96" s="163">
        <f t="shared" si="6"/>
        <v>0</v>
      </c>
      <c r="J96" s="22">
        <v>45254</v>
      </c>
      <c r="K96" s="106"/>
      <c r="L96" s="108">
        <v>72</v>
      </c>
      <c r="M96" s="106">
        <v>45252</v>
      </c>
      <c r="N96" s="108">
        <v>19539</v>
      </c>
      <c r="O96" s="108">
        <v>0</v>
      </c>
      <c r="P96" s="36">
        <v>49.92</v>
      </c>
      <c r="Q96" s="32">
        <f t="shared" ref="Q96:Q105" si="8">P96*H96</f>
        <v>3594.2400000000002</v>
      </c>
    </row>
    <row r="97" spans="1:18" s="7" customFormat="1" x14ac:dyDescent="0.25">
      <c r="A97" s="5" t="s">
        <v>211</v>
      </c>
      <c r="B97" s="5">
        <v>3600</v>
      </c>
      <c r="C97" s="5" t="s">
        <v>212</v>
      </c>
      <c r="D97" s="5">
        <v>2</v>
      </c>
      <c r="E97" s="31" t="s">
        <v>214</v>
      </c>
      <c r="F97" s="31" t="s">
        <v>216</v>
      </c>
      <c r="G97" s="80">
        <v>50</v>
      </c>
      <c r="H97" s="41">
        <v>50</v>
      </c>
      <c r="I97" s="114">
        <f t="shared" si="6"/>
        <v>4</v>
      </c>
      <c r="J97" s="35">
        <v>45231</v>
      </c>
      <c r="K97" s="106"/>
      <c r="L97" s="108">
        <v>46</v>
      </c>
      <c r="M97" s="106">
        <v>45212</v>
      </c>
      <c r="N97" s="108">
        <v>19338</v>
      </c>
      <c r="O97" s="108">
        <v>0</v>
      </c>
      <c r="P97" s="36">
        <v>33.25</v>
      </c>
      <c r="Q97" s="32">
        <f t="shared" si="8"/>
        <v>1662.5</v>
      </c>
      <c r="R97" s="33"/>
    </row>
    <row r="98" spans="1:18" s="7" customFormat="1" x14ac:dyDescent="0.25">
      <c r="A98" s="5" t="s">
        <v>211</v>
      </c>
      <c r="B98" s="5">
        <v>3600</v>
      </c>
      <c r="C98" s="5" t="s">
        <v>212</v>
      </c>
      <c r="D98" s="5">
        <v>1</v>
      </c>
      <c r="E98" s="31" t="s">
        <v>213</v>
      </c>
      <c r="F98" s="31" t="s">
        <v>215</v>
      </c>
      <c r="G98" s="80">
        <v>50</v>
      </c>
      <c r="H98" s="41">
        <v>50</v>
      </c>
      <c r="I98" s="114">
        <f t="shared" si="6"/>
        <v>-4</v>
      </c>
      <c r="J98" s="35">
        <v>45231</v>
      </c>
      <c r="K98" s="106"/>
      <c r="L98" s="108">
        <v>54</v>
      </c>
      <c r="M98" s="106">
        <v>45212</v>
      </c>
      <c r="N98" s="108">
        <v>19338</v>
      </c>
      <c r="O98" s="108">
        <v>0</v>
      </c>
      <c r="P98" s="36">
        <v>26.53</v>
      </c>
      <c r="Q98" s="32">
        <f t="shared" si="8"/>
        <v>1326.5</v>
      </c>
      <c r="R98" s="33"/>
    </row>
    <row r="99" spans="1:18" s="7" customFormat="1" x14ac:dyDescent="0.25">
      <c r="A99" s="5" t="s">
        <v>9</v>
      </c>
      <c r="B99" s="5">
        <v>3575</v>
      </c>
      <c r="C99" s="5">
        <v>5500007886</v>
      </c>
      <c r="D99" s="5" t="s">
        <v>6</v>
      </c>
      <c r="E99" s="31" t="s">
        <v>33</v>
      </c>
      <c r="F99" s="31" t="s">
        <v>165</v>
      </c>
      <c r="G99" s="80">
        <v>68</v>
      </c>
      <c r="H99" s="41">
        <v>68</v>
      </c>
      <c r="I99" s="114">
        <f t="shared" si="6"/>
        <v>-3</v>
      </c>
      <c r="J99" s="35">
        <v>45229</v>
      </c>
      <c r="K99" s="106"/>
      <c r="L99" s="108">
        <v>71</v>
      </c>
      <c r="M99" s="106">
        <v>45212</v>
      </c>
      <c r="N99" s="108">
        <v>19337</v>
      </c>
      <c r="O99" s="108">
        <v>0</v>
      </c>
      <c r="P99" s="36">
        <v>14.6</v>
      </c>
      <c r="Q99" s="32">
        <f t="shared" si="8"/>
        <v>992.8</v>
      </c>
      <c r="R99" s="33"/>
    </row>
    <row r="100" spans="1:18" s="7" customFormat="1" ht="15" customHeight="1" x14ac:dyDescent="0.25">
      <c r="A100" s="5" t="s">
        <v>166</v>
      </c>
      <c r="B100" s="5"/>
      <c r="C100" s="5" t="s">
        <v>217</v>
      </c>
      <c r="D100" s="5">
        <v>2</v>
      </c>
      <c r="E100" s="31" t="s">
        <v>219</v>
      </c>
      <c r="F100" s="31" t="s">
        <v>222</v>
      </c>
      <c r="G100" s="80">
        <v>50</v>
      </c>
      <c r="H100" s="41">
        <v>50</v>
      </c>
      <c r="I100" s="114">
        <f t="shared" si="6"/>
        <v>-6</v>
      </c>
      <c r="J100" s="35">
        <v>45231</v>
      </c>
      <c r="K100" s="106"/>
      <c r="L100" s="108">
        <v>56</v>
      </c>
      <c r="M100" s="106">
        <v>45217</v>
      </c>
      <c r="N100" s="108">
        <v>19366</v>
      </c>
      <c r="O100" s="108">
        <v>0</v>
      </c>
      <c r="P100" s="36">
        <v>38.700000000000003</v>
      </c>
      <c r="Q100" s="32">
        <f t="shared" si="8"/>
        <v>1935.0000000000002</v>
      </c>
      <c r="R100" s="33"/>
    </row>
    <row r="101" spans="1:18" s="7" customFormat="1" ht="15" customHeight="1" x14ac:dyDescent="0.25">
      <c r="A101" s="5" t="s">
        <v>57</v>
      </c>
      <c r="B101" s="5">
        <v>3264</v>
      </c>
      <c r="C101" s="5">
        <v>179140</v>
      </c>
      <c r="D101" s="5">
        <v>4</v>
      </c>
      <c r="E101" s="31" t="s">
        <v>86</v>
      </c>
      <c r="F101" s="31" t="s">
        <v>87</v>
      </c>
      <c r="G101" s="80">
        <v>100</v>
      </c>
      <c r="H101" s="41">
        <v>100</v>
      </c>
      <c r="I101" s="114">
        <f t="shared" si="6"/>
        <v>0</v>
      </c>
      <c r="J101" s="35">
        <v>45229</v>
      </c>
      <c r="K101" s="106"/>
      <c r="L101" s="108">
        <v>100</v>
      </c>
      <c r="M101" s="106">
        <v>45219</v>
      </c>
      <c r="N101" s="108">
        <v>19381</v>
      </c>
      <c r="O101" s="108">
        <v>0</v>
      </c>
      <c r="P101" s="74">
        <v>50.99</v>
      </c>
      <c r="Q101" s="79">
        <f t="shared" si="8"/>
        <v>5099</v>
      </c>
      <c r="R101" s="33"/>
    </row>
    <row r="102" spans="1:18" s="37" customFormat="1" ht="15" customHeight="1" x14ac:dyDescent="0.25">
      <c r="A102" s="5" t="s">
        <v>166</v>
      </c>
      <c r="B102" s="5"/>
      <c r="C102" s="5" t="s">
        <v>217</v>
      </c>
      <c r="D102" s="5">
        <v>3</v>
      </c>
      <c r="E102" s="31" t="s">
        <v>220</v>
      </c>
      <c r="F102" s="31" t="s">
        <v>221</v>
      </c>
      <c r="G102" s="80">
        <v>50</v>
      </c>
      <c r="H102" s="41">
        <v>50</v>
      </c>
      <c r="I102" s="114">
        <f t="shared" si="6"/>
        <v>-3</v>
      </c>
      <c r="J102" s="35">
        <v>45231</v>
      </c>
      <c r="K102" s="106"/>
      <c r="L102" s="108">
        <v>53</v>
      </c>
      <c r="M102" s="106">
        <v>45217</v>
      </c>
      <c r="N102" s="108">
        <v>19366</v>
      </c>
      <c r="O102" s="108">
        <v>0</v>
      </c>
      <c r="P102" s="74">
        <v>93.66</v>
      </c>
      <c r="Q102" s="79">
        <f t="shared" si="8"/>
        <v>4683</v>
      </c>
      <c r="R102" s="33"/>
    </row>
    <row r="103" spans="1:18" s="37" customFormat="1" ht="15" customHeight="1" x14ac:dyDescent="0.25">
      <c r="A103" s="5" t="s">
        <v>166</v>
      </c>
      <c r="B103" s="5"/>
      <c r="C103" s="5" t="s">
        <v>217</v>
      </c>
      <c r="D103" s="5">
        <v>1</v>
      </c>
      <c r="E103" s="31" t="s">
        <v>218</v>
      </c>
      <c r="F103" s="31" t="s">
        <v>223</v>
      </c>
      <c r="G103" s="80">
        <v>50</v>
      </c>
      <c r="H103" s="41">
        <v>50</v>
      </c>
      <c r="I103" s="114">
        <f t="shared" si="6"/>
        <v>-1</v>
      </c>
      <c r="J103" s="35">
        <v>45231</v>
      </c>
      <c r="K103" s="106"/>
      <c r="L103" s="108">
        <v>51</v>
      </c>
      <c r="M103" s="106">
        <v>45217</v>
      </c>
      <c r="N103" s="108">
        <v>19366</v>
      </c>
      <c r="O103" s="108">
        <v>0</v>
      </c>
      <c r="P103" s="74">
        <v>27.45</v>
      </c>
      <c r="Q103" s="71">
        <f t="shared" si="8"/>
        <v>1372.5</v>
      </c>
      <c r="R103" s="33"/>
    </row>
    <row r="104" spans="1:18" s="7" customFormat="1" ht="15" customHeight="1" x14ac:dyDescent="0.25">
      <c r="A104" s="6" t="s">
        <v>57</v>
      </c>
      <c r="B104" s="6">
        <v>3523</v>
      </c>
      <c r="C104" s="6">
        <v>183229</v>
      </c>
      <c r="D104" s="6">
        <v>5</v>
      </c>
      <c r="E104" s="120" t="s">
        <v>88</v>
      </c>
      <c r="F104" s="120" t="s">
        <v>89</v>
      </c>
      <c r="G104" s="120">
        <v>500</v>
      </c>
      <c r="H104" s="6">
        <v>500</v>
      </c>
      <c r="I104" s="136">
        <f t="shared" si="6"/>
        <v>0</v>
      </c>
      <c r="J104" s="35">
        <v>45215</v>
      </c>
      <c r="K104" s="35"/>
      <c r="L104" s="4">
        <v>500</v>
      </c>
      <c r="M104" s="35">
        <v>45215</v>
      </c>
      <c r="N104" s="4">
        <v>19350</v>
      </c>
      <c r="O104" s="4">
        <v>0</v>
      </c>
      <c r="P104" s="36">
        <v>23.05</v>
      </c>
      <c r="Q104" s="32">
        <f t="shared" si="8"/>
        <v>11525</v>
      </c>
      <c r="R104" s="33"/>
    </row>
    <row r="105" spans="1:18" s="7" customFormat="1" ht="15" customHeight="1" x14ac:dyDescent="0.25">
      <c r="A105" s="5" t="s">
        <v>166</v>
      </c>
      <c r="B105" s="5">
        <v>3583</v>
      </c>
      <c r="C105" s="5" t="s">
        <v>203</v>
      </c>
      <c r="D105" s="5">
        <v>1</v>
      </c>
      <c r="E105" s="31" t="s">
        <v>204</v>
      </c>
      <c r="F105" s="31" t="s">
        <v>205</v>
      </c>
      <c r="G105" s="31">
        <v>50</v>
      </c>
      <c r="H105" s="5">
        <v>50</v>
      </c>
      <c r="I105" s="119">
        <f t="shared" si="6"/>
        <v>-7</v>
      </c>
      <c r="J105" s="35">
        <v>45231</v>
      </c>
      <c r="K105" s="35"/>
      <c r="L105" s="4">
        <v>57</v>
      </c>
      <c r="M105" s="35">
        <v>45223</v>
      </c>
      <c r="N105" s="4">
        <v>19403</v>
      </c>
      <c r="O105" s="4">
        <v>0</v>
      </c>
      <c r="P105" s="36">
        <v>76.08</v>
      </c>
      <c r="Q105" s="32">
        <f t="shared" si="8"/>
        <v>3804</v>
      </c>
      <c r="R105" s="33"/>
    </row>
    <row r="106" spans="1:18" s="33" customFormat="1" ht="15" customHeight="1" x14ac:dyDescent="0.25">
      <c r="A106" s="182" t="s">
        <v>281</v>
      </c>
      <c r="B106" s="182"/>
      <c r="C106" s="182" t="s">
        <v>13</v>
      </c>
      <c r="D106" s="182" t="s">
        <v>6</v>
      </c>
      <c r="E106" s="185" t="s">
        <v>282</v>
      </c>
      <c r="F106" s="185" t="s">
        <v>283</v>
      </c>
      <c r="G106" s="183">
        <v>100</v>
      </c>
      <c r="H106" s="184">
        <v>100</v>
      </c>
      <c r="I106" s="140">
        <f t="shared" si="6"/>
        <v>0</v>
      </c>
      <c r="J106" s="213">
        <v>45229</v>
      </c>
      <c r="K106" s="127"/>
      <c r="L106" s="128">
        <v>100</v>
      </c>
      <c r="M106" s="127">
        <v>45239</v>
      </c>
      <c r="N106" s="128"/>
      <c r="O106" s="128">
        <v>1</v>
      </c>
      <c r="P106" s="85">
        <v>57.43</v>
      </c>
      <c r="Q106" s="79">
        <f>P106*G106</f>
        <v>5743</v>
      </c>
    </row>
    <row r="107" spans="1:18" s="33" customFormat="1" ht="15" customHeight="1" x14ac:dyDescent="0.25">
      <c r="A107" s="5" t="s">
        <v>166</v>
      </c>
      <c r="B107" s="5" t="s">
        <v>202</v>
      </c>
      <c r="C107" s="5" t="s">
        <v>203</v>
      </c>
      <c r="D107" s="5">
        <v>2</v>
      </c>
      <c r="E107" s="31" t="s">
        <v>162</v>
      </c>
      <c r="F107" s="31" t="s">
        <v>151</v>
      </c>
      <c r="G107" s="80">
        <v>100</v>
      </c>
      <c r="H107" s="41">
        <v>100</v>
      </c>
      <c r="I107" s="114">
        <f t="shared" si="6"/>
        <v>0</v>
      </c>
      <c r="J107" s="126">
        <v>45231</v>
      </c>
      <c r="K107" s="127"/>
      <c r="L107" s="128">
        <v>100</v>
      </c>
      <c r="M107" s="127">
        <v>45223</v>
      </c>
      <c r="N107" s="128">
        <v>19403</v>
      </c>
      <c r="O107" s="128">
        <v>0</v>
      </c>
      <c r="P107" s="85">
        <v>9.74</v>
      </c>
      <c r="Q107" s="79">
        <f t="shared" ref="Q107:Q115" si="9">P107*H107</f>
        <v>974</v>
      </c>
    </row>
    <row r="108" spans="1:18" s="33" customFormat="1" ht="15" customHeight="1" x14ac:dyDescent="0.25">
      <c r="A108" s="179" t="s">
        <v>32</v>
      </c>
      <c r="B108" s="6">
        <v>3607</v>
      </c>
      <c r="C108" s="6">
        <v>51000589</v>
      </c>
      <c r="D108" s="6" t="s">
        <v>6</v>
      </c>
      <c r="E108" s="189" t="s">
        <v>242</v>
      </c>
      <c r="F108" s="189" t="s">
        <v>8</v>
      </c>
      <c r="G108" s="80">
        <v>112</v>
      </c>
      <c r="H108" s="41">
        <v>107</v>
      </c>
      <c r="I108" s="136">
        <f t="shared" si="6"/>
        <v>0</v>
      </c>
      <c r="J108" s="309">
        <v>45260</v>
      </c>
      <c r="K108" s="127"/>
      <c r="L108" s="128">
        <v>107</v>
      </c>
      <c r="M108" s="127">
        <v>45237</v>
      </c>
      <c r="N108" s="128">
        <v>19473</v>
      </c>
      <c r="O108" s="128">
        <v>0</v>
      </c>
      <c r="P108" s="85">
        <v>43.75</v>
      </c>
      <c r="Q108" s="79">
        <f t="shared" si="9"/>
        <v>4681.25</v>
      </c>
    </row>
    <row r="109" spans="1:18" s="33" customFormat="1" ht="15" customHeight="1" x14ac:dyDescent="0.25">
      <c r="A109" s="179" t="s">
        <v>16</v>
      </c>
      <c r="B109" s="6">
        <v>3639</v>
      </c>
      <c r="C109" s="6">
        <v>37824</v>
      </c>
      <c r="D109" s="6">
        <v>1</v>
      </c>
      <c r="E109" s="189" t="s">
        <v>309</v>
      </c>
      <c r="F109" s="189" t="s">
        <v>310</v>
      </c>
      <c r="G109" s="80">
        <v>50</v>
      </c>
      <c r="H109" s="41">
        <v>47</v>
      </c>
      <c r="I109" s="136">
        <f t="shared" si="6"/>
        <v>0</v>
      </c>
      <c r="J109" s="309">
        <v>45233</v>
      </c>
      <c r="K109" s="127"/>
      <c r="L109" s="128">
        <v>47</v>
      </c>
      <c r="M109" s="127">
        <v>45239</v>
      </c>
      <c r="N109" s="128">
        <v>19487</v>
      </c>
      <c r="O109" s="128">
        <v>0</v>
      </c>
      <c r="P109" s="85">
        <v>169.22</v>
      </c>
      <c r="Q109" s="32">
        <f t="shared" si="9"/>
        <v>7953.34</v>
      </c>
    </row>
    <row r="110" spans="1:18" s="37" customFormat="1" ht="15" customHeight="1" x14ac:dyDescent="0.25">
      <c r="A110" s="38" t="s">
        <v>57</v>
      </c>
      <c r="B110" s="5">
        <v>3285</v>
      </c>
      <c r="C110" s="5">
        <v>179520</v>
      </c>
      <c r="D110" s="5">
        <v>6</v>
      </c>
      <c r="E110" s="31" t="s">
        <v>92</v>
      </c>
      <c r="F110" s="31" t="s">
        <v>93</v>
      </c>
      <c r="G110" s="80">
        <v>100</v>
      </c>
      <c r="H110" s="41">
        <v>100</v>
      </c>
      <c r="I110" s="119">
        <f t="shared" si="6"/>
        <v>0</v>
      </c>
      <c r="J110" s="35">
        <v>45229</v>
      </c>
      <c r="K110" s="129"/>
      <c r="L110" s="130">
        <v>100</v>
      </c>
      <c r="M110" s="129">
        <v>45219</v>
      </c>
      <c r="N110" s="130">
        <v>19381</v>
      </c>
      <c r="O110" s="130">
        <v>0</v>
      </c>
      <c r="P110" s="85">
        <v>28.69</v>
      </c>
      <c r="Q110" s="79">
        <f t="shared" si="9"/>
        <v>2869</v>
      </c>
      <c r="R110" s="33"/>
    </row>
    <row r="111" spans="1:18" s="37" customFormat="1" ht="15" customHeight="1" x14ac:dyDescent="0.25">
      <c r="A111" s="38" t="s">
        <v>57</v>
      </c>
      <c r="B111" s="5">
        <v>3501</v>
      </c>
      <c r="C111" s="5">
        <v>182965</v>
      </c>
      <c r="D111" s="5">
        <v>10</v>
      </c>
      <c r="E111" s="42" t="s">
        <v>94</v>
      </c>
      <c r="F111" s="42" t="s">
        <v>95</v>
      </c>
      <c r="G111" s="80">
        <v>200</v>
      </c>
      <c r="H111" s="41">
        <v>200</v>
      </c>
      <c r="I111" s="114">
        <f t="shared" si="6"/>
        <v>0</v>
      </c>
      <c r="J111" s="43">
        <v>45211</v>
      </c>
      <c r="K111" s="107"/>
      <c r="L111" s="109">
        <v>200</v>
      </c>
      <c r="M111" s="107">
        <v>45205</v>
      </c>
      <c r="N111" s="109">
        <v>19315</v>
      </c>
      <c r="O111" s="109">
        <v>0</v>
      </c>
      <c r="P111" s="74">
        <v>38.46</v>
      </c>
      <c r="Q111" s="71">
        <f t="shared" si="9"/>
        <v>7692</v>
      </c>
      <c r="R111" s="33"/>
    </row>
    <row r="112" spans="1:18" s="33" customFormat="1" ht="15" customHeight="1" x14ac:dyDescent="0.25">
      <c r="A112" s="6" t="s">
        <v>31</v>
      </c>
      <c r="B112" s="6">
        <v>3635</v>
      </c>
      <c r="C112" s="6">
        <v>100493</v>
      </c>
      <c r="D112" s="6">
        <v>2</v>
      </c>
      <c r="E112" s="120" t="s">
        <v>306</v>
      </c>
      <c r="F112" s="120" t="s">
        <v>164</v>
      </c>
      <c r="G112" s="121">
        <v>60</v>
      </c>
      <c r="H112" s="44">
        <v>60</v>
      </c>
      <c r="I112" s="122">
        <f t="shared" si="6"/>
        <v>-1</v>
      </c>
      <c r="J112" s="123">
        <v>45235</v>
      </c>
      <c r="K112" s="106"/>
      <c r="L112" s="108">
        <v>61</v>
      </c>
      <c r="M112" s="106"/>
      <c r="N112" s="108"/>
      <c r="O112" s="108">
        <v>0</v>
      </c>
      <c r="P112" s="36">
        <v>85.44</v>
      </c>
      <c r="Q112" s="32">
        <f t="shared" si="9"/>
        <v>5126.3999999999996</v>
      </c>
    </row>
    <row r="113" spans="1:19" s="7" customFormat="1" ht="15" customHeight="1" x14ac:dyDescent="0.25">
      <c r="A113" s="5" t="s">
        <v>9</v>
      </c>
      <c r="B113" s="5">
        <v>3615</v>
      </c>
      <c r="C113" s="5">
        <v>5500007886</v>
      </c>
      <c r="D113" s="5" t="s">
        <v>6</v>
      </c>
      <c r="E113" s="31" t="s">
        <v>33</v>
      </c>
      <c r="F113" s="31" t="s">
        <v>165</v>
      </c>
      <c r="G113" s="80">
        <v>39</v>
      </c>
      <c r="H113" s="41">
        <v>39</v>
      </c>
      <c r="I113" s="114">
        <f t="shared" si="6"/>
        <v>0</v>
      </c>
      <c r="J113" s="35">
        <v>45236</v>
      </c>
      <c r="K113" s="106"/>
      <c r="L113" s="108">
        <v>39</v>
      </c>
      <c r="M113" s="106">
        <v>45230</v>
      </c>
      <c r="N113" s="108">
        <v>19446</v>
      </c>
      <c r="O113" s="108">
        <v>0</v>
      </c>
      <c r="P113" s="74">
        <v>14.6</v>
      </c>
      <c r="Q113" s="79">
        <f t="shared" si="9"/>
        <v>569.4</v>
      </c>
      <c r="R113" s="33"/>
    </row>
    <row r="114" spans="1:19" s="7" customFormat="1" ht="15" customHeight="1" x14ac:dyDescent="0.25">
      <c r="A114" s="20" t="s">
        <v>9</v>
      </c>
      <c r="B114" s="20">
        <v>3589</v>
      </c>
      <c r="C114" s="20">
        <v>5500022285</v>
      </c>
      <c r="D114" s="20" t="s">
        <v>6</v>
      </c>
      <c r="E114" s="21" t="s">
        <v>206</v>
      </c>
      <c r="F114" s="21" t="s">
        <v>311</v>
      </c>
      <c r="G114" s="158">
        <v>40</v>
      </c>
      <c r="H114" s="157">
        <v>6</v>
      </c>
      <c r="I114" s="131">
        <f t="shared" si="6"/>
        <v>0</v>
      </c>
      <c r="J114" s="22">
        <v>45230</v>
      </c>
      <c r="K114" s="123"/>
      <c r="L114" s="4">
        <v>6</v>
      </c>
      <c r="M114" s="35">
        <v>45230</v>
      </c>
      <c r="N114" s="4">
        <v>19446</v>
      </c>
      <c r="O114" s="4">
        <v>0</v>
      </c>
      <c r="P114" s="36">
        <v>198.86</v>
      </c>
      <c r="Q114" s="32">
        <f t="shared" si="9"/>
        <v>1193.1600000000001</v>
      </c>
      <c r="R114" s="33"/>
    </row>
    <row r="115" spans="1:19" s="37" customFormat="1" ht="15" customHeight="1" x14ac:dyDescent="0.25">
      <c r="A115" s="188" t="s">
        <v>9</v>
      </c>
      <c r="B115" s="20">
        <v>3575</v>
      </c>
      <c r="C115" s="20">
        <v>5500015214</v>
      </c>
      <c r="D115" s="20" t="s">
        <v>6</v>
      </c>
      <c r="E115" s="21" t="s">
        <v>22</v>
      </c>
      <c r="F115" s="21" t="s">
        <v>193</v>
      </c>
      <c r="G115" s="167">
        <v>230</v>
      </c>
      <c r="H115" s="168">
        <v>197</v>
      </c>
      <c r="I115" s="163">
        <f t="shared" si="6"/>
        <v>0</v>
      </c>
      <c r="J115" s="22">
        <v>45230</v>
      </c>
      <c r="K115" s="106"/>
      <c r="L115" s="108">
        <v>197</v>
      </c>
      <c r="M115" s="106">
        <v>45230</v>
      </c>
      <c r="N115" s="108">
        <v>19446</v>
      </c>
      <c r="O115" s="108">
        <v>0</v>
      </c>
      <c r="P115" s="74">
        <v>60.83</v>
      </c>
      <c r="Q115" s="71">
        <f t="shared" si="9"/>
        <v>11983.51</v>
      </c>
      <c r="R115" s="33"/>
    </row>
    <row r="116" spans="1:19" s="37" customFormat="1" ht="15" customHeight="1" x14ac:dyDescent="0.25">
      <c r="A116" s="5" t="s">
        <v>9</v>
      </c>
      <c r="B116" s="5">
        <v>3575</v>
      </c>
      <c r="C116" s="5">
        <v>5500015214</v>
      </c>
      <c r="D116" s="5" t="s">
        <v>6</v>
      </c>
      <c r="E116" s="31" t="s">
        <v>22</v>
      </c>
      <c r="F116" s="31" t="s">
        <v>193</v>
      </c>
      <c r="G116" s="80">
        <v>160</v>
      </c>
      <c r="H116" s="41">
        <v>16</v>
      </c>
      <c r="I116" s="114">
        <f t="shared" si="6"/>
        <v>0</v>
      </c>
      <c r="J116" s="35">
        <v>45236</v>
      </c>
      <c r="K116" s="106"/>
      <c r="L116" s="108">
        <v>16</v>
      </c>
      <c r="M116" s="106">
        <v>45230</v>
      </c>
      <c r="N116" s="108">
        <v>19446</v>
      </c>
      <c r="O116" s="108">
        <v>0</v>
      </c>
      <c r="P116" s="36"/>
      <c r="Q116" s="32"/>
      <c r="R116" s="33"/>
    </row>
    <row r="117" spans="1:19" s="7" customFormat="1" ht="15" customHeight="1" x14ac:dyDescent="0.25">
      <c r="A117" s="20" t="s">
        <v>57</v>
      </c>
      <c r="B117" s="20">
        <v>3531</v>
      </c>
      <c r="C117" s="20">
        <v>183438</v>
      </c>
      <c r="D117" s="20">
        <v>8</v>
      </c>
      <c r="E117" s="170" t="s">
        <v>97</v>
      </c>
      <c r="F117" s="170" t="s">
        <v>98</v>
      </c>
      <c r="G117" s="172">
        <v>100</v>
      </c>
      <c r="H117" s="68">
        <v>24</v>
      </c>
      <c r="I117" s="131">
        <f t="shared" si="6"/>
        <v>0</v>
      </c>
      <c r="J117" s="22">
        <v>45254</v>
      </c>
      <c r="K117" s="127"/>
      <c r="L117" s="128">
        <v>24</v>
      </c>
      <c r="M117" s="127">
        <v>45258</v>
      </c>
      <c r="N117" s="128">
        <v>19574</v>
      </c>
      <c r="O117" s="128">
        <v>0</v>
      </c>
      <c r="P117" s="36">
        <v>49.92</v>
      </c>
      <c r="Q117" s="32">
        <f t="shared" ref="Q117:Q124" si="10">P117*H117</f>
        <v>1198.08</v>
      </c>
      <c r="R117" s="33"/>
    </row>
    <row r="118" spans="1:19" s="7" customFormat="1" ht="15" customHeight="1" x14ac:dyDescent="0.25">
      <c r="A118" s="182" t="s">
        <v>57</v>
      </c>
      <c r="B118" s="182">
        <v>3577</v>
      </c>
      <c r="C118" s="182">
        <v>184032</v>
      </c>
      <c r="D118" s="182">
        <v>2</v>
      </c>
      <c r="E118" s="185" t="s">
        <v>99</v>
      </c>
      <c r="F118" s="185" t="s">
        <v>100</v>
      </c>
      <c r="G118" s="183">
        <v>100</v>
      </c>
      <c r="H118" s="184">
        <v>100</v>
      </c>
      <c r="I118" s="199">
        <f t="shared" si="6"/>
        <v>0</v>
      </c>
      <c r="J118" s="171">
        <v>45239</v>
      </c>
      <c r="K118" s="35"/>
      <c r="L118" s="108">
        <v>100</v>
      </c>
      <c r="M118" s="106">
        <v>45238</v>
      </c>
      <c r="N118" s="108">
        <v>19481</v>
      </c>
      <c r="O118" s="108">
        <v>0</v>
      </c>
      <c r="P118" s="36">
        <v>35.31</v>
      </c>
      <c r="Q118" s="32">
        <f t="shared" si="10"/>
        <v>3531</v>
      </c>
      <c r="R118" s="33"/>
    </row>
    <row r="119" spans="1:19" s="7" customFormat="1" ht="15" customHeight="1" x14ac:dyDescent="0.25">
      <c r="A119" s="5" t="s">
        <v>9</v>
      </c>
      <c r="B119" s="5">
        <v>3615</v>
      </c>
      <c r="C119" s="5">
        <v>5500012550</v>
      </c>
      <c r="D119" s="5" t="s">
        <v>6</v>
      </c>
      <c r="E119" s="31" t="s">
        <v>36</v>
      </c>
      <c r="F119" s="31" t="s">
        <v>193</v>
      </c>
      <c r="G119" s="80">
        <v>50</v>
      </c>
      <c r="H119" s="41">
        <v>17</v>
      </c>
      <c r="I119" s="114">
        <f t="shared" si="6"/>
        <v>0</v>
      </c>
      <c r="J119" s="35">
        <v>45238</v>
      </c>
      <c r="K119" s="145"/>
      <c r="L119" s="108">
        <v>17</v>
      </c>
      <c r="M119" s="106">
        <v>45230</v>
      </c>
      <c r="N119" s="108">
        <v>19446</v>
      </c>
      <c r="O119" s="108">
        <v>0</v>
      </c>
      <c r="P119" s="36">
        <v>24.66</v>
      </c>
      <c r="Q119" s="32">
        <f t="shared" si="10"/>
        <v>419.22</v>
      </c>
      <c r="R119" s="33"/>
    </row>
    <row r="120" spans="1:19" s="7" customFormat="1" ht="15" customHeight="1" x14ac:dyDescent="0.25">
      <c r="A120" s="20" t="s">
        <v>57</v>
      </c>
      <c r="B120" s="20">
        <v>3616</v>
      </c>
      <c r="C120" s="20">
        <v>184416</v>
      </c>
      <c r="D120" s="20">
        <v>9</v>
      </c>
      <c r="E120" s="21" t="s">
        <v>99</v>
      </c>
      <c r="F120" s="21" t="s">
        <v>100</v>
      </c>
      <c r="G120" s="21">
        <v>100</v>
      </c>
      <c r="H120" s="20">
        <v>63</v>
      </c>
      <c r="I120" s="131">
        <f t="shared" si="6"/>
        <v>0</v>
      </c>
      <c r="J120" s="22">
        <v>45243</v>
      </c>
      <c r="K120" s="35"/>
      <c r="L120" s="4">
        <v>63</v>
      </c>
      <c r="M120" s="35">
        <v>45244</v>
      </c>
      <c r="N120" s="4">
        <v>19499</v>
      </c>
      <c r="O120" s="4">
        <v>0</v>
      </c>
      <c r="P120" s="36">
        <v>35.31</v>
      </c>
      <c r="Q120" s="32">
        <f t="shared" si="10"/>
        <v>2224.5300000000002</v>
      </c>
      <c r="R120" s="33"/>
    </row>
    <row r="121" spans="1:19" s="7" customFormat="1" x14ac:dyDescent="0.25">
      <c r="A121" s="6" t="s">
        <v>57</v>
      </c>
      <c r="B121" s="6">
        <v>3616</v>
      </c>
      <c r="C121" s="303">
        <v>184416</v>
      </c>
      <c r="D121" s="6">
        <v>3</v>
      </c>
      <c r="E121" s="120" t="s">
        <v>99</v>
      </c>
      <c r="F121" s="120" t="s">
        <v>100</v>
      </c>
      <c r="G121" s="31">
        <v>100</v>
      </c>
      <c r="H121" s="5">
        <v>12</v>
      </c>
      <c r="I121" s="136">
        <f t="shared" si="6"/>
        <v>0</v>
      </c>
      <c r="J121" s="123">
        <v>45254</v>
      </c>
      <c r="K121" s="35"/>
      <c r="L121" s="4">
        <v>12</v>
      </c>
      <c r="M121" s="35">
        <v>45244</v>
      </c>
      <c r="N121" s="4">
        <v>19504</v>
      </c>
      <c r="O121" s="4">
        <v>0</v>
      </c>
      <c r="P121" s="36">
        <v>35.31</v>
      </c>
      <c r="Q121" s="32">
        <f t="shared" si="10"/>
        <v>423.72</v>
      </c>
      <c r="R121" s="33"/>
    </row>
    <row r="122" spans="1:19" s="7" customFormat="1" x14ac:dyDescent="0.25">
      <c r="A122" s="20" t="s">
        <v>57</v>
      </c>
      <c r="B122" s="20">
        <v>3655</v>
      </c>
      <c r="C122" s="20">
        <v>185088</v>
      </c>
      <c r="D122" s="20">
        <v>1</v>
      </c>
      <c r="E122" s="21" t="s">
        <v>99</v>
      </c>
      <c r="F122" s="21" t="s">
        <v>100</v>
      </c>
      <c r="G122" s="21">
        <v>100</v>
      </c>
      <c r="H122" s="20">
        <v>100</v>
      </c>
      <c r="I122" s="131">
        <f t="shared" si="6"/>
        <v>0</v>
      </c>
      <c r="J122" s="22">
        <v>45260</v>
      </c>
      <c r="K122" s="35"/>
      <c r="L122" s="4">
        <v>100</v>
      </c>
      <c r="M122" s="35">
        <v>45257</v>
      </c>
      <c r="N122" s="4">
        <v>19566</v>
      </c>
      <c r="O122" s="4">
        <v>0</v>
      </c>
      <c r="P122" s="36">
        <v>35.31</v>
      </c>
      <c r="Q122" s="32">
        <f t="shared" si="10"/>
        <v>3531</v>
      </c>
      <c r="R122" s="33"/>
    </row>
    <row r="123" spans="1:19" s="7" customFormat="1" x14ac:dyDescent="0.25">
      <c r="A123" s="6" t="s">
        <v>32</v>
      </c>
      <c r="B123" s="6">
        <v>3607</v>
      </c>
      <c r="C123" s="6">
        <v>51000589</v>
      </c>
      <c r="D123" s="6" t="s">
        <v>6</v>
      </c>
      <c r="E123" s="120" t="s">
        <v>19</v>
      </c>
      <c r="F123" s="120" t="s">
        <v>201</v>
      </c>
      <c r="G123" s="31">
        <v>100</v>
      </c>
      <c r="H123" s="5">
        <v>100</v>
      </c>
      <c r="I123" s="136">
        <f t="shared" si="6"/>
        <v>0</v>
      </c>
      <c r="J123" s="123">
        <v>45260</v>
      </c>
      <c r="K123" s="35"/>
      <c r="L123" s="4">
        <v>100</v>
      </c>
      <c r="M123" s="35">
        <v>45237</v>
      </c>
      <c r="N123" s="4">
        <v>19473</v>
      </c>
      <c r="O123" s="4">
        <v>0</v>
      </c>
      <c r="P123" s="36">
        <v>11.59</v>
      </c>
      <c r="Q123" s="32">
        <f t="shared" si="10"/>
        <v>1159</v>
      </c>
      <c r="R123" s="33"/>
    </row>
    <row r="124" spans="1:19" s="7" customFormat="1" ht="17.25" customHeight="1" x14ac:dyDescent="0.25">
      <c r="A124" s="6" t="s">
        <v>32</v>
      </c>
      <c r="B124" s="6">
        <v>3607</v>
      </c>
      <c r="C124" s="6">
        <v>51000589</v>
      </c>
      <c r="D124" s="6" t="s">
        <v>6</v>
      </c>
      <c r="E124" s="120" t="s">
        <v>244</v>
      </c>
      <c r="F124" s="120" t="s">
        <v>8</v>
      </c>
      <c r="G124" s="31">
        <v>100</v>
      </c>
      <c r="H124" s="5">
        <v>100</v>
      </c>
      <c r="I124" s="136">
        <f t="shared" si="6"/>
        <v>0</v>
      </c>
      <c r="J124" s="123">
        <v>45260</v>
      </c>
      <c r="K124" s="35"/>
      <c r="L124" s="4">
        <v>100</v>
      </c>
      <c r="M124" s="35">
        <v>45237</v>
      </c>
      <c r="N124" s="4">
        <v>19473</v>
      </c>
      <c r="O124" s="4">
        <v>0</v>
      </c>
      <c r="P124" s="36">
        <v>43.37</v>
      </c>
      <c r="Q124" s="32">
        <f t="shared" si="10"/>
        <v>4337</v>
      </c>
      <c r="R124" s="33"/>
    </row>
    <row r="125" spans="1:19" s="37" customFormat="1" ht="15" customHeight="1" x14ac:dyDescent="0.25">
      <c r="A125" s="5" t="s">
        <v>9</v>
      </c>
      <c r="B125" s="5">
        <v>3615</v>
      </c>
      <c r="C125" s="5">
        <v>5500016480</v>
      </c>
      <c r="D125" s="5" t="s">
        <v>6</v>
      </c>
      <c r="E125" s="120" t="s">
        <v>275</v>
      </c>
      <c r="F125" s="31" t="s">
        <v>276</v>
      </c>
      <c r="G125" s="80">
        <v>50</v>
      </c>
      <c r="H125" s="41">
        <v>10</v>
      </c>
      <c r="I125" s="114">
        <f t="shared" si="6"/>
        <v>0</v>
      </c>
      <c r="J125" s="35">
        <v>45251</v>
      </c>
      <c r="K125" s="106"/>
      <c r="L125" s="108">
        <v>10</v>
      </c>
      <c r="M125" s="106">
        <v>45230</v>
      </c>
      <c r="N125" s="108">
        <v>19446</v>
      </c>
      <c r="O125" s="108">
        <v>0</v>
      </c>
      <c r="P125" s="85"/>
      <c r="Q125" s="79"/>
      <c r="R125" s="33"/>
    </row>
    <row r="126" spans="1:19" s="37" customFormat="1" ht="15" customHeight="1" x14ac:dyDescent="0.25">
      <c r="A126" s="5" t="s">
        <v>9</v>
      </c>
      <c r="B126" s="5">
        <v>3615</v>
      </c>
      <c r="C126" s="5">
        <v>5500007883</v>
      </c>
      <c r="D126" s="5" t="s">
        <v>6</v>
      </c>
      <c r="E126" s="120" t="s">
        <v>319</v>
      </c>
      <c r="F126" s="31" t="s">
        <v>24</v>
      </c>
      <c r="G126" s="80">
        <v>50</v>
      </c>
      <c r="H126" s="41">
        <v>9</v>
      </c>
      <c r="I126" s="114">
        <f t="shared" si="6"/>
        <v>0</v>
      </c>
      <c r="J126" s="35">
        <v>45251</v>
      </c>
      <c r="K126" s="106"/>
      <c r="L126" s="108">
        <v>9</v>
      </c>
      <c r="M126" s="106">
        <v>45230</v>
      </c>
      <c r="N126" s="108">
        <v>19446</v>
      </c>
      <c r="O126" s="108">
        <v>0</v>
      </c>
      <c r="P126" s="85"/>
      <c r="Q126" s="79"/>
      <c r="R126" s="33"/>
    </row>
    <row r="127" spans="1:19" s="37" customFormat="1" ht="15" customHeight="1" x14ac:dyDescent="0.25">
      <c r="A127" s="5" t="s">
        <v>57</v>
      </c>
      <c r="B127" s="5">
        <v>3531</v>
      </c>
      <c r="C127" s="5">
        <v>183438</v>
      </c>
      <c r="D127" s="5">
        <v>7</v>
      </c>
      <c r="E127" s="31" t="s">
        <v>191</v>
      </c>
      <c r="F127" s="31" t="s">
        <v>192</v>
      </c>
      <c r="G127" s="80">
        <v>50</v>
      </c>
      <c r="H127" s="41">
        <v>50</v>
      </c>
      <c r="I127" s="114">
        <f t="shared" si="6"/>
        <v>0</v>
      </c>
      <c r="J127" s="35">
        <v>45258</v>
      </c>
      <c r="K127" s="106"/>
      <c r="L127" s="108">
        <v>50</v>
      </c>
      <c r="M127" s="106">
        <v>45244</v>
      </c>
      <c r="N127" s="108">
        <v>19503</v>
      </c>
      <c r="O127" s="108">
        <v>0</v>
      </c>
      <c r="P127" s="94">
        <v>3.8</v>
      </c>
      <c r="Q127" s="72">
        <f>P127*H127</f>
        <v>190</v>
      </c>
      <c r="R127" s="33"/>
    </row>
    <row r="128" spans="1:19" s="7" customFormat="1" ht="15" customHeight="1" x14ac:dyDescent="0.25">
      <c r="A128" s="5" t="s">
        <v>9</v>
      </c>
      <c r="B128" s="4">
        <v>3615</v>
      </c>
      <c r="C128" s="5">
        <v>5500007923</v>
      </c>
      <c r="D128" s="5" t="s">
        <v>6</v>
      </c>
      <c r="E128" s="31" t="s">
        <v>274</v>
      </c>
      <c r="F128" s="31" t="s">
        <v>151</v>
      </c>
      <c r="G128" s="31">
        <v>50</v>
      </c>
      <c r="H128" s="5">
        <v>50</v>
      </c>
      <c r="I128" s="119">
        <f t="shared" si="6"/>
        <v>0</v>
      </c>
      <c r="J128" s="35">
        <v>45259</v>
      </c>
      <c r="K128" s="35"/>
      <c r="L128" s="4">
        <v>50</v>
      </c>
      <c r="M128" s="35">
        <v>45230</v>
      </c>
      <c r="N128" s="4">
        <v>19446</v>
      </c>
      <c r="O128" s="4">
        <v>0</v>
      </c>
      <c r="P128" s="36">
        <v>21.16</v>
      </c>
      <c r="Q128" s="32">
        <f>P128*H128</f>
        <v>1058</v>
      </c>
      <c r="R128" s="32">
        <f>I128*P128</f>
        <v>0</v>
      </c>
      <c r="S128" s="33"/>
    </row>
    <row r="129" spans="1:19" s="37" customFormat="1" ht="15" customHeight="1" x14ac:dyDescent="0.25">
      <c r="A129" s="38" t="s">
        <v>57</v>
      </c>
      <c r="B129" s="5">
        <v>3577</v>
      </c>
      <c r="C129" s="5">
        <v>184032</v>
      </c>
      <c r="D129" s="5">
        <v>1</v>
      </c>
      <c r="E129" s="31" t="s">
        <v>99</v>
      </c>
      <c r="F129" s="31" t="s">
        <v>100</v>
      </c>
      <c r="G129" s="80">
        <v>100</v>
      </c>
      <c r="H129" s="41">
        <v>63</v>
      </c>
      <c r="I129" s="114">
        <f t="shared" si="6"/>
        <v>0</v>
      </c>
      <c r="J129" s="35">
        <v>45205</v>
      </c>
      <c r="K129" s="138"/>
      <c r="L129" s="108">
        <v>63</v>
      </c>
      <c r="M129" s="106"/>
      <c r="N129" s="108">
        <v>19298</v>
      </c>
      <c r="O129" s="108">
        <v>0</v>
      </c>
      <c r="P129" s="74">
        <v>34.1</v>
      </c>
      <c r="Q129" s="71">
        <f>P129*H129</f>
        <v>2148.3000000000002</v>
      </c>
      <c r="R129" s="71">
        <f>I129*P129</f>
        <v>0</v>
      </c>
      <c r="S129" s="33"/>
    </row>
    <row r="130" spans="1:19" s="37" customFormat="1" ht="15" customHeight="1" x14ac:dyDescent="0.25">
      <c r="A130" s="6" t="s">
        <v>57</v>
      </c>
      <c r="B130" s="6">
        <v>3577</v>
      </c>
      <c r="C130" s="6">
        <v>184032</v>
      </c>
      <c r="D130" s="6">
        <v>3</v>
      </c>
      <c r="E130" s="120" t="s">
        <v>99</v>
      </c>
      <c r="F130" s="120" t="s">
        <v>100</v>
      </c>
      <c r="G130" s="121">
        <v>100</v>
      </c>
      <c r="H130" s="44">
        <v>37</v>
      </c>
      <c r="I130" s="136">
        <f t="shared" si="6"/>
        <v>0</v>
      </c>
      <c r="J130" s="123">
        <v>45215</v>
      </c>
      <c r="K130" s="35"/>
      <c r="L130" s="108">
        <v>37</v>
      </c>
      <c r="M130" s="106">
        <v>45212</v>
      </c>
      <c r="N130" s="108">
        <v>19343</v>
      </c>
      <c r="O130" s="108">
        <v>0</v>
      </c>
      <c r="P130" s="74">
        <v>35.1</v>
      </c>
      <c r="Q130" s="71">
        <f>P130*H130</f>
        <v>1298.7</v>
      </c>
      <c r="R130" s="72">
        <f>I130*P130</f>
        <v>0</v>
      </c>
      <c r="S130" s="33"/>
    </row>
    <row r="131" spans="1:19" s="37" customFormat="1" ht="15" customHeight="1" x14ac:dyDescent="0.25">
      <c r="A131" s="5" t="s">
        <v>32</v>
      </c>
      <c r="B131" s="5"/>
      <c r="C131" s="5">
        <v>51000589</v>
      </c>
      <c r="D131" s="5" t="s">
        <v>6</v>
      </c>
      <c r="E131" s="31" t="s">
        <v>308</v>
      </c>
      <c r="F131" s="31" t="s">
        <v>21</v>
      </c>
      <c r="G131" s="80">
        <v>182</v>
      </c>
      <c r="H131" s="41">
        <v>59</v>
      </c>
      <c r="I131" s="114">
        <f t="shared" si="6"/>
        <v>0</v>
      </c>
      <c r="J131" s="35">
        <v>45233</v>
      </c>
      <c r="K131" s="106"/>
      <c r="L131" s="108">
        <v>59</v>
      </c>
      <c r="M131" s="106">
        <v>45219</v>
      </c>
      <c r="N131" s="108">
        <v>19387</v>
      </c>
      <c r="O131" s="108">
        <v>0</v>
      </c>
      <c r="P131" s="36"/>
      <c r="Q131" s="32"/>
      <c r="R131" s="33"/>
    </row>
    <row r="132" spans="1:19" s="7" customFormat="1" ht="15" customHeight="1" x14ac:dyDescent="0.25">
      <c r="A132" s="16" t="s">
        <v>32</v>
      </c>
      <c r="B132" s="16">
        <v>3582</v>
      </c>
      <c r="C132" s="5">
        <v>51000589</v>
      </c>
      <c r="D132" s="5" t="s">
        <v>6</v>
      </c>
      <c r="E132" s="31" t="s">
        <v>243</v>
      </c>
      <c r="F132" s="31" t="s">
        <v>8</v>
      </c>
      <c r="G132" s="31">
        <v>44</v>
      </c>
      <c r="H132" s="5">
        <v>44</v>
      </c>
      <c r="I132" s="119">
        <f t="shared" si="6"/>
        <v>0</v>
      </c>
      <c r="J132" s="35">
        <v>45219</v>
      </c>
      <c r="K132" s="35"/>
      <c r="L132" s="4">
        <v>44</v>
      </c>
      <c r="M132" s="35">
        <v>45205</v>
      </c>
      <c r="N132" s="4">
        <v>19323</v>
      </c>
      <c r="O132" s="4">
        <v>0</v>
      </c>
      <c r="P132" s="36">
        <v>313.33</v>
      </c>
      <c r="Q132" s="32">
        <f>P132*H132</f>
        <v>13786.519999999999</v>
      </c>
      <c r="R132" s="33"/>
    </row>
    <row r="133" spans="1:19" s="37" customFormat="1" ht="15" customHeight="1" x14ac:dyDescent="0.25">
      <c r="A133" s="38" t="s">
        <v>32</v>
      </c>
      <c r="B133" s="5">
        <v>3582</v>
      </c>
      <c r="C133" s="5">
        <v>51000589</v>
      </c>
      <c r="D133" s="5" t="s">
        <v>6</v>
      </c>
      <c r="E133" s="31" t="s">
        <v>19</v>
      </c>
      <c r="F133" s="31" t="s">
        <v>201</v>
      </c>
      <c r="G133" s="80">
        <v>100</v>
      </c>
      <c r="H133" s="41">
        <v>58</v>
      </c>
      <c r="I133" s="114">
        <f t="shared" si="6"/>
        <v>0</v>
      </c>
      <c r="J133" s="35">
        <v>45219</v>
      </c>
      <c r="K133" s="106"/>
      <c r="L133" s="108">
        <v>58</v>
      </c>
      <c r="M133" s="106">
        <v>45205</v>
      </c>
      <c r="N133" s="108">
        <v>19323</v>
      </c>
      <c r="O133" s="108">
        <v>0</v>
      </c>
      <c r="P133" s="74"/>
      <c r="Q133" s="71"/>
      <c r="R133" s="33"/>
    </row>
    <row r="134" spans="1:19" s="37" customFormat="1" ht="15" customHeight="1" x14ac:dyDescent="0.25">
      <c r="A134" s="179" t="s">
        <v>32</v>
      </c>
      <c r="B134" s="6"/>
      <c r="C134" s="6">
        <v>51000589</v>
      </c>
      <c r="D134" s="6" t="s">
        <v>6</v>
      </c>
      <c r="E134" s="120" t="s">
        <v>308</v>
      </c>
      <c r="F134" s="120" t="s">
        <v>21</v>
      </c>
      <c r="G134" s="80">
        <v>182</v>
      </c>
      <c r="H134" s="41">
        <v>123</v>
      </c>
      <c r="I134" s="122">
        <f t="shared" si="6"/>
        <v>0</v>
      </c>
      <c r="J134" s="123">
        <v>45247</v>
      </c>
      <c r="K134" s="106"/>
      <c r="L134" s="108">
        <v>123</v>
      </c>
      <c r="M134" s="106">
        <v>45237</v>
      </c>
      <c r="N134" s="108">
        <v>19473</v>
      </c>
      <c r="O134" s="108">
        <v>0</v>
      </c>
      <c r="P134" s="74">
        <v>8.3249999999999993</v>
      </c>
      <c r="Q134" s="71">
        <f t="shared" ref="Q134:Q169" si="11">P134*H134</f>
        <v>1023.9749999999999</v>
      </c>
      <c r="R134" s="33"/>
    </row>
    <row r="135" spans="1:19" s="37" customFormat="1" ht="15" customHeight="1" x14ac:dyDescent="0.25">
      <c r="A135" s="38" t="s">
        <v>32</v>
      </c>
      <c r="B135" s="5" t="s">
        <v>161</v>
      </c>
      <c r="C135" s="5">
        <v>51000589</v>
      </c>
      <c r="D135" s="5" t="s">
        <v>6</v>
      </c>
      <c r="E135" s="31" t="s">
        <v>28</v>
      </c>
      <c r="F135" s="31" t="s">
        <v>41</v>
      </c>
      <c r="G135" s="80">
        <v>107</v>
      </c>
      <c r="H135" s="41">
        <v>107</v>
      </c>
      <c r="I135" s="114">
        <f t="shared" si="6"/>
        <v>0</v>
      </c>
      <c r="J135" s="35">
        <v>45260</v>
      </c>
      <c r="K135" s="106"/>
      <c r="L135" s="108">
        <v>107</v>
      </c>
      <c r="M135" s="106">
        <v>45237</v>
      </c>
      <c r="N135" s="108">
        <v>19473</v>
      </c>
      <c r="O135" s="108">
        <v>0</v>
      </c>
      <c r="P135" s="74">
        <v>4.25</v>
      </c>
      <c r="Q135" s="71">
        <f t="shared" si="11"/>
        <v>454.75</v>
      </c>
      <c r="R135" s="33"/>
    </row>
    <row r="136" spans="1:19" s="37" customFormat="1" ht="15" customHeight="1" x14ac:dyDescent="0.25">
      <c r="A136" s="6" t="s">
        <v>57</v>
      </c>
      <c r="B136" s="6">
        <v>3501</v>
      </c>
      <c r="C136" s="6">
        <v>182965</v>
      </c>
      <c r="D136" s="6">
        <v>21</v>
      </c>
      <c r="E136" s="120" t="s">
        <v>114</v>
      </c>
      <c r="F136" s="120" t="s">
        <v>115</v>
      </c>
      <c r="G136" s="121">
        <v>470</v>
      </c>
      <c r="H136" s="44">
        <v>203</v>
      </c>
      <c r="I136" s="122">
        <f t="shared" si="6"/>
        <v>0</v>
      </c>
      <c r="J136" s="123">
        <v>45254</v>
      </c>
      <c r="K136" s="106"/>
      <c r="L136" s="108">
        <v>203</v>
      </c>
      <c r="M136" s="106">
        <v>45238</v>
      </c>
      <c r="N136" s="108">
        <v>19480</v>
      </c>
      <c r="O136" s="108">
        <v>0</v>
      </c>
      <c r="P136" s="74">
        <v>22.28</v>
      </c>
      <c r="Q136" s="71">
        <f t="shared" si="11"/>
        <v>4522.84</v>
      </c>
      <c r="R136" s="33"/>
    </row>
    <row r="137" spans="1:19" s="7" customFormat="1" x14ac:dyDescent="0.25">
      <c r="A137" s="182" t="s">
        <v>57</v>
      </c>
      <c r="B137" s="182">
        <v>3493</v>
      </c>
      <c r="C137" s="182">
        <v>182965</v>
      </c>
      <c r="D137" s="182">
        <v>15</v>
      </c>
      <c r="E137" s="185" t="s">
        <v>118</v>
      </c>
      <c r="F137" s="185" t="s">
        <v>119</v>
      </c>
      <c r="G137" s="185">
        <v>100</v>
      </c>
      <c r="H137" s="182">
        <v>90</v>
      </c>
      <c r="I137" s="199">
        <f t="shared" ref="I137:I200" si="12">H137-L137</f>
        <v>0</v>
      </c>
      <c r="J137" s="171">
        <v>45258</v>
      </c>
      <c r="K137" s="35"/>
      <c r="L137" s="4">
        <v>90</v>
      </c>
      <c r="M137" s="35">
        <v>45252</v>
      </c>
      <c r="N137" s="4">
        <v>19540</v>
      </c>
      <c r="O137" s="4">
        <v>0</v>
      </c>
      <c r="P137" s="36">
        <v>102.64</v>
      </c>
      <c r="Q137" s="32">
        <f t="shared" si="11"/>
        <v>9237.6</v>
      </c>
    </row>
    <row r="138" spans="1:19" s="7" customFormat="1" x14ac:dyDescent="0.25">
      <c r="A138" s="20" t="s">
        <v>57</v>
      </c>
      <c r="B138" s="20">
        <v>3493</v>
      </c>
      <c r="C138" s="20">
        <v>182965</v>
      </c>
      <c r="D138" s="20">
        <v>15</v>
      </c>
      <c r="E138" s="21" t="s">
        <v>118</v>
      </c>
      <c r="F138" s="21" t="s">
        <v>119</v>
      </c>
      <c r="G138" s="21">
        <v>100</v>
      </c>
      <c r="H138" s="20">
        <v>10</v>
      </c>
      <c r="I138" s="131">
        <f t="shared" si="12"/>
        <v>0</v>
      </c>
      <c r="J138" s="22">
        <v>45258</v>
      </c>
      <c r="K138" s="35"/>
      <c r="L138" s="4">
        <v>10</v>
      </c>
      <c r="M138" s="35">
        <v>45258</v>
      </c>
      <c r="N138" s="4">
        <v>19573</v>
      </c>
      <c r="O138" s="4">
        <v>0</v>
      </c>
      <c r="P138" s="36">
        <v>102.64</v>
      </c>
      <c r="Q138" s="32">
        <f t="shared" si="11"/>
        <v>1026.4000000000001</v>
      </c>
    </row>
    <row r="139" spans="1:19" s="7" customFormat="1" x14ac:dyDescent="0.25">
      <c r="A139" s="182" t="s">
        <v>57</v>
      </c>
      <c r="B139" s="182">
        <v>3452</v>
      </c>
      <c r="C139" s="182">
        <v>181758</v>
      </c>
      <c r="D139" s="182">
        <v>5</v>
      </c>
      <c r="E139" s="185" t="s">
        <v>122</v>
      </c>
      <c r="F139" s="185" t="s">
        <v>123</v>
      </c>
      <c r="G139" s="185">
        <v>100</v>
      </c>
      <c r="H139" s="182">
        <v>55</v>
      </c>
      <c r="I139" s="199">
        <f t="shared" si="12"/>
        <v>0</v>
      </c>
      <c r="J139" s="171">
        <v>45260</v>
      </c>
      <c r="K139" s="35"/>
      <c r="L139" s="4">
        <v>55</v>
      </c>
      <c r="M139" s="35">
        <v>45244</v>
      </c>
      <c r="N139" s="4">
        <v>19501</v>
      </c>
      <c r="O139" s="4">
        <v>0</v>
      </c>
      <c r="P139" s="36">
        <v>75.92</v>
      </c>
      <c r="Q139" s="32">
        <f t="shared" si="11"/>
        <v>4175.6000000000004</v>
      </c>
    </row>
    <row r="140" spans="1:19" s="7" customFormat="1" x14ac:dyDescent="0.25">
      <c r="A140" s="6" t="s">
        <v>57</v>
      </c>
      <c r="B140" s="6">
        <v>3504</v>
      </c>
      <c r="C140" s="6">
        <v>182964</v>
      </c>
      <c r="D140" s="6">
        <v>5</v>
      </c>
      <c r="E140" s="120" t="s">
        <v>101</v>
      </c>
      <c r="F140" s="120" t="s">
        <v>102</v>
      </c>
      <c r="G140" s="120">
        <v>381</v>
      </c>
      <c r="H140" s="6">
        <v>381</v>
      </c>
      <c r="I140" s="136">
        <f t="shared" si="12"/>
        <v>0</v>
      </c>
      <c r="J140" s="123">
        <v>45215</v>
      </c>
      <c r="K140" s="35"/>
      <c r="L140" s="4">
        <v>381</v>
      </c>
      <c r="M140" s="35">
        <v>45212</v>
      </c>
      <c r="N140" s="4">
        <v>19341</v>
      </c>
      <c r="O140" s="4">
        <v>0</v>
      </c>
      <c r="P140" s="36">
        <v>34.700000000000003</v>
      </c>
      <c r="Q140" s="32">
        <f t="shared" si="11"/>
        <v>13220.7</v>
      </c>
    </row>
    <row r="141" spans="1:19" s="7" customFormat="1" ht="15" customHeight="1" x14ac:dyDescent="0.25">
      <c r="A141" s="20" t="s">
        <v>32</v>
      </c>
      <c r="B141" s="20">
        <v>3582</v>
      </c>
      <c r="C141" s="20">
        <v>51000589</v>
      </c>
      <c r="D141" s="20" t="s">
        <v>6</v>
      </c>
      <c r="E141" s="21" t="s">
        <v>19</v>
      </c>
      <c r="F141" s="21" t="s">
        <v>201</v>
      </c>
      <c r="G141" s="172">
        <v>100</v>
      </c>
      <c r="H141" s="68">
        <v>42</v>
      </c>
      <c r="I141" s="163">
        <f t="shared" si="12"/>
        <v>0</v>
      </c>
      <c r="J141" s="22">
        <v>45219</v>
      </c>
      <c r="K141" s="106"/>
      <c r="L141" s="108">
        <v>42</v>
      </c>
      <c r="M141" s="106">
        <v>45224</v>
      </c>
      <c r="N141" s="108">
        <v>19414</v>
      </c>
      <c r="O141" s="108">
        <v>0</v>
      </c>
      <c r="P141" s="36">
        <v>11.59</v>
      </c>
      <c r="Q141" s="71">
        <f t="shared" si="11"/>
        <v>486.78</v>
      </c>
      <c r="R141" s="33"/>
    </row>
    <row r="142" spans="1:19" s="37" customFormat="1" ht="15" customHeight="1" x14ac:dyDescent="0.25">
      <c r="A142" s="182" t="s">
        <v>57</v>
      </c>
      <c r="B142" s="182">
        <v>3459</v>
      </c>
      <c r="C142" s="182">
        <v>182299</v>
      </c>
      <c r="D142" s="182">
        <v>2</v>
      </c>
      <c r="E142" s="185" t="s">
        <v>122</v>
      </c>
      <c r="F142" s="185" t="s">
        <v>123</v>
      </c>
      <c r="G142" s="183">
        <v>100</v>
      </c>
      <c r="H142" s="184">
        <v>63</v>
      </c>
      <c r="I142" s="140">
        <f t="shared" si="12"/>
        <v>0</v>
      </c>
      <c r="J142" s="171">
        <v>45258</v>
      </c>
      <c r="K142" s="106"/>
      <c r="L142" s="108">
        <v>63</v>
      </c>
      <c r="M142" s="106">
        <v>45252</v>
      </c>
      <c r="N142" s="108">
        <v>19540</v>
      </c>
      <c r="O142" s="108">
        <v>0</v>
      </c>
      <c r="P142" s="94">
        <v>75.92</v>
      </c>
      <c r="Q142" s="72">
        <f t="shared" si="11"/>
        <v>4782.96</v>
      </c>
      <c r="R142" s="33"/>
    </row>
    <row r="143" spans="1:19" s="37" customFormat="1" ht="15" customHeight="1" x14ac:dyDescent="0.25">
      <c r="A143" s="6" t="s">
        <v>57</v>
      </c>
      <c r="B143" s="6">
        <v>3519</v>
      </c>
      <c r="C143" s="6">
        <v>183228</v>
      </c>
      <c r="D143" s="6">
        <v>6</v>
      </c>
      <c r="E143" s="120" t="s">
        <v>103</v>
      </c>
      <c r="F143" s="120" t="s">
        <v>104</v>
      </c>
      <c r="G143" s="121">
        <v>360</v>
      </c>
      <c r="H143" s="44">
        <v>310</v>
      </c>
      <c r="I143" s="122">
        <f t="shared" si="12"/>
        <v>0</v>
      </c>
      <c r="J143" s="123">
        <v>45215</v>
      </c>
      <c r="K143" s="106"/>
      <c r="L143" s="108">
        <v>310</v>
      </c>
      <c r="M143" s="106">
        <v>45215</v>
      </c>
      <c r="N143" s="108">
        <v>19349</v>
      </c>
      <c r="O143" s="108">
        <v>0</v>
      </c>
      <c r="P143" s="36">
        <v>41.63</v>
      </c>
      <c r="Q143" s="32">
        <f t="shared" si="11"/>
        <v>12905.300000000001</v>
      </c>
      <c r="R143" s="33"/>
    </row>
    <row r="144" spans="1:19" s="37" customFormat="1" ht="15" customHeight="1" x14ac:dyDescent="0.25">
      <c r="A144" s="276" t="s">
        <v>57</v>
      </c>
      <c r="B144" s="20">
        <v>3519</v>
      </c>
      <c r="C144" s="20">
        <v>183228</v>
      </c>
      <c r="D144" s="20">
        <v>10</v>
      </c>
      <c r="E144" s="21" t="s">
        <v>103</v>
      </c>
      <c r="F144" s="21" t="s">
        <v>104</v>
      </c>
      <c r="G144" s="159">
        <v>360</v>
      </c>
      <c r="H144" s="160">
        <v>50</v>
      </c>
      <c r="I144" s="163">
        <f t="shared" si="12"/>
        <v>-5</v>
      </c>
      <c r="J144" s="22">
        <v>45223</v>
      </c>
      <c r="K144" s="106"/>
      <c r="L144" s="108">
        <v>55</v>
      </c>
      <c r="M144" s="106">
        <v>45224</v>
      </c>
      <c r="N144" s="108">
        <v>19408</v>
      </c>
      <c r="O144" s="108">
        <v>0</v>
      </c>
      <c r="P144" s="36">
        <v>41.63</v>
      </c>
      <c r="Q144" s="32">
        <f t="shared" si="11"/>
        <v>2081.5</v>
      </c>
      <c r="R144" s="33"/>
    </row>
    <row r="145" spans="1:18" s="7" customFormat="1" ht="15" customHeight="1" x14ac:dyDescent="0.25">
      <c r="A145" s="5" t="s">
        <v>57</v>
      </c>
      <c r="B145" s="5">
        <v>3519</v>
      </c>
      <c r="C145" s="5">
        <v>183228</v>
      </c>
      <c r="D145" s="5">
        <v>1</v>
      </c>
      <c r="E145" s="31" t="s">
        <v>105</v>
      </c>
      <c r="F145" s="31" t="s">
        <v>106</v>
      </c>
      <c r="G145" s="31">
        <v>500</v>
      </c>
      <c r="H145" s="5">
        <v>315</v>
      </c>
      <c r="I145" s="119">
        <f t="shared" si="12"/>
        <v>0</v>
      </c>
      <c r="J145" s="35">
        <v>45196</v>
      </c>
      <c r="K145" s="39"/>
      <c r="L145" s="4">
        <v>315</v>
      </c>
      <c r="M145" s="35">
        <v>45200</v>
      </c>
      <c r="N145" s="4">
        <v>19247</v>
      </c>
      <c r="O145" s="4">
        <v>0</v>
      </c>
      <c r="P145" s="36">
        <v>16.36</v>
      </c>
      <c r="Q145" s="32">
        <f t="shared" si="11"/>
        <v>5153.3999999999996</v>
      </c>
      <c r="R145" s="33"/>
    </row>
    <row r="146" spans="1:18" s="7" customFormat="1" ht="15" customHeight="1" x14ac:dyDescent="0.25">
      <c r="A146" s="20" t="s">
        <v>57</v>
      </c>
      <c r="B146" s="20">
        <v>3459</v>
      </c>
      <c r="C146" s="20">
        <v>182299</v>
      </c>
      <c r="D146" s="20">
        <v>2</v>
      </c>
      <c r="E146" s="21" t="s">
        <v>122</v>
      </c>
      <c r="F146" s="21" t="s">
        <v>123</v>
      </c>
      <c r="G146" s="21">
        <v>100</v>
      </c>
      <c r="H146" s="20">
        <v>37</v>
      </c>
      <c r="I146" s="131">
        <f t="shared" si="12"/>
        <v>0</v>
      </c>
      <c r="J146" s="22">
        <v>45258</v>
      </c>
      <c r="K146" s="35"/>
      <c r="L146" s="4">
        <v>37</v>
      </c>
      <c r="M146" s="35">
        <v>45258</v>
      </c>
      <c r="N146" s="4">
        <v>19573</v>
      </c>
      <c r="O146" s="4">
        <v>0</v>
      </c>
      <c r="P146" s="36">
        <v>75.92</v>
      </c>
      <c r="Q146" s="32">
        <f t="shared" si="11"/>
        <v>2809.04</v>
      </c>
      <c r="R146" s="33"/>
    </row>
    <row r="147" spans="1:18" s="7" customFormat="1" ht="15" customHeight="1" x14ac:dyDescent="0.25">
      <c r="A147" s="5" t="s">
        <v>57</v>
      </c>
      <c r="B147" s="5">
        <v>3557</v>
      </c>
      <c r="C147" s="5">
        <v>183791</v>
      </c>
      <c r="D147" s="5">
        <v>2</v>
      </c>
      <c r="E147" s="31" t="s">
        <v>105</v>
      </c>
      <c r="F147" s="31" t="s">
        <v>106</v>
      </c>
      <c r="G147" s="121">
        <v>500</v>
      </c>
      <c r="H147" s="44">
        <v>78</v>
      </c>
      <c r="I147" s="114">
        <f t="shared" si="12"/>
        <v>-7</v>
      </c>
      <c r="J147" s="35">
        <v>45223</v>
      </c>
      <c r="K147" s="35"/>
      <c r="L147" s="4">
        <v>85</v>
      </c>
      <c r="M147" s="35">
        <v>45219</v>
      </c>
      <c r="N147" s="4">
        <v>19380</v>
      </c>
      <c r="O147" s="4">
        <v>0</v>
      </c>
      <c r="P147" s="36">
        <v>17.36</v>
      </c>
      <c r="Q147" s="32">
        <f t="shared" si="11"/>
        <v>1354.08</v>
      </c>
      <c r="R147" s="33"/>
    </row>
    <row r="148" spans="1:18" s="37" customFormat="1" ht="15" customHeight="1" x14ac:dyDescent="0.25">
      <c r="A148" s="188" t="s">
        <v>57</v>
      </c>
      <c r="B148" s="20">
        <v>3336</v>
      </c>
      <c r="C148" s="20">
        <v>180043</v>
      </c>
      <c r="D148" s="20">
        <v>20</v>
      </c>
      <c r="E148" s="21" t="s">
        <v>130</v>
      </c>
      <c r="F148" s="21" t="s">
        <v>131</v>
      </c>
      <c r="G148" s="183">
        <v>150</v>
      </c>
      <c r="H148" s="184">
        <v>33</v>
      </c>
      <c r="I148" s="163">
        <f t="shared" si="12"/>
        <v>0</v>
      </c>
      <c r="J148" s="162">
        <v>45239</v>
      </c>
      <c r="K148" s="35"/>
      <c r="L148" s="4">
        <v>33</v>
      </c>
      <c r="M148" s="35">
        <v>45238</v>
      </c>
      <c r="N148" s="4">
        <v>19480</v>
      </c>
      <c r="O148" s="4">
        <v>0</v>
      </c>
      <c r="P148" s="36">
        <v>39.97</v>
      </c>
      <c r="Q148" s="32">
        <f t="shared" si="11"/>
        <v>1319.01</v>
      </c>
      <c r="R148" s="33"/>
    </row>
    <row r="149" spans="1:18" s="37" customFormat="1" ht="15" customHeight="1" x14ac:dyDescent="0.25">
      <c r="A149" s="38" t="s">
        <v>57</v>
      </c>
      <c r="B149" s="5">
        <v>3531</v>
      </c>
      <c r="C149" s="5">
        <v>183438</v>
      </c>
      <c r="D149" s="5">
        <v>1</v>
      </c>
      <c r="E149" s="31" t="s">
        <v>136</v>
      </c>
      <c r="F149" s="31" t="s">
        <v>137</v>
      </c>
      <c r="G149" s="80">
        <v>500</v>
      </c>
      <c r="H149" s="41">
        <v>500</v>
      </c>
      <c r="I149" s="114">
        <f t="shared" si="12"/>
        <v>0</v>
      </c>
      <c r="J149" s="35">
        <v>45276</v>
      </c>
      <c r="K149" s="31"/>
      <c r="L149" s="4">
        <v>500</v>
      </c>
      <c r="M149" s="35">
        <v>45203</v>
      </c>
      <c r="N149" s="4">
        <v>19299</v>
      </c>
      <c r="O149" s="4">
        <v>0</v>
      </c>
      <c r="P149" s="36">
        <v>8.56</v>
      </c>
      <c r="Q149" s="32">
        <f t="shared" si="11"/>
        <v>4280</v>
      </c>
      <c r="R149" s="33"/>
    </row>
    <row r="150" spans="1:18" s="37" customFormat="1" ht="15" customHeight="1" x14ac:dyDescent="0.25">
      <c r="A150" s="38" t="s">
        <v>57</v>
      </c>
      <c r="B150" s="5">
        <v>3619</v>
      </c>
      <c r="C150" s="5">
        <v>184417</v>
      </c>
      <c r="D150" s="5">
        <v>1</v>
      </c>
      <c r="E150" s="31" t="s">
        <v>136</v>
      </c>
      <c r="F150" s="31" t="s">
        <v>137</v>
      </c>
      <c r="G150" s="80">
        <v>1000</v>
      </c>
      <c r="H150" s="41">
        <v>1000</v>
      </c>
      <c r="I150" s="114">
        <f t="shared" si="12"/>
        <v>0</v>
      </c>
      <c r="J150" s="35">
        <v>45280</v>
      </c>
      <c r="K150" s="35"/>
      <c r="L150" s="4">
        <v>1000</v>
      </c>
      <c r="M150" s="35">
        <v>45229</v>
      </c>
      <c r="N150" s="4">
        <v>19437</v>
      </c>
      <c r="O150" s="4">
        <v>0</v>
      </c>
      <c r="P150" s="36">
        <v>8.56</v>
      </c>
      <c r="Q150" s="32">
        <f t="shared" si="11"/>
        <v>8560</v>
      </c>
      <c r="R150" s="33"/>
    </row>
    <row r="151" spans="1:18" s="37" customFormat="1" ht="15" customHeight="1" x14ac:dyDescent="0.25">
      <c r="A151" s="5" t="s">
        <v>9</v>
      </c>
      <c r="B151" s="6">
        <v>3615</v>
      </c>
      <c r="C151" s="6">
        <v>5500007886</v>
      </c>
      <c r="D151" s="6" t="s">
        <v>6</v>
      </c>
      <c r="E151" s="120" t="s">
        <v>33</v>
      </c>
      <c r="F151" s="120" t="s">
        <v>165</v>
      </c>
      <c r="G151" s="121">
        <v>73</v>
      </c>
      <c r="H151" s="44">
        <v>73</v>
      </c>
      <c r="I151" s="122">
        <f t="shared" si="12"/>
        <v>0</v>
      </c>
      <c r="J151" s="123">
        <v>45243</v>
      </c>
      <c r="K151" s="35" t="s">
        <v>338</v>
      </c>
      <c r="L151" s="4">
        <v>73</v>
      </c>
      <c r="M151" s="35">
        <v>45253</v>
      </c>
      <c r="N151" s="4">
        <v>19546</v>
      </c>
      <c r="O151" s="4">
        <v>0</v>
      </c>
      <c r="P151" s="36">
        <v>14.6</v>
      </c>
      <c r="Q151" s="32">
        <f t="shared" si="11"/>
        <v>1065.8</v>
      </c>
      <c r="R151" s="33"/>
    </row>
    <row r="152" spans="1:18" s="37" customFormat="1" ht="15" customHeight="1" x14ac:dyDescent="0.25">
      <c r="A152" s="5" t="s">
        <v>9</v>
      </c>
      <c r="B152" s="190">
        <v>3575</v>
      </c>
      <c r="C152" s="6">
        <v>5500007621</v>
      </c>
      <c r="D152" s="6" t="s">
        <v>6</v>
      </c>
      <c r="E152" s="120" t="s">
        <v>30</v>
      </c>
      <c r="F152" s="120" t="s">
        <v>24</v>
      </c>
      <c r="G152" s="121">
        <v>23</v>
      </c>
      <c r="H152" s="44">
        <v>23</v>
      </c>
      <c r="I152" s="122">
        <f t="shared" si="12"/>
        <v>0</v>
      </c>
      <c r="J152" s="123">
        <v>45258</v>
      </c>
      <c r="K152" s="35" t="s">
        <v>338</v>
      </c>
      <c r="L152" s="4">
        <v>23</v>
      </c>
      <c r="M152" s="35">
        <v>45253</v>
      </c>
      <c r="N152" s="4">
        <v>19546</v>
      </c>
      <c r="O152" s="4">
        <v>0</v>
      </c>
      <c r="P152" s="36">
        <v>35.14</v>
      </c>
      <c r="Q152" s="32">
        <f t="shared" si="11"/>
        <v>808.22</v>
      </c>
      <c r="R152" s="33"/>
    </row>
    <row r="153" spans="1:18" s="37" customFormat="1" ht="15" customHeight="1" x14ac:dyDescent="0.25">
      <c r="A153" s="5" t="s">
        <v>9</v>
      </c>
      <c r="B153" s="6">
        <v>3615</v>
      </c>
      <c r="C153" s="6">
        <v>5500016480</v>
      </c>
      <c r="D153" s="6" t="s">
        <v>6</v>
      </c>
      <c r="E153" s="120" t="s">
        <v>275</v>
      </c>
      <c r="F153" s="120" t="s">
        <v>276</v>
      </c>
      <c r="G153" s="121">
        <v>50</v>
      </c>
      <c r="H153" s="44">
        <v>40</v>
      </c>
      <c r="I153" s="122">
        <f t="shared" si="12"/>
        <v>0</v>
      </c>
      <c r="J153" s="123">
        <v>45251</v>
      </c>
      <c r="K153" s="35" t="s">
        <v>338</v>
      </c>
      <c r="L153" s="4">
        <v>40</v>
      </c>
      <c r="M153" s="35">
        <v>45253</v>
      </c>
      <c r="N153" s="4">
        <v>19546</v>
      </c>
      <c r="O153" s="4">
        <v>0</v>
      </c>
      <c r="P153" s="36">
        <v>15.85</v>
      </c>
      <c r="Q153" s="32">
        <f t="shared" si="11"/>
        <v>634</v>
      </c>
      <c r="R153" s="33"/>
    </row>
    <row r="154" spans="1:18" s="37" customFormat="1" ht="15" customHeight="1" x14ac:dyDescent="0.25">
      <c r="A154" s="20" t="s">
        <v>57</v>
      </c>
      <c r="B154" s="20">
        <v>3519</v>
      </c>
      <c r="C154" s="20">
        <v>183228</v>
      </c>
      <c r="D154" s="20">
        <v>9</v>
      </c>
      <c r="E154" s="21" t="s">
        <v>105</v>
      </c>
      <c r="F154" s="21" t="s">
        <v>106</v>
      </c>
      <c r="G154" s="159">
        <v>500</v>
      </c>
      <c r="H154" s="160">
        <v>185</v>
      </c>
      <c r="I154" s="163">
        <f t="shared" si="12"/>
        <v>0</v>
      </c>
      <c r="J154" s="22">
        <v>45223</v>
      </c>
      <c r="K154" s="35"/>
      <c r="L154" s="4">
        <v>185</v>
      </c>
      <c r="M154" s="35">
        <v>45219</v>
      </c>
      <c r="N154" s="4">
        <v>19379</v>
      </c>
      <c r="O154" s="4">
        <v>0</v>
      </c>
      <c r="P154" s="36">
        <v>17.36</v>
      </c>
      <c r="Q154" s="32">
        <f t="shared" si="11"/>
        <v>3211.6</v>
      </c>
      <c r="R154" s="33"/>
    </row>
    <row r="155" spans="1:18" s="37" customFormat="1" ht="15" customHeight="1" x14ac:dyDescent="0.25">
      <c r="A155" s="6" t="s">
        <v>57</v>
      </c>
      <c r="B155" s="6">
        <v>3557</v>
      </c>
      <c r="C155" s="6">
        <v>183791</v>
      </c>
      <c r="D155" s="6">
        <v>2</v>
      </c>
      <c r="E155" s="120" t="s">
        <v>105</v>
      </c>
      <c r="F155" s="120" t="s">
        <v>106</v>
      </c>
      <c r="G155" s="121">
        <v>500</v>
      </c>
      <c r="H155" s="44">
        <v>422</v>
      </c>
      <c r="I155" s="122">
        <f t="shared" si="12"/>
        <v>0</v>
      </c>
      <c r="J155" s="123">
        <v>45226</v>
      </c>
      <c r="K155" s="35"/>
      <c r="L155" s="4">
        <v>422</v>
      </c>
      <c r="M155" s="35">
        <v>45215</v>
      </c>
      <c r="N155" s="4">
        <v>19354</v>
      </c>
      <c r="O155" s="4">
        <v>1</v>
      </c>
      <c r="P155" s="36">
        <v>17.36</v>
      </c>
      <c r="Q155" s="32">
        <f t="shared" si="11"/>
        <v>7325.92</v>
      </c>
      <c r="R155" s="33"/>
    </row>
    <row r="156" spans="1:18" s="37" customFormat="1" ht="15" customHeight="1" x14ac:dyDescent="0.25">
      <c r="A156" s="5" t="s">
        <v>9</v>
      </c>
      <c r="B156" s="6">
        <v>3615</v>
      </c>
      <c r="C156" s="6">
        <v>5500012550</v>
      </c>
      <c r="D156" s="6" t="s">
        <v>6</v>
      </c>
      <c r="E156" s="120" t="s">
        <v>36</v>
      </c>
      <c r="F156" s="120" t="s">
        <v>193</v>
      </c>
      <c r="G156" s="159">
        <v>50</v>
      </c>
      <c r="H156" s="160">
        <v>33</v>
      </c>
      <c r="I156" s="122">
        <f t="shared" si="12"/>
        <v>0</v>
      </c>
      <c r="J156" s="123">
        <v>45238</v>
      </c>
      <c r="K156" s="123" t="s">
        <v>338</v>
      </c>
      <c r="L156" s="4">
        <v>33</v>
      </c>
      <c r="M156" s="35">
        <v>45253</v>
      </c>
      <c r="N156" s="4">
        <v>19546</v>
      </c>
      <c r="O156" s="4">
        <v>0</v>
      </c>
      <c r="P156" s="36">
        <v>24.66</v>
      </c>
      <c r="Q156" s="32">
        <f t="shared" si="11"/>
        <v>813.78</v>
      </c>
      <c r="R156" s="33"/>
    </row>
    <row r="157" spans="1:18" s="37" customFormat="1" ht="15" customHeight="1" x14ac:dyDescent="0.25">
      <c r="A157" s="5" t="s">
        <v>57</v>
      </c>
      <c r="B157" s="5">
        <v>3494</v>
      </c>
      <c r="C157" s="5">
        <v>180913</v>
      </c>
      <c r="D157" s="5">
        <v>12</v>
      </c>
      <c r="E157" s="31" t="s">
        <v>110</v>
      </c>
      <c r="F157" s="31" t="s">
        <v>111</v>
      </c>
      <c r="G157" s="80">
        <v>100</v>
      </c>
      <c r="H157" s="41">
        <v>29</v>
      </c>
      <c r="I157" s="114">
        <f t="shared" si="12"/>
        <v>0</v>
      </c>
      <c r="J157" s="35">
        <v>45229</v>
      </c>
      <c r="K157" s="35"/>
      <c r="L157" s="4">
        <v>29</v>
      </c>
      <c r="M157" s="35">
        <v>45205</v>
      </c>
      <c r="N157" s="4">
        <v>19315</v>
      </c>
      <c r="O157" s="4">
        <v>0</v>
      </c>
      <c r="P157" s="36">
        <v>41.35</v>
      </c>
      <c r="Q157" s="32">
        <f t="shared" si="11"/>
        <v>1199.1500000000001</v>
      </c>
      <c r="R157" s="33"/>
    </row>
    <row r="158" spans="1:18" s="7" customFormat="1" ht="15" customHeight="1" x14ac:dyDescent="0.25">
      <c r="A158" s="5" t="s">
        <v>9</v>
      </c>
      <c r="B158" s="6">
        <v>3615</v>
      </c>
      <c r="C158" s="6">
        <v>5500007883</v>
      </c>
      <c r="D158" s="6" t="s">
        <v>6</v>
      </c>
      <c r="E158" s="120" t="s">
        <v>319</v>
      </c>
      <c r="F158" s="120" t="s">
        <v>24</v>
      </c>
      <c r="G158" s="121">
        <v>50</v>
      </c>
      <c r="H158" s="44">
        <v>41</v>
      </c>
      <c r="I158" s="122">
        <f t="shared" si="12"/>
        <v>0</v>
      </c>
      <c r="J158" s="123">
        <v>45251</v>
      </c>
      <c r="K158" s="35"/>
      <c r="L158" s="4">
        <v>41</v>
      </c>
      <c r="M158" s="35">
        <v>45253</v>
      </c>
      <c r="N158" s="4">
        <v>19546</v>
      </c>
      <c r="O158" s="4">
        <v>0</v>
      </c>
      <c r="P158" s="36">
        <v>60.83</v>
      </c>
      <c r="Q158" s="32">
        <f t="shared" si="11"/>
        <v>2494.0299999999997</v>
      </c>
      <c r="R158" s="33"/>
    </row>
    <row r="159" spans="1:18" s="7" customFormat="1" ht="15" customHeight="1" x14ac:dyDescent="0.25">
      <c r="A159" s="5" t="s">
        <v>32</v>
      </c>
      <c r="B159" s="5" t="s">
        <v>38</v>
      </c>
      <c r="C159" s="5">
        <v>51000589</v>
      </c>
      <c r="D159" s="5" t="s">
        <v>6</v>
      </c>
      <c r="E159" s="31" t="s">
        <v>157</v>
      </c>
      <c r="F159" s="31" t="s">
        <v>208</v>
      </c>
      <c r="G159" s="31">
        <v>4</v>
      </c>
      <c r="H159" s="5">
        <v>4</v>
      </c>
      <c r="I159" s="119">
        <f t="shared" si="12"/>
        <v>0</v>
      </c>
      <c r="J159" s="35">
        <v>45212</v>
      </c>
      <c r="K159" s="178"/>
      <c r="L159" s="201">
        <v>4</v>
      </c>
      <c r="M159" s="178">
        <v>45205</v>
      </c>
      <c r="N159" s="201">
        <v>19323</v>
      </c>
      <c r="O159" s="201">
        <v>1</v>
      </c>
      <c r="P159" s="85">
        <v>10.94</v>
      </c>
      <c r="Q159" s="79">
        <f t="shared" si="11"/>
        <v>43.76</v>
      </c>
      <c r="R159" s="33"/>
    </row>
    <row r="160" spans="1:18" s="7" customFormat="1" ht="15" customHeight="1" x14ac:dyDescent="0.25">
      <c r="A160" s="5" t="s">
        <v>32</v>
      </c>
      <c r="B160" s="5">
        <v>3582</v>
      </c>
      <c r="C160" s="5">
        <v>51000589</v>
      </c>
      <c r="D160" s="5" t="s">
        <v>6</v>
      </c>
      <c r="E160" s="31" t="s">
        <v>20</v>
      </c>
      <c r="F160" s="31" t="s">
        <v>21</v>
      </c>
      <c r="G160" s="31">
        <v>65</v>
      </c>
      <c r="H160" s="5">
        <v>65</v>
      </c>
      <c r="I160" s="119">
        <f t="shared" si="12"/>
        <v>0</v>
      </c>
      <c r="J160" s="35">
        <v>45219</v>
      </c>
      <c r="K160" s="178"/>
      <c r="L160" s="201">
        <v>65</v>
      </c>
      <c r="M160" s="178">
        <v>45205</v>
      </c>
      <c r="N160" s="201">
        <v>19323</v>
      </c>
      <c r="O160" s="201">
        <v>0</v>
      </c>
      <c r="P160" s="85">
        <v>9.23</v>
      </c>
      <c r="Q160" s="79">
        <f t="shared" si="11"/>
        <v>599.95000000000005</v>
      </c>
      <c r="R160" s="33"/>
    </row>
    <row r="161" spans="1:18" s="33" customFormat="1" ht="15" customHeight="1" x14ac:dyDescent="0.25">
      <c r="A161" s="5" t="s">
        <v>9</v>
      </c>
      <c r="B161" s="6">
        <v>3615</v>
      </c>
      <c r="C161" s="6">
        <v>5500015214</v>
      </c>
      <c r="D161" s="6" t="s">
        <v>6</v>
      </c>
      <c r="E161" s="120" t="s">
        <v>22</v>
      </c>
      <c r="F161" s="120" t="s">
        <v>193</v>
      </c>
      <c r="G161" s="121">
        <v>200</v>
      </c>
      <c r="H161" s="44">
        <v>47</v>
      </c>
      <c r="I161" s="122">
        <f t="shared" si="12"/>
        <v>0</v>
      </c>
      <c r="J161" s="123">
        <v>45251</v>
      </c>
      <c r="K161" s="129"/>
      <c r="L161" s="130">
        <v>47</v>
      </c>
      <c r="M161" s="129">
        <v>45253</v>
      </c>
      <c r="N161" s="130">
        <v>19546</v>
      </c>
      <c r="O161" s="130">
        <v>0</v>
      </c>
      <c r="P161" s="85">
        <v>60.83</v>
      </c>
      <c r="Q161" s="79">
        <f t="shared" si="11"/>
        <v>2859.0099999999998</v>
      </c>
    </row>
    <row r="162" spans="1:18" s="37" customFormat="1" ht="15" customHeight="1" x14ac:dyDescent="0.25">
      <c r="A162" s="5" t="s">
        <v>57</v>
      </c>
      <c r="B162" s="5">
        <v>3494</v>
      </c>
      <c r="C162" s="5">
        <v>180913</v>
      </c>
      <c r="D162" s="5">
        <v>7</v>
      </c>
      <c r="E162" s="31" t="s">
        <v>110</v>
      </c>
      <c r="F162" s="31" t="s">
        <v>111</v>
      </c>
      <c r="G162" s="80">
        <v>100</v>
      </c>
      <c r="H162" s="41">
        <v>71</v>
      </c>
      <c r="I162" s="114">
        <f t="shared" si="12"/>
        <v>0</v>
      </c>
      <c r="J162" s="35">
        <v>45229</v>
      </c>
      <c r="K162" s="198"/>
      <c r="L162" s="109">
        <v>71</v>
      </c>
      <c r="M162" s="107"/>
      <c r="N162" s="109">
        <v>18978</v>
      </c>
      <c r="O162" s="109">
        <v>0</v>
      </c>
      <c r="P162" s="74">
        <v>42.35</v>
      </c>
      <c r="Q162" s="71">
        <f t="shared" si="11"/>
        <v>3006.85</v>
      </c>
      <c r="R162" s="33"/>
    </row>
    <row r="163" spans="1:18" s="37" customFormat="1" ht="15" customHeight="1" x14ac:dyDescent="0.25">
      <c r="A163" s="5" t="s">
        <v>9</v>
      </c>
      <c r="B163" s="6">
        <v>3615</v>
      </c>
      <c r="C163" s="6">
        <v>5500021565</v>
      </c>
      <c r="D163" s="6" t="s">
        <v>6</v>
      </c>
      <c r="E163" s="120" t="s">
        <v>277</v>
      </c>
      <c r="F163" s="120" t="s">
        <v>363</v>
      </c>
      <c r="G163" s="121">
        <v>50</v>
      </c>
      <c r="H163" s="44">
        <v>17</v>
      </c>
      <c r="I163" s="122">
        <f t="shared" si="12"/>
        <v>0</v>
      </c>
      <c r="J163" s="123">
        <v>45251</v>
      </c>
      <c r="K163" s="129"/>
      <c r="L163" s="130">
        <v>17</v>
      </c>
      <c r="M163" s="129">
        <v>45253</v>
      </c>
      <c r="N163" s="130">
        <v>19546</v>
      </c>
      <c r="O163" s="130">
        <v>0</v>
      </c>
      <c r="P163" s="85">
        <v>114.86</v>
      </c>
      <c r="Q163" s="79">
        <f t="shared" si="11"/>
        <v>1952.62</v>
      </c>
      <c r="R163" s="33"/>
    </row>
    <row r="164" spans="1:18" s="7" customFormat="1" ht="15" customHeight="1" x14ac:dyDescent="0.25">
      <c r="A164" s="182" t="s">
        <v>57</v>
      </c>
      <c r="B164" s="182">
        <v>3619</v>
      </c>
      <c r="C164" s="182">
        <v>184417</v>
      </c>
      <c r="D164" s="182">
        <v>28</v>
      </c>
      <c r="E164" s="185" t="s">
        <v>112</v>
      </c>
      <c r="F164" s="185" t="s">
        <v>113</v>
      </c>
      <c r="G164" s="183">
        <v>300</v>
      </c>
      <c r="H164" s="184">
        <v>5</v>
      </c>
      <c r="I164" s="140">
        <f t="shared" si="12"/>
        <v>0</v>
      </c>
      <c r="J164" s="171">
        <v>45316</v>
      </c>
      <c r="K164" s="106"/>
      <c r="L164" s="108">
        <v>5</v>
      </c>
      <c r="M164" s="106">
        <v>45252</v>
      </c>
      <c r="N164" s="108">
        <v>19539</v>
      </c>
      <c r="O164" s="108">
        <v>0</v>
      </c>
      <c r="P164" s="36">
        <v>18.690000000000001</v>
      </c>
      <c r="Q164" s="71">
        <f t="shared" si="11"/>
        <v>93.45</v>
      </c>
      <c r="R164" s="33"/>
    </row>
    <row r="165" spans="1:18" s="7" customFormat="1" ht="15" customHeight="1" x14ac:dyDescent="0.25">
      <c r="A165" s="182" t="s">
        <v>57</v>
      </c>
      <c r="B165" s="182">
        <v>3619</v>
      </c>
      <c r="C165" s="182">
        <v>184417</v>
      </c>
      <c r="D165" s="182">
        <v>28</v>
      </c>
      <c r="E165" s="185" t="s">
        <v>112</v>
      </c>
      <c r="F165" s="185" t="s">
        <v>113</v>
      </c>
      <c r="G165" s="183">
        <v>300</v>
      </c>
      <c r="H165" s="184">
        <v>99</v>
      </c>
      <c r="I165" s="140">
        <f t="shared" si="12"/>
        <v>0</v>
      </c>
      <c r="J165" s="171">
        <v>45316</v>
      </c>
      <c r="K165" s="106"/>
      <c r="L165" s="108">
        <v>99</v>
      </c>
      <c r="M165" s="106">
        <v>45260</v>
      </c>
      <c r="N165" s="108">
        <v>19588</v>
      </c>
      <c r="O165" s="108">
        <v>0</v>
      </c>
      <c r="P165" s="36">
        <v>18.690000000000001</v>
      </c>
      <c r="Q165" s="71">
        <f t="shared" si="11"/>
        <v>1850.3100000000002</v>
      </c>
      <c r="R165" s="33"/>
    </row>
    <row r="166" spans="1:18" s="7" customFormat="1" ht="15" customHeight="1" x14ac:dyDescent="0.25">
      <c r="A166" s="6" t="s">
        <v>32</v>
      </c>
      <c r="B166" s="6">
        <v>3671</v>
      </c>
      <c r="C166" s="6">
        <v>275323</v>
      </c>
      <c r="D166" s="6">
        <v>2</v>
      </c>
      <c r="E166" s="120" t="s">
        <v>296</v>
      </c>
      <c r="F166" s="120" t="s">
        <v>8</v>
      </c>
      <c r="G166" s="80">
        <v>153</v>
      </c>
      <c r="H166" s="41">
        <v>20</v>
      </c>
      <c r="I166" s="122">
        <f t="shared" si="12"/>
        <v>0</v>
      </c>
      <c r="J166" s="123">
        <v>45269</v>
      </c>
      <c r="K166" s="106"/>
      <c r="L166" s="108">
        <v>20</v>
      </c>
      <c r="M166" s="106">
        <v>45254</v>
      </c>
      <c r="N166" s="108">
        <v>19557</v>
      </c>
      <c r="O166" s="108">
        <v>0</v>
      </c>
      <c r="P166" s="36">
        <v>390.17</v>
      </c>
      <c r="Q166" s="71">
        <f t="shared" si="11"/>
        <v>7803.4000000000005</v>
      </c>
      <c r="R166" s="33"/>
    </row>
    <row r="167" spans="1:18" s="7" customFormat="1" ht="15" customHeight="1" x14ac:dyDescent="0.25">
      <c r="A167" s="5" t="s">
        <v>9</v>
      </c>
      <c r="B167" s="6">
        <v>3615</v>
      </c>
      <c r="C167" s="6">
        <v>5500007886</v>
      </c>
      <c r="D167" s="6" t="s">
        <v>6</v>
      </c>
      <c r="E167" s="120" t="s">
        <v>33</v>
      </c>
      <c r="F167" s="120" t="s">
        <v>165</v>
      </c>
      <c r="G167" s="121">
        <v>106</v>
      </c>
      <c r="H167" s="44">
        <v>106</v>
      </c>
      <c r="I167" s="122">
        <f t="shared" si="12"/>
        <v>0</v>
      </c>
      <c r="J167" s="123">
        <v>45257</v>
      </c>
      <c r="K167" s="106" t="s">
        <v>338</v>
      </c>
      <c r="L167" s="108">
        <v>106</v>
      </c>
      <c r="M167" s="106">
        <v>45257</v>
      </c>
      <c r="N167" s="108">
        <v>19563</v>
      </c>
      <c r="O167" s="108">
        <v>0</v>
      </c>
      <c r="P167" s="36">
        <v>14.6</v>
      </c>
      <c r="Q167" s="71">
        <f t="shared" si="11"/>
        <v>1547.6</v>
      </c>
      <c r="R167" s="33"/>
    </row>
    <row r="168" spans="1:18" s="33" customFormat="1" ht="15" customHeight="1" x14ac:dyDescent="0.25">
      <c r="A168" s="5" t="s">
        <v>32</v>
      </c>
      <c r="B168" s="5" t="s">
        <v>38</v>
      </c>
      <c r="C168" s="5">
        <v>51000589</v>
      </c>
      <c r="D168" s="5" t="s">
        <v>6</v>
      </c>
      <c r="E168" s="31" t="s">
        <v>28</v>
      </c>
      <c r="F168" s="31" t="s">
        <v>41</v>
      </c>
      <c r="G168" s="143">
        <v>50</v>
      </c>
      <c r="H168" s="144">
        <v>50</v>
      </c>
      <c r="I168" s="248">
        <f t="shared" si="12"/>
        <v>0</v>
      </c>
      <c r="J168" s="126">
        <v>45219</v>
      </c>
      <c r="K168" s="35"/>
      <c r="L168" s="4">
        <v>50</v>
      </c>
      <c r="M168" s="35">
        <v>45205</v>
      </c>
      <c r="N168" s="4">
        <v>19323</v>
      </c>
      <c r="O168" s="4">
        <v>0</v>
      </c>
      <c r="P168" s="36">
        <v>4.25</v>
      </c>
      <c r="Q168" s="32">
        <f t="shared" si="11"/>
        <v>212.5</v>
      </c>
    </row>
    <row r="169" spans="1:18" s="33" customFormat="1" ht="15" customHeight="1" x14ac:dyDescent="0.25">
      <c r="A169" s="5" t="s">
        <v>9</v>
      </c>
      <c r="B169" s="6">
        <v>3615</v>
      </c>
      <c r="C169" s="6">
        <v>5500021565</v>
      </c>
      <c r="D169" s="6" t="s">
        <v>6</v>
      </c>
      <c r="E169" s="189" t="s">
        <v>277</v>
      </c>
      <c r="F169" s="189" t="s">
        <v>363</v>
      </c>
      <c r="G169" s="120">
        <v>50</v>
      </c>
      <c r="H169" s="6">
        <v>15</v>
      </c>
      <c r="I169" s="308">
        <f t="shared" si="12"/>
        <v>0</v>
      </c>
      <c r="J169" s="309">
        <v>45251</v>
      </c>
      <c r="K169" s="106"/>
      <c r="L169" s="108">
        <v>15</v>
      </c>
      <c r="M169" s="106">
        <v>45257</v>
      </c>
      <c r="N169" s="108">
        <v>19563</v>
      </c>
      <c r="O169" s="108">
        <v>0</v>
      </c>
      <c r="P169" s="36">
        <v>114.86</v>
      </c>
      <c r="Q169" s="32">
        <f t="shared" si="11"/>
        <v>1722.9</v>
      </c>
    </row>
    <row r="170" spans="1:18" s="33" customFormat="1" ht="15" customHeight="1" x14ac:dyDescent="0.25">
      <c r="A170" s="5" t="s">
        <v>57</v>
      </c>
      <c r="B170" s="5">
        <v>3501</v>
      </c>
      <c r="C170" s="5">
        <v>182965</v>
      </c>
      <c r="D170" s="5">
        <v>14</v>
      </c>
      <c r="E170" s="31" t="s">
        <v>114</v>
      </c>
      <c r="F170" s="31" t="s">
        <v>115</v>
      </c>
      <c r="G170" s="189">
        <v>470</v>
      </c>
      <c r="H170" s="179">
        <v>267</v>
      </c>
      <c r="I170" s="119">
        <f t="shared" si="12"/>
        <v>0</v>
      </c>
      <c r="J170" s="35">
        <v>45226</v>
      </c>
      <c r="K170" s="127"/>
      <c r="L170" s="128">
        <v>267</v>
      </c>
      <c r="M170" s="127">
        <v>45224</v>
      </c>
      <c r="N170" s="128">
        <v>19412</v>
      </c>
      <c r="O170" s="128">
        <v>0</v>
      </c>
      <c r="P170" s="94"/>
      <c r="Q170" s="72"/>
    </row>
    <row r="171" spans="1:18" s="33" customFormat="1" ht="15" customHeight="1" x14ac:dyDescent="0.25">
      <c r="A171" s="5" t="s">
        <v>9</v>
      </c>
      <c r="B171" s="6">
        <v>3615</v>
      </c>
      <c r="C171" s="6">
        <v>5500015214</v>
      </c>
      <c r="D171" s="6" t="s">
        <v>6</v>
      </c>
      <c r="E171" s="120" t="s">
        <v>22</v>
      </c>
      <c r="F171" s="120" t="s">
        <v>193</v>
      </c>
      <c r="G171" s="189">
        <v>200</v>
      </c>
      <c r="H171" s="179">
        <v>153</v>
      </c>
      <c r="I171" s="136">
        <f t="shared" si="12"/>
        <v>0</v>
      </c>
      <c r="J171" s="123">
        <v>45251</v>
      </c>
      <c r="K171" s="127"/>
      <c r="L171" s="128">
        <v>153</v>
      </c>
      <c r="M171" s="127">
        <v>45257</v>
      </c>
      <c r="N171" s="128">
        <v>19563</v>
      </c>
      <c r="O171" s="128">
        <v>0</v>
      </c>
      <c r="P171" s="94">
        <v>60.83</v>
      </c>
      <c r="Q171" s="72">
        <f>P171*H171</f>
        <v>9306.99</v>
      </c>
    </row>
    <row r="172" spans="1:18" s="37" customFormat="1" ht="15" customHeight="1" x14ac:dyDescent="0.25">
      <c r="A172" s="179" t="s">
        <v>57</v>
      </c>
      <c r="B172" s="6">
        <v>3361</v>
      </c>
      <c r="C172" s="6">
        <v>182296</v>
      </c>
      <c r="D172" s="6">
        <v>13</v>
      </c>
      <c r="E172" s="120" t="s">
        <v>116</v>
      </c>
      <c r="F172" s="120" t="s">
        <v>117</v>
      </c>
      <c r="G172" s="121">
        <v>500</v>
      </c>
      <c r="H172" s="44">
        <v>500</v>
      </c>
      <c r="I172" s="122">
        <f t="shared" si="12"/>
        <v>0</v>
      </c>
      <c r="J172" s="124">
        <v>45215</v>
      </c>
      <c r="K172" s="129"/>
      <c r="L172" s="130">
        <v>500</v>
      </c>
      <c r="M172" s="129">
        <v>45212</v>
      </c>
      <c r="N172" s="130">
        <v>19342</v>
      </c>
      <c r="O172" s="130">
        <v>0</v>
      </c>
      <c r="P172" s="85">
        <v>68.23</v>
      </c>
      <c r="Q172" s="79">
        <f>P172*H172</f>
        <v>34115</v>
      </c>
      <c r="R172" s="33"/>
    </row>
    <row r="173" spans="1:18" s="37" customFormat="1" ht="15" customHeight="1" x14ac:dyDescent="0.25">
      <c r="A173" s="6" t="s">
        <v>16</v>
      </c>
      <c r="B173" s="6">
        <v>3472</v>
      </c>
      <c r="C173" s="6">
        <v>35983</v>
      </c>
      <c r="D173" s="6">
        <v>18</v>
      </c>
      <c r="E173" s="120" t="s">
        <v>53</v>
      </c>
      <c r="F173" s="120" t="s">
        <v>54</v>
      </c>
      <c r="G173" s="80">
        <v>50</v>
      </c>
      <c r="H173" s="41">
        <v>13</v>
      </c>
      <c r="I173" s="122">
        <f t="shared" si="12"/>
        <v>0</v>
      </c>
      <c r="J173" s="123">
        <v>45258</v>
      </c>
      <c r="K173" s="107"/>
      <c r="L173" s="109">
        <v>13</v>
      </c>
      <c r="M173" s="107">
        <v>45258</v>
      </c>
      <c r="N173" s="109">
        <v>19572</v>
      </c>
      <c r="O173" s="109">
        <v>0</v>
      </c>
      <c r="P173" s="74">
        <v>400.8</v>
      </c>
      <c r="Q173" s="71">
        <f>P173*H173</f>
        <v>5210.4000000000005</v>
      </c>
      <c r="R173" s="33"/>
    </row>
    <row r="174" spans="1:18" s="37" customFormat="1" ht="15" customHeight="1" x14ac:dyDescent="0.25">
      <c r="A174" s="179" t="s">
        <v>16</v>
      </c>
      <c r="B174" s="6">
        <v>3472</v>
      </c>
      <c r="C174" s="6">
        <v>36939</v>
      </c>
      <c r="D174" s="6">
        <v>1</v>
      </c>
      <c r="E174" s="120" t="s">
        <v>53</v>
      </c>
      <c r="F174" s="120" t="s">
        <v>54</v>
      </c>
      <c r="G174" s="80">
        <v>100</v>
      </c>
      <c r="H174" s="41">
        <v>37</v>
      </c>
      <c r="I174" s="122">
        <f t="shared" si="12"/>
        <v>0</v>
      </c>
      <c r="J174" s="123">
        <v>45266</v>
      </c>
      <c r="K174" s="106"/>
      <c r="L174" s="108">
        <v>37</v>
      </c>
      <c r="M174" s="106">
        <v>45258</v>
      </c>
      <c r="N174" s="108">
        <v>19572</v>
      </c>
      <c r="O174" s="108">
        <v>0</v>
      </c>
      <c r="P174" s="74">
        <v>406.84</v>
      </c>
      <c r="Q174" s="71">
        <f>P174*H174</f>
        <v>15053.08</v>
      </c>
      <c r="R174" s="33"/>
    </row>
    <row r="175" spans="1:18" s="33" customFormat="1" ht="15" customHeight="1" x14ac:dyDescent="0.25">
      <c r="A175" s="6" t="s">
        <v>247</v>
      </c>
      <c r="B175" s="6">
        <v>3681</v>
      </c>
      <c r="C175" s="6">
        <v>21691</v>
      </c>
      <c r="D175" s="6">
        <v>1</v>
      </c>
      <c r="E175" s="120" t="s">
        <v>361</v>
      </c>
      <c r="F175" s="120" t="s">
        <v>362</v>
      </c>
      <c r="G175" s="80">
        <v>15</v>
      </c>
      <c r="H175" s="41">
        <v>15</v>
      </c>
      <c r="I175" s="122">
        <f t="shared" si="12"/>
        <v>0</v>
      </c>
      <c r="J175" s="123">
        <v>45270</v>
      </c>
      <c r="K175" s="106"/>
      <c r="L175" s="108">
        <v>15</v>
      </c>
      <c r="M175" s="106">
        <v>45258</v>
      </c>
      <c r="N175" s="108"/>
      <c r="O175" s="108">
        <v>0</v>
      </c>
      <c r="P175" s="74">
        <v>95.84</v>
      </c>
      <c r="Q175" s="71">
        <f>P175*I175</f>
        <v>0</v>
      </c>
    </row>
    <row r="176" spans="1:18" s="37" customFormat="1" ht="15" customHeight="1" x14ac:dyDescent="0.25">
      <c r="A176" s="38" t="s">
        <v>16</v>
      </c>
      <c r="B176" s="5">
        <v>3338</v>
      </c>
      <c r="C176" s="5">
        <v>35983</v>
      </c>
      <c r="D176" s="5">
        <v>16</v>
      </c>
      <c r="E176" s="31" t="s">
        <v>44</v>
      </c>
      <c r="F176" s="31" t="s">
        <v>45</v>
      </c>
      <c r="G176" s="80">
        <v>200</v>
      </c>
      <c r="H176" s="41">
        <v>43</v>
      </c>
      <c r="I176" s="114">
        <f t="shared" si="12"/>
        <v>0</v>
      </c>
      <c r="J176" s="35"/>
      <c r="K176" s="106"/>
      <c r="L176" s="108">
        <v>43</v>
      </c>
      <c r="M176" s="106"/>
      <c r="N176" s="108">
        <v>18904</v>
      </c>
      <c r="O176" s="108"/>
      <c r="P176" s="74"/>
      <c r="Q176" s="71"/>
      <c r="R176" s="33"/>
    </row>
    <row r="177" spans="1:18" s="7" customFormat="1" x14ac:dyDescent="0.25">
      <c r="A177" s="5" t="s">
        <v>16</v>
      </c>
      <c r="B177" s="5">
        <v>3338</v>
      </c>
      <c r="C177" s="5">
        <v>35983</v>
      </c>
      <c r="D177" s="5">
        <v>14</v>
      </c>
      <c r="E177" s="31" t="s">
        <v>46</v>
      </c>
      <c r="F177" s="31" t="s">
        <v>47</v>
      </c>
      <c r="G177" s="31">
        <v>50</v>
      </c>
      <c r="H177" s="5">
        <v>14</v>
      </c>
      <c r="I177" s="119">
        <f t="shared" si="12"/>
        <v>0</v>
      </c>
      <c r="J177" s="35"/>
      <c r="K177" s="126"/>
      <c r="L177" s="200">
        <v>14</v>
      </c>
      <c r="M177" s="126"/>
      <c r="N177" s="200">
        <v>18985</v>
      </c>
      <c r="O177" s="200"/>
      <c r="P177" s="94"/>
      <c r="Q177" s="72"/>
    </row>
    <row r="178" spans="1:18" s="37" customFormat="1" ht="15" customHeight="1" x14ac:dyDescent="0.25">
      <c r="A178" s="5" t="s">
        <v>16</v>
      </c>
      <c r="B178" s="5">
        <v>3068</v>
      </c>
      <c r="C178" s="5">
        <v>35983</v>
      </c>
      <c r="D178" s="5">
        <v>11</v>
      </c>
      <c r="E178" s="31" t="s">
        <v>48</v>
      </c>
      <c r="F178" s="31" t="s">
        <v>49</v>
      </c>
      <c r="G178" s="80">
        <v>150</v>
      </c>
      <c r="H178" s="41">
        <v>28</v>
      </c>
      <c r="I178" s="114">
        <f t="shared" si="12"/>
        <v>0</v>
      </c>
      <c r="J178" s="35"/>
      <c r="K178" s="237"/>
      <c r="L178" s="128">
        <v>28</v>
      </c>
      <c r="M178" s="127"/>
      <c r="N178" s="128">
        <v>18614</v>
      </c>
      <c r="O178" s="128"/>
      <c r="P178" s="85">
        <v>334.06</v>
      </c>
      <c r="Q178" s="79">
        <f>P178*H178</f>
        <v>9353.68</v>
      </c>
      <c r="R178" s="33"/>
    </row>
    <row r="179" spans="1:18" s="7" customFormat="1" ht="15" customHeight="1" x14ac:dyDescent="0.25">
      <c r="A179" s="5" t="s">
        <v>16</v>
      </c>
      <c r="B179" s="5">
        <v>3068</v>
      </c>
      <c r="C179" s="5">
        <v>35983</v>
      </c>
      <c r="D179" s="5">
        <v>11</v>
      </c>
      <c r="E179" s="31" t="s">
        <v>48</v>
      </c>
      <c r="F179" s="31" t="s">
        <v>49</v>
      </c>
      <c r="G179" s="80">
        <v>150</v>
      </c>
      <c r="H179" s="41">
        <v>88</v>
      </c>
      <c r="I179" s="119">
        <f t="shared" si="12"/>
        <v>0</v>
      </c>
      <c r="J179" s="35"/>
      <c r="K179" s="39"/>
      <c r="L179" s="4">
        <v>88</v>
      </c>
      <c r="M179" s="35"/>
      <c r="N179" s="109">
        <v>188823</v>
      </c>
      <c r="O179" s="109"/>
      <c r="P179" s="74">
        <v>335.06</v>
      </c>
      <c r="Q179" s="71">
        <f>P179*H179</f>
        <v>29485.279999999999</v>
      </c>
      <c r="R179" s="33"/>
    </row>
    <row r="180" spans="1:18" s="7" customFormat="1" ht="15" customHeight="1" x14ac:dyDescent="0.25">
      <c r="A180" s="5" t="s">
        <v>16</v>
      </c>
      <c r="B180" s="5">
        <v>3068</v>
      </c>
      <c r="C180" s="5">
        <v>35983</v>
      </c>
      <c r="D180" s="5">
        <v>9</v>
      </c>
      <c r="E180" s="31" t="s">
        <v>50</v>
      </c>
      <c r="F180" s="31" t="s">
        <v>49</v>
      </c>
      <c r="G180" s="80">
        <v>60</v>
      </c>
      <c r="H180" s="41">
        <v>49</v>
      </c>
      <c r="I180" s="114">
        <f t="shared" si="12"/>
        <v>0</v>
      </c>
      <c r="J180" s="35"/>
      <c r="K180" s="106"/>
      <c r="L180" s="108">
        <v>49</v>
      </c>
      <c r="M180" s="106"/>
      <c r="N180" s="108">
        <v>18850</v>
      </c>
      <c r="O180" s="108"/>
      <c r="P180" s="36"/>
      <c r="Q180" s="71"/>
      <c r="R180" s="33"/>
    </row>
    <row r="181" spans="1:18" s="7" customFormat="1" ht="15" customHeight="1" x14ac:dyDescent="0.25">
      <c r="A181" s="5" t="s">
        <v>16</v>
      </c>
      <c r="B181" s="5">
        <v>3481</v>
      </c>
      <c r="C181" s="5">
        <v>37052</v>
      </c>
      <c r="D181" s="5">
        <v>2</v>
      </c>
      <c r="E181" s="31" t="s">
        <v>155</v>
      </c>
      <c r="F181" s="31" t="s">
        <v>156</v>
      </c>
      <c r="G181" s="80">
        <v>100</v>
      </c>
      <c r="H181" s="41">
        <v>92</v>
      </c>
      <c r="I181" s="114">
        <f t="shared" si="12"/>
        <v>0</v>
      </c>
      <c r="J181" s="35"/>
      <c r="K181" s="138"/>
      <c r="L181" s="108">
        <v>92</v>
      </c>
      <c r="M181" s="106"/>
      <c r="N181" s="108">
        <v>18985</v>
      </c>
      <c r="O181" s="108"/>
      <c r="P181" s="36">
        <v>42.4</v>
      </c>
      <c r="Q181" s="71">
        <f t="shared" ref="Q181:Q188" si="13">P181*H181</f>
        <v>3900.7999999999997</v>
      </c>
      <c r="R181" s="33"/>
    </row>
    <row r="182" spans="1:18" s="7" customFormat="1" ht="15" customHeight="1" x14ac:dyDescent="0.25">
      <c r="A182" s="5" t="s">
        <v>16</v>
      </c>
      <c r="B182" s="16">
        <v>3472</v>
      </c>
      <c r="C182" s="16">
        <v>36939</v>
      </c>
      <c r="D182" s="16">
        <v>1</v>
      </c>
      <c r="E182" s="31" t="s">
        <v>234</v>
      </c>
      <c r="F182" s="31" t="s">
        <v>54</v>
      </c>
      <c r="G182" s="80">
        <v>100</v>
      </c>
      <c r="H182" s="41">
        <v>50</v>
      </c>
      <c r="I182" s="114">
        <f t="shared" si="12"/>
        <v>0</v>
      </c>
      <c r="J182" s="43"/>
      <c r="K182" s="198"/>
      <c r="L182" s="108">
        <v>50</v>
      </c>
      <c r="M182" s="106"/>
      <c r="N182" s="108">
        <v>18775</v>
      </c>
      <c r="O182" s="108"/>
      <c r="P182" s="36">
        <v>404.84</v>
      </c>
      <c r="Q182" s="71">
        <f t="shared" si="13"/>
        <v>20242</v>
      </c>
      <c r="R182" s="33"/>
    </row>
    <row r="183" spans="1:18" s="33" customFormat="1" ht="15" customHeight="1" x14ac:dyDescent="0.25">
      <c r="A183" s="5" t="s">
        <v>16</v>
      </c>
      <c r="B183" s="5">
        <v>3472</v>
      </c>
      <c r="C183" s="5">
        <v>36939</v>
      </c>
      <c r="D183" s="5">
        <v>1</v>
      </c>
      <c r="E183" s="78" t="s">
        <v>235</v>
      </c>
      <c r="F183" s="78" t="s">
        <v>54</v>
      </c>
      <c r="G183" s="80">
        <v>100</v>
      </c>
      <c r="H183" s="41">
        <v>13</v>
      </c>
      <c r="I183" s="125">
        <f t="shared" si="12"/>
        <v>0</v>
      </c>
      <c r="J183" s="126"/>
      <c r="K183" s="138"/>
      <c r="L183" s="108">
        <v>13</v>
      </c>
      <c r="M183" s="106"/>
      <c r="N183" s="108">
        <v>18777</v>
      </c>
      <c r="O183" s="108"/>
      <c r="P183" s="36">
        <v>405.84</v>
      </c>
      <c r="Q183" s="32">
        <f t="shared" si="13"/>
        <v>5275.92</v>
      </c>
    </row>
    <row r="184" spans="1:18" s="7" customFormat="1" ht="15" customHeight="1" x14ac:dyDescent="0.25">
      <c r="A184" s="5" t="s">
        <v>16</v>
      </c>
      <c r="B184" s="5"/>
      <c r="C184" s="5">
        <v>36709</v>
      </c>
      <c r="D184" s="5">
        <v>1</v>
      </c>
      <c r="E184" s="31" t="s">
        <v>55</v>
      </c>
      <c r="F184" s="31" t="s">
        <v>56</v>
      </c>
      <c r="G184" s="80">
        <v>110</v>
      </c>
      <c r="H184" s="41">
        <v>33</v>
      </c>
      <c r="I184" s="119">
        <f t="shared" si="12"/>
        <v>0</v>
      </c>
      <c r="J184" s="35"/>
      <c r="K184" s="39"/>
      <c r="L184" s="108">
        <v>33</v>
      </c>
      <c r="M184" s="106"/>
      <c r="N184" s="108">
        <v>18776</v>
      </c>
      <c r="O184" s="108"/>
      <c r="P184" s="36">
        <v>57.04</v>
      </c>
      <c r="Q184" s="71">
        <f t="shared" si="13"/>
        <v>1882.32</v>
      </c>
      <c r="R184" s="33"/>
    </row>
    <row r="185" spans="1:18" s="37" customFormat="1" ht="15" customHeight="1" x14ac:dyDescent="0.25">
      <c r="A185" s="5" t="s">
        <v>16</v>
      </c>
      <c r="B185" s="5"/>
      <c r="C185" s="5">
        <v>36709</v>
      </c>
      <c r="D185" s="5">
        <v>1</v>
      </c>
      <c r="E185" s="31" t="s">
        <v>55</v>
      </c>
      <c r="F185" s="31" t="s">
        <v>56</v>
      </c>
      <c r="G185" s="80">
        <v>110</v>
      </c>
      <c r="H185" s="41">
        <v>24</v>
      </c>
      <c r="I185" s="119">
        <f t="shared" si="12"/>
        <v>0</v>
      </c>
      <c r="J185" s="35"/>
      <c r="K185" s="39"/>
      <c r="L185" s="4">
        <v>24</v>
      </c>
      <c r="M185" s="35"/>
      <c r="N185" s="108">
        <v>18823</v>
      </c>
      <c r="O185" s="108"/>
      <c r="P185" s="36">
        <v>58.04</v>
      </c>
      <c r="Q185" s="71">
        <f t="shared" si="13"/>
        <v>1392.96</v>
      </c>
      <c r="R185" s="33"/>
    </row>
    <row r="186" spans="1:18" s="37" customFormat="1" ht="15" customHeight="1" x14ac:dyDescent="0.25">
      <c r="A186" s="6" t="s">
        <v>31</v>
      </c>
      <c r="B186" s="6">
        <v>3645</v>
      </c>
      <c r="C186" s="6">
        <v>100494</v>
      </c>
      <c r="D186" s="6">
        <v>1</v>
      </c>
      <c r="E186" s="120" t="s">
        <v>260</v>
      </c>
      <c r="F186" s="120" t="s">
        <v>24</v>
      </c>
      <c r="G186" s="121">
        <v>120</v>
      </c>
      <c r="H186" s="44">
        <v>120</v>
      </c>
      <c r="I186" s="136">
        <f t="shared" si="12"/>
        <v>0</v>
      </c>
      <c r="J186" s="123">
        <v>45260</v>
      </c>
      <c r="K186" s="35"/>
      <c r="L186" s="4">
        <v>120</v>
      </c>
      <c r="M186" s="35">
        <v>45258</v>
      </c>
      <c r="N186" s="108"/>
      <c r="O186" s="108">
        <v>0</v>
      </c>
      <c r="P186" s="36">
        <v>23.77</v>
      </c>
      <c r="Q186" s="71">
        <f t="shared" si="13"/>
        <v>2852.4</v>
      </c>
      <c r="R186" s="33"/>
    </row>
    <row r="187" spans="1:18" s="37" customFormat="1" ht="15" customHeight="1" x14ac:dyDescent="0.25">
      <c r="A187" s="6" t="s">
        <v>57</v>
      </c>
      <c r="B187" s="6">
        <v>3523</v>
      </c>
      <c r="C187" s="6">
        <v>183229</v>
      </c>
      <c r="D187" s="6">
        <v>1</v>
      </c>
      <c r="E187" s="120" t="s">
        <v>140</v>
      </c>
      <c r="F187" s="120" t="s">
        <v>141</v>
      </c>
      <c r="G187" s="121">
        <v>200</v>
      </c>
      <c r="H187" s="44">
        <v>100</v>
      </c>
      <c r="I187" s="136">
        <f t="shared" si="12"/>
        <v>0</v>
      </c>
      <c r="J187" s="123">
        <v>45254</v>
      </c>
      <c r="K187" s="35"/>
      <c r="L187" s="4">
        <v>100</v>
      </c>
      <c r="M187" s="35">
        <v>45252</v>
      </c>
      <c r="N187" s="108">
        <v>19540</v>
      </c>
      <c r="O187" s="108">
        <v>0</v>
      </c>
      <c r="P187" s="85">
        <v>107.38</v>
      </c>
      <c r="Q187" s="71">
        <f t="shared" si="13"/>
        <v>10738</v>
      </c>
      <c r="R187" s="33"/>
    </row>
    <row r="188" spans="1:18" s="33" customFormat="1" ht="15" customHeight="1" x14ac:dyDescent="0.25">
      <c r="A188" s="6" t="s">
        <v>57</v>
      </c>
      <c r="B188" s="6">
        <v>3523</v>
      </c>
      <c r="C188" s="6">
        <v>183229</v>
      </c>
      <c r="D188" s="6">
        <v>1</v>
      </c>
      <c r="E188" s="120" t="s">
        <v>140</v>
      </c>
      <c r="F188" s="120" t="s">
        <v>141</v>
      </c>
      <c r="G188" s="121">
        <v>200</v>
      </c>
      <c r="H188" s="44">
        <v>100</v>
      </c>
      <c r="I188" s="136">
        <f t="shared" si="12"/>
        <v>0</v>
      </c>
      <c r="J188" s="123">
        <v>45254</v>
      </c>
      <c r="K188" s="35"/>
      <c r="L188" s="4">
        <v>100</v>
      </c>
      <c r="M188" s="35">
        <v>45258</v>
      </c>
      <c r="N188" s="108">
        <v>19573</v>
      </c>
      <c r="O188" s="108">
        <v>0</v>
      </c>
      <c r="P188" s="36">
        <v>107.38</v>
      </c>
      <c r="Q188" s="32">
        <f t="shared" si="13"/>
        <v>10738</v>
      </c>
    </row>
    <row r="189" spans="1:18" s="37" customFormat="1" ht="15" customHeight="1" x14ac:dyDescent="0.25">
      <c r="A189" s="214" t="s">
        <v>57</v>
      </c>
      <c r="B189" s="182">
        <v>3518</v>
      </c>
      <c r="C189" s="182">
        <v>183092</v>
      </c>
      <c r="D189" s="182">
        <v>3</v>
      </c>
      <c r="E189" s="185" t="s">
        <v>142</v>
      </c>
      <c r="F189" s="185" t="s">
        <v>143</v>
      </c>
      <c r="G189" s="183">
        <v>500</v>
      </c>
      <c r="H189" s="184">
        <v>200</v>
      </c>
      <c r="I189" s="140">
        <f t="shared" si="12"/>
        <v>0</v>
      </c>
      <c r="J189" s="171">
        <v>45260</v>
      </c>
      <c r="K189" s="106"/>
      <c r="L189" s="108">
        <v>200</v>
      </c>
      <c r="M189" s="106">
        <v>45233</v>
      </c>
      <c r="N189" s="108">
        <v>19458</v>
      </c>
      <c r="O189" s="108">
        <v>0</v>
      </c>
      <c r="P189" s="36"/>
      <c r="Q189" s="32"/>
      <c r="R189" s="33"/>
    </row>
    <row r="190" spans="1:18" s="37" customFormat="1" ht="15" customHeight="1" x14ac:dyDescent="0.25">
      <c r="A190" s="182" t="s">
        <v>57</v>
      </c>
      <c r="B190" s="182">
        <v>3518</v>
      </c>
      <c r="C190" s="182">
        <v>183092</v>
      </c>
      <c r="D190" s="182">
        <v>23</v>
      </c>
      <c r="E190" s="185" t="s">
        <v>142</v>
      </c>
      <c r="F190" s="185" t="s">
        <v>143</v>
      </c>
      <c r="G190" s="183">
        <v>500</v>
      </c>
      <c r="H190" s="184">
        <v>300</v>
      </c>
      <c r="I190" s="140">
        <f t="shared" si="12"/>
        <v>0</v>
      </c>
      <c r="J190" s="171">
        <v>45260</v>
      </c>
      <c r="K190" s="106"/>
      <c r="L190" s="108">
        <v>300</v>
      </c>
      <c r="M190" s="106">
        <v>45244</v>
      </c>
      <c r="N190" s="108">
        <v>19503</v>
      </c>
      <c r="O190" s="108">
        <v>0</v>
      </c>
      <c r="P190" s="36">
        <v>8.75</v>
      </c>
      <c r="Q190" s="32">
        <f>P190*H190</f>
        <v>2625</v>
      </c>
      <c r="R190" s="33"/>
    </row>
    <row r="191" spans="1:18" s="37" customFormat="1" ht="15" customHeight="1" x14ac:dyDescent="0.25">
      <c r="A191" s="182" t="s">
        <v>57</v>
      </c>
      <c r="B191" s="182">
        <v>3604</v>
      </c>
      <c r="C191" s="182">
        <v>184364</v>
      </c>
      <c r="D191" s="182">
        <v>2</v>
      </c>
      <c r="E191" s="185" t="s">
        <v>144</v>
      </c>
      <c r="F191" s="185" t="s">
        <v>145</v>
      </c>
      <c r="G191" s="183">
        <v>300</v>
      </c>
      <c r="H191" s="184">
        <v>255</v>
      </c>
      <c r="I191" s="199">
        <f t="shared" si="12"/>
        <v>0</v>
      </c>
      <c r="J191" s="171">
        <v>45262</v>
      </c>
      <c r="K191" s="35"/>
      <c r="L191" s="4">
        <v>255</v>
      </c>
      <c r="M191" s="35">
        <v>45233</v>
      </c>
      <c r="N191" s="108">
        <v>19458</v>
      </c>
      <c r="O191" s="108">
        <v>0</v>
      </c>
      <c r="P191" s="36">
        <v>15.17</v>
      </c>
      <c r="Q191" s="71">
        <f>P191*H191</f>
        <v>3868.35</v>
      </c>
      <c r="R191" s="33"/>
    </row>
    <row r="192" spans="1:18" s="33" customFormat="1" ht="15" customHeight="1" x14ac:dyDescent="0.25">
      <c r="A192" s="5" t="s">
        <v>57</v>
      </c>
      <c r="B192" s="5">
        <v>3452</v>
      </c>
      <c r="C192" s="5">
        <v>181758</v>
      </c>
      <c r="D192" s="5">
        <v>4</v>
      </c>
      <c r="E192" s="31" t="s">
        <v>122</v>
      </c>
      <c r="F192" s="31" t="s">
        <v>123</v>
      </c>
      <c r="G192" s="115">
        <v>100</v>
      </c>
      <c r="H192" s="70">
        <v>45</v>
      </c>
      <c r="I192" s="114">
        <f t="shared" si="12"/>
        <v>0</v>
      </c>
      <c r="J192" s="35">
        <v>45229</v>
      </c>
      <c r="K192" s="107"/>
      <c r="L192" s="109">
        <v>45</v>
      </c>
      <c r="M192" s="107">
        <v>45229</v>
      </c>
      <c r="N192" s="109">
        <v>19436</v>
      </c>
      <c r="O192" s="109">
        <v>0</v>
      </c>
      <c r="P192" s="36"/>
      <c r="Q192" s="32"/>
    </row>
    <row r="193" spans="1:21" s="37" customFormat="1" ht="15" customHeight="1" x14ac:dyDescent="0.25">
      <c r="A193" s="6" t="s">
        <v>357</v>
      </c>
      <c r="B193" s="6">
        <v>3679</v>
      </c>
      <c r="C193" s="6" t="s">
        <v>358</v>
      </c>
      <c r="D193" s="6">
        <v>1</v>
      </c>
      <c r="E193" s="120" t="s">
        <v>359</v>
      </c>
      <c r="F193" s="120" t="s">
        <v>360</v>
      </c>
      <c r="G193" s="80">
        <v>15</v>
      </c>
      <c r="H193" s="41">
        <v>15</v>
      </c>
      <c r="I193" s="122">
        <f t="shared" si="12"/>
        <v>0</v>
      </c>
      <c r="J193" s="123">
        <v>45272</v>
      </c>
      <c r="K193" s="106"/>
      <c r="L193" s="108">
        <v>15</v>
      </c>
      <c r="M193" s="106">
        <v>45290</v>
      </c>
      <c r="N193" s="108">
        <v>19595</v>
      </c>
      <c r="O193" s="108">
        <v>0</v>
      </c>
      <c r="P193" s="94">
        <v>130</v>
      </c>
      <c r="Q193" s="72">
        <f t="shared" ref="Q193:Q210" si="14">P193*H193</f>
        <v>1950</v>
      </c>
      <c r="R193" s="33"/>
    </row>
    <row r="194" spans="1:21" s="7" customFormat="1" ht="15" customHeight="1" x14ac:dyDescent="0.25">
      <c r="A194" s="191" t="s">
        <v>270</v>
      </c>
      <c r="B194" s="191">
        <v>3676</v>
      </c>
      <c r="C194" s="191">
        <v>12549</v>
      </c>
      <c r="D194" s="191">
        <v>2</v>
      </c>
      <c r="E194" s="151">
        <v>705996</v>
      </c>
      <c r="F194" s="151" t="s">
        <v>346</v>
      </c>
      <c r="G194" s="121">
        <v>50</v>
      </c>
      <c r="H194" s="44">
        <v>50</v>
      </c>
      <c r="I194" s="122">
        <f t="shared" si="12"/>
        <v>-6</v>
      </c>
      <c r="J194" s="124">
        <v>45270</v>
      </c>
      <c r="K194" s="109">
        <v>56</v>
      </c>
      <c r="L194" s="108">
        <v>56</v>
      </c>
      <c r="M194" s="106">
        <v>45260</v>
      </c>
      <c r="N194" s="108">
        <v>19593</v>
      </c>
      <c r="O194" s="108">
        <v>0</v>
      </c>
      <c r="P194" s="36">
        <v>30.12</v>
      </c>
      <c r="Q194" s="71">
        <f t="shared" si="14"/>
        <v>1506</v>
      </c>
      <c r="R194" s="33"/>
    </row>
    <row r="195" spans="1:21" s="37" customFormat="1" ht="15" customHeight="1" x14ac:dyDescent="0.25">
      <c r="A195" s="6" t="s">
        <v>270</v>
      </c>
      <c r="B195" s="6">
        <v>3673</v>
      </c>
      <c r="C195" s="6">
        <v>12549</v>
      </c>
      <c r="D195" s="6">
        <v>1</v>
      </c>
      <c r="E195" s="120">
        <v>705997</v>
      </c>
      <c r="F195" s="120" t="s">
        <v>345</v>
      </c>
      <c r="G195" s="121">
        <v>50</v>
      </c>
      <c r="H195" s="44">
        <v>50</v>
      </c>
      <c r="I195" s="136">
        <f t="shared" si="12"/>
        <v>-5</v>
      </c>
      <c r="J195" s="123">
        <v>45270</v>
      </c>
      <c r="K195" s="4">
        <v>55</v>
      </c>
      <c r="L195" s="4">
        <v>55</v>
      </c>
      <c r="M195" s="35">
        <v>45260</v>
      </c>
      <c r="N195" s="108">
        <v>19593</v>
      </c>
      <c r="O195" s="108">
        <v>0</v>
      </c>
      <c r="P195" s="36">
        <v>26.83</v>
      </c>
      <c r="Q195" s="71">
        <f t="shared" si="14"/>
        <v>1341.5</v>
      </c>
      <c r="R195" s="33"/>
    </row>
    <row r="196" spans="1:21" s="33" customFormat="1" ht="15" customHeight="1" x14ac:dyDescent="0.25">
      <c r="A196" s="134" t="s">
        <v>57</v>
      </c>
      <c r="B196" s="134">
        <v>3676</v>
      </c>
      <c r="C196" s="134">
        <v>185169</v>
      </c>
      <c r="D196" s="134">
        <v>5</v>
      </c>
      <c r="E196" s="146" t="s">
        <v>126</v>
      </c>
      <c r="F196" s="146" t="s">
        <v>189</v>
      </c>
      <c r="G196" s="80">
        <v>15</v>
      </c>
      <c r="H196" s="41">
        <v>15</v>
      </c>
      <c r="I196" s="180">
        <f t="shared" si="12"/>
        <v>15</v>
      </c>
      <c r="J196" s="148">
        <v>45327</v>
      </c>
      <c r="K196" s="35"/>
      <c r="L196" s="4"/>
      <c r="M196" s="35"/>
      <c r="N196" s="108"/>
      <c r="O196" s="108"/>
      <c r="P196" s="36">
        <v>23.73</v>
      </c>
      <c r="Q196" s="32">
        <f t="shared" si="14"/>
        <v>355.95</v>
      </c>
    </row>
    <row r="197" spans="1:21" s="33" customFormat="1" ht="15" customHeight="1" x14ac:dyDescent="0.25">
      <c r="A197" s="134" t="s">
        <v>57</v>
      </c>
      <c r="B197" s="134">
        <v>3336</v>
      </c>
      <c r="C197" s="134">
        <v>180043</v>
      </c>
      <c r="D197" s="134">
        <v>14</v>
      </c>
      <c r="E197" s="146" t="s">
        <v>152</v>
      </c>
      <c r="F197" s="146" t="s">
        <v>153</v>
      </c>
      <c r="G197" s="147">
        <v>5</v>
      </c>
      <c r="H197" s="135">
        <v>5</v>
      </c>
      <c r="I197" s="180">
        <f t="shared" si="12"/>
        <v>5</v>
      </c>
      <c r="J197" s="148" t="s">
        <v>337</v>
      </c>
      <c r="K197" s="35"/>
      <c r="L197" s="128"/>
      <c r="M197" s="127"/>
      <c r="N197" s="128"/>
      <c r="O197" s="128"/>
      <c r="P197" s="94">
        <v>25.21</v>
      </c>
      <c r="Q197" s="72">
        <f t="shared" si="14"/>
        <v>126.05000000000001</v>
      </c>
    </row>
    <row r="198" spans="1:21" s="33" customFormat="1" ht="15" customHeight="1" x14ac:dyDescent="0.25">
      <c r="A198" s="5" t="s">
        <v>57</v>
      </c>
      <c r="B198" s="5">
        <v>3559</v>
      </c>
      <c r="C198" s="5">
        <v>178742</v>
      </c>
      <c r="D198" s="5">
        <v>15</v>
      </c>
      <c r="E198" s="31" t="s">
        <v>127</v>
      </c>
      <c r="F198" s="31" t="s">
        <v>190</v>
      </c>
      <c r="G198" s="80">
        <v>100</v>
      </c>
      <c r="H198" s="41">
        <v>100</v>
      </c>
      <c r="I198" s="119">
        <f t="shared" si="12"/>
        <v>0</v>
      </c>
      <c r="J198" s="35">
        <v>45229</v>
      </c>
      <c r="K198" s="35"/>
      <c r="L198" s="128">
        <v>100</v>
      </c>
      <c r="M198" s="127">
        <v>45219</v>
      </c>
      <c r="N198" s="128">
        <v>19381</v>
      </c>
      <c r="O198" s="128">
        <v>0</v>
      </c>
      <c r="P198" s="94">
        <v>23</v>
      </c>
      <c r="Q198" s="72">
        <f t="shared" si="14"/>
        <v>2300</v>
      </c>
    </row>
    <row r="199" spans="1:21" s="33" customFormat="1" ht="15" customHeight="1" x14ac:dyDescent="0.25">
      <c r="A199" s="6" t="s">
        <v>57</v>
      </c>
      <c r="B199" s="6">
        <v>3518</v>
      </c>
      <c r="C199" s="6">
        <v>183092</v>
      </c>
      <c r="D199" s="6">
        <v>18</v>
      </c>
      <c r="E199" s="120" t="s">
        <v>128</v>
      </c>
      <c r="F199" s="120" t="s">
        <v>129</v>
      </c>
      <c r="G199" s="121">
        <v>100</v>
      </c>
      <c r="H199" s="44">
        <v>23</v>
      </c>
      <c r="I199" s="136">
        <f t="shared" si="12"/>
        <v>0</v>
      </c>
      <c r="J199" s="35">
        <v>45215</v>
      </c>
      <c r="K199" s="35"/>
      <c r="L199" s="4">
        <v>23</v>
      </c>
      <c r="M199" s="35">
        <v>45215</v>
      </c>
      <c r="N199" s="128">
        <v>19350</v>
      </c>
      <c r="O199" s="128">
        <v>0</v>
      </c>
      <c r="P199" s="94">
        <v>45.6</v>
      </c>
      <c r="Q199" s="72">
        <f t="shared" si="14"/>
        <v>1048.8</v>
      </c>
    </row>
    <row r="200" spans="1:21" s="33" customFormat="1" ht="15" customHeight="1" x14ac:dyDescent="0.25">
      <c r="A200" s="20" t="s">
        <v>57</v>
      </c>
      <c r="B200" s="20">
        <v>3518</v>
      </c>
      <c r="C200" s="20">
        <v>183092</v>
      </c>
      <c r="D200" s="20">
        <v>18</v>
      </c>
      <c r="E200" s="21" t="s">
        <v>128</v>
      </c>
      <c r="F200" s="21" t="s">
        <v>129</v>
      </c>
      <c r="G200" s="159">
        <v>100</v>
      </c>
      <c r="H200" s="160">
        <v>77</v>
      </c>
      <c r="I200" s="131">
        <f t="shared" si="12"/>
        <v>-7</v>
      </c>
      <c r="J200" s="171">
        <v>45223</v>
      </c>
      <c r="K200" s="35"/>
      <c r="L200" s="4">
        <v>84</v>
      </c>
      <c r="M200" s="35">
        <v>45224</v>
      </c>
      <c r="N200" s="4">
        <v>19409</v>
      </c>
      <c r="O200" s="128">
        <v>0</v>
      </c>
      <c r="P200" s="94">
        <v>45.6</v>
      </c>
      <c r="Q200" s="72">
        <f t="shared" si="14"/>
        <v>3511.2000000000003</v>
      </c>
    </row>
    <row r="201" spans="1:21" s="7" customFormat="1" ht="15" customHeight="1" x14ac:dyDescent="0.25">
      <c r="A201" s="6" t="s">
        <v>57</v>
      </c>
      <c r="B201" s="191">
        <v>3523</v>
      </c>
      <c r="C201" s="6">
        <v>183229</v>
      </c>
      <c r="D201" s="6">
        <v>2</v>
      </c>
      <c r="E201" s="120" t="s">
        <v>146</v>
      </c>
      <c r="F201" s="120" t="s">
        <v>147</v>
      </c>
      <c r="G201" s="121">
        <v>120</v>
      </c>
      <c r="H201" s="44">
        <v>120</v>
      </c>
      <c r="I201" s="136">
        <f t="shared" ref="I201:I264" si="15">H201-L201</f>
        <v>0</v>
      </c>
      <c r="J201" s="124">
        <v>45258</v>
      </c>
      <c r="K201" s="107"/>
      <c r="L201" s="108">
        <v>120</v>
      </c>
      <c r="M201" s="106">
        <v>45258</v>
      </c>
      <c r="N201" s="108">
        <v>19574</v>
      </c>
      <c r="O201" s="108">
        <v>0</v>
      </c>
      <c r="P201" s="36">
        <v>13.01</v>
      </c>
      <c r="Q201" s="71">
        <f t="shared" si="14"/>
        <v>1561.2</v>
      </c>
      <c r="R201" s="33"/>
    </row>
    <row r="202" spans="1:21" s="37" customFormat="1" ht="15" customHeight="1" x14ac:dyDescent="0.25">
      <c r="A202" s="6" t="s">
        <v>9</v>
      </c>
      <c r="B202" s="6" t="s">
        <v>38</v>
      </c>
      <c r="C202" s="6">
        <v>550020605</v>
      </c>
      <c r="D202" s="6" t="s">
        <v>6</v>
      </c>
      <c r="E202" s="120" t="s">
        <v>343</v>
      </c>
      <c r="F202" s="120" t="s">
        <v>151</v>
      </c>
      <c r="G202" s="80">
        <v>50</v>
      </c>
      <c r="H202" s="41">
        <v>50</v>
      </c>
      <c r="I202" s="136">
        <f t="shared" si="15"/>
        <v>0</v>
      </c>
      <c r="J202" s="123">
        <v>45264</v>
      </c>
      <c r="K202" s="35"/>
      <c r="L202" s="4">
        <v>50</v>
      </c>
      <c r="M202" s="35">
        <v>45264</v>
      </c>
      <c r="N202" s="108">
        <v>19602</v>
      </c>
      <c r="O202" s="108">
        <v>0</v>
      </c>
      <c r="P202" s="36">
        <v>16.37</v>
      </c>
      <c r="Q202" s="71">
        <f t="shared" si="14"/>
        <v>818.5</v>
      </c>
      <c r="R202" s="33"/>
      <c r="U202" s="37" t="s">
        <v>200</v>
      </c>
    </row>
    <row r="203" spans="1:21" s="37" customFormat="1" ht="15" customHeight="1" x14ac:dyDescent="0.25">
      <c r="A203" s="16" t="s">
        <v>57</v>
      </c>
      <c r="B203" s="5">
        <v>3504</v>
      </c>
      <c r="C203" s="5">
        <v>182964</v>
      </c>
      <c r="D203" s="5">
        <v>1</v>
      </c>
      <c r="E203" s="31" t="s">
        <v>132</v>
      </c>
      <c r="F203" s="31" t="s">
        <v>133</v>
      </c>
      <c r="G203" s="80">
        <v>500</v>
      </c>
      <c r="H203" s="41">
        <v>500</v>
      </c>
      <c r="I203" s="119">
        <f t="shared" si="15"/>
        <v>0</v>
      </c>
      <c r="J203" s="35">
        <v>45211</v>
      </c>
      <c r="K203" s="35"/>
      <c r="L203" s="4">
        <v>500</v>
      </c>
      <c r="M203" s="35">
        <v>45205</v>
      </c>
      <c r="N203" s="108">
        <v>19316</v>
      </c>
      <c r="O203" s="108">
        <v>0</v>
      </c>
      <c r="P203" s="36">
        <v>15.96</v>
      </c>
      <c r="Q203" s="71">
        <f t="shared" si="14"/>
        <v>7980</v>
      </c>
      <c r="R203" s="33"/>
    </row>
    <row r="204" spans="1:21" s="37" customFormat="1" ht="15" customHeight="1" x14ac:dyDescent="0.25">
      <c r="A204" s="191" t="s">
        <v>57</v>
      </c>
      <c r="B204" s="6">
        <v>3504</v>
      </c>
      <c r="C204" s="6">
        <v>182964</v>
      </c>
      <c r="D204" s="6">
        <v>2</v>
      </c>
      <c r="E204" s="120" t="s">
        <v>132</v>
      </c>
      <c r="F204" s="120" t="s">
        <v>133</v>
      </c>
      <c r="G204" s="121">
        <v>500</v>
      </c>
      <c r="H204" s="44">
        <v>500</v>
      </c>
      <c r="I204" s="136">
        <f t="shared" si="15"/>
        <v>0</v>
      </c>
      <c r="J204" s="123">
        <v>45230</v>
      </c>
      <c r="K204" s="35"/>
      <c r="L204" s="4">
        <v>500</v>
      </c>
      <c r="M204" s="35">
        <v>45229</v>
      </c>
      <c r="N204" s="108">
        <v>19434</v>
      </c>
      <c r="O204" s="108">
        <v>0</v>
      </c>
      <c r="P204" s="36">
        <v>15.96</v>
      </c>
      <c r="Q204" s="71">
        <f t="shared" si="14"/>
        <v>7980</v>
      </c>
      <c r="R204" s="33"/>
    </row>
    <row r="205" spans="1:21" s="37" customFormat="1" ht="15" customHeight="1" x14ac:dyDescent="0.25">
      <c r="A205" s="6" t="s">
        <v>57</v>
      </c>
      <c r="B205" s="6">
        <v>3509</v>
      </c>
      <c r="C205" s="6">
        <v>183091</v>
      </c>
      <c r="D205" s="6">
        <v>1</v>
      </c>
      <c r="E205" s="120" t="s">
        <v>132</v>
      </c>
      <c r="F205" s="120" t="s">
        <v>133</v>
      </c>
      <c r="G205" s="121">
        <v>1000</v>
      </c>
      <c r="H205" s="44">
        <v>1000</v>
      </c>
      <c r="I205" s="136">
        <f t="shared" si="15"/>
        <v>0</v>
      </c>
      <c r="J205" s="123">
        <v>45230</v>
      </c>
      <c r="K205" s="35"/>
      <c r="L205" s="4">
        <v>1000</v>
      </c>
      <c r="M205" s="35">
        <v>45229</v>
      </c>
      <c r="N205" s="108">
        <v>19435</v>
      </c>
      <c r="O205" s="108">
        <v>0</v>
      </c>
      <c r="P205" s="36">
        <v>15.96</v>
      </c>
      <c r="Q205" s="71">
        <f t="shared" si="14"/>
        <v>15960</v>
      </c>
      <c r="R205" s="33"/>
    </row>
    <row r="206" spans="1:21" s="37" customFormat="1" ht="15" customHeight="1" x14ac:dyDescent="0.25">
      <c r="A206" s="6" t="s">
        <v>9</v>
      </c>
      <c r="B206" s="6">
        <v>3661</v>
      </c>
      <c r="C206" s="6">
        <v>5500007886</v>
      </c>
      <c r="D206" s="6" t="s">
        <v>6</v>
      </c>
      <c r="E206" s="120" t="s">
        <v>33</v>
      </c>
      <c r="F206" s="120" t="s">
        <v>165</v>
      </c>
      <c r="G206" s="80">
        <v>45</v>
      </c>
      <c r="H206" s="41">
        <v>45</v>
      </c>
      <c r="I206" s="136">
        <f t="shared" si="15"/>
        <v>0</v>
      </c>
      <c r="J206" s="123">
        <v>45264</v>
      </c>
      <c r="K206" s="35"/>
      <c r="L206" s="4">
        <v>45</v>
      </c>
      <c r="M206" s="35">
        <v>45264</v>
      </c>
      <c r="N206" s="108">
        <v>19602</v>
      </c>
      <c r="O206" s="108">
        <v>0</v>
      </c>
      <c r="P206" s="36">
        <v>14.6</v>
      </c>
      <c r="Q206" s="71">
        <f t="shared" si="14"/>
        <v>657</v>
      </c>
      <c r="R206" s="33"/>
    </row>
    <row r="207" spans="1:21" s="37" customFormat="1" ht="15" customHeight="1" x14ac:dyDescent="0.25">
      <c r="A207" s="6" t="s">
        <v>9</v>
      </c>
      <c r="B207" s="6">
        <v>3661</v>
      </c>
      <c r="C207" s="6">
        <v>5500012588</v>
      </c>
      <c r="D207" s="6" t="s">
        <v>6</v>
      </c>
      <c r="E207" s="120" t="s">
        <v>342</v>
      </c>
      <c r="F207" s="120" t="s">
        <v>151</v>
      </c>
      <c r="G207" s="80">
        <v>50</v>
      </c>
      <c r="H207" s="41">
        <v>50</v>
      </c>
      <c r="I207" s="122">
        <f t="shared" si="15"/>
        <v>0</v>
      </c>
      <c r="J207" s="123">
        <v>45266</v>
      </c>
      <c r="K207" s="106"/>
      <c r="L207" s="108">
        <v>50</v>
      </c>
      <c r="M207" s="106">
        <v>45264</v>
      </c>
      <c r="N207" s="108">
        <v>19602</v>
      </c>
      <c r="O207" s="108">
        <v>0</v>
      </c>
      <c r="P207" s="74">
        <v>20.64</v>
      </c>
      <c r="Q207" s="71">
        <f t="shared" si="14"/>
        <v>1032</v>
      </c>
      <c r="R207" s="33"/>
    </row>
    <row r="208" spans="1:21" s="7" customFormat="1" ht="15" customHeight="1" x14ac:dyDescent="0.25">
      <c r="A208" s="191" t="s">
        <v>9</v>
      </c>
      <c r="B208" s="191">
        <v>3661</v>
      </c>
      <c r="C208" s="191">
        <v>5500012550</v>
      </c>
      <c r="D208" s="191" t="s">
        <v>6</v>
      </c>
      <c r="E208" s="151" t="s">
        <v>36</v>
      </c>
      <c r="F208" s="151" t="s">
        <v>193</v>
      </c>
      <c r="G208" s="159">
        <v>50</v>
      </c>
      <c r="H208" s="160">
        <v>50</v>
      </c>
      <c r="I208" s="122">
        <f t="shared" si="15"/>
        <v>0</v>
      </c>
      <c r="J208" s="124">
        <v>45268</v>
      </c>
      <c r="K208" s="311"/>
      <c r="L208" s="108">
        <v>50</v>
      </c>
      <c r="M208" s="106">
        <v>45264</v>
      </c>
      <c r="N208" s="108">
        <v>19602</v>
      </c>
      <c r="O208" s="108">
        <v>0</v>
      </c>
      <c r="P208" s="36">
        <v>24.66</v>
      </c>
      <c r="Q208" s="71">
        <f t="shared" si="14"/>
        <v>1233</v>
      </c>
      <c r="R208" s="33"/>
    </row>
    <row r="209" spans="1:18" s="33" customFormat="1" ht="15" customHeight="1" x14ac:dyDescent="0.25">
      <c r="A209" s="191" t="s">
        <v>9</v>
      </c>
      <c r="B209" s="191">
        <v>3615</v>
      </c>
      <c r="C209" s="191">
        <v>5500015214</v>
      </c>
      <c r="D209" s="191" t="s">
        <v>6</v>
      </c>
      <c r="E209" s="151" t="s">
        <v>22</v>
      </c>
      <c r="F209" s="151" t="s">
        <v>193</v>
      </c>
      <c r="G209" s="80">
        <v>100</v>
      </c>
      <c r="H209" s="41">
        <v>96</v>
      </c>
      <c r="I209" s="122">
        <f t="shared" si="15"/>
        <v>0</v>
      </c>
      <c r="J209" s="124">
        <v>45264</v>
      </c>
      <c r="K209" s="107"/>
      <c r="L209" s="108">
        <v>96</v>
      </c>
      <c r="M209" s="106">
        <v>45264</v>
      </c>
      <c r="N209" s="108">
        <v>19602</v>
      </c>
      <c r="O209" s="108">
        <v>0</v>
      </c>
      <c r="P209" s="36">
        <v>60.83</v>
      </c>
      <c r="Q209" s="32">
        <f t="shared" si="14"/>
        <v>5839.68</v>
      </c>
    </row>
    <row r="210" spans="1:18" s="33" customFormat="1" ht="15" customHeight="1" x14ac:dyDescent="0.25">
      <c r="A210" s="301" t="s">
        <v>9</v>
      </c>
      <c r="B210" s="301">
        <v>3615</v>
      </c>
      <c r="C210" s="301">
        <v>5500021565</v>
      </c>
      <c r="D210" s="301" t="s">
        <v>6</v>
      </c>
      <c r="E210" s="305" t="s">
        <v>277</v>
      </c>
      <c r="F210" s="305" t="s">
        <v>363</v>
      </c>
      <c r="G210" s="159">
        <v>50</v>
      </c>
      <c r="H210" s="160">
        <v>18</v>
      </c>
      <c r="I210" s="243">
        <f t="shared" si="15"/>
        <v>2</v>
      </c>
      <c r="J210" s="310">
        <v>45251</v>
      </c>
      <c r="K210" s="107"/>
      <c r="L210" s="108">
        <v>16</v>
      </c>
      <c r="M210" s="106">
        <v>45264</v>
      </c>
      <c r="N210" s="108">
        <v>19602</v>
      </c>
      <c r="O210" s="108">
        <v>0</v>
      </c>
      <c r="P210" s="36">
        <v>114.86</v>
      </c>
      <c r="Q210" s="32">
        <f t="shared" si="14"/>
        <v>2067.48</v>
      </c>
    </row>
    <row r="211" spans="1:18" s="33" customFormat="1" ht="15" customHeight="1" x14ac:dyDescent="0.25">
      <c r="A211" s="191" t="s">
        <v>32</v>
      </c>
      <c r="B211" s="209">
        <v>3637</v>
      </c>
      <c r="C211" s="261">
        <v>275174</v>
      </c>
      <c r="D211" s="191" t="s">
        <v>6</v>
      </c>
      <c r="E211" s="151" t="s">
        <v>238</v>
      </c>
      <c r="F211" s="151" t="s">
        <v>250</v>
      </c>
      <c r="G211" s="80">
        <v>450</v>
      </c>
      <c r="H211" s="41">
        <v>52</v>
      </c>
      <c r="I211" s="122">
        <f t="shared" si="15"/>
        <v>0</v>
      </c>
      <c r="J211" s="124">
        <v>45264</v>
      </c>
      <c r="K211" s="107"/>
      <c r="L211" s="108">
        <v>52</v>
      </c>
      <c r="M211" s="106">
        <v>45264</v>
      </c>
      <c r="N211" s="108">
        <v>19607</v>
      </c>
      <c r="O211" s="108">
        <v>0</v>
      </c>
      <c r="P211" s="36"/>
      <c r="Q211" s="32"/>
    </row>
    <row r="212" spans="1:18" s="7" customFormat="1" ht="15" customHeight="1" x14ac:dyDescent="0.25">
      <c r="A212" s="6" t="s">
        <v>32</v>
      </c>
      <c r="B212" s="6">
        <v>3671</v>
      </c>
      <c r="C212" s="6">
        <v>275323</v>
      </c>
      <c r="D212" s="6">
        <v>1</v>
      </c>
      <c r="E212" s="120" t="s">
        <v>238</v>
      </c>
      <c r="F212" s="120" t="s">
        <v>250</v>
      </c>
      <c r="G212" s="80">
        <v>250</v>
      </c>
      <c r="H212" s="41">
        <v>250</v>
      </c>
      <c r="I212" s="122">
        <f t="shared" si="15"/>
        <v>0</v>
      </c>
      <c r="J212" s="123">
        <v>45269</v>
      </c>
      <c r="K212" s="106"/>
      <c r="L212" s="108">
        <v>250</v>
      </c>
      <c r="M212" s="106">
        <v>45264</v>
      </c>
      <c r="N212" s="108">
        <v>19603</v>
      </c>
      <c r="O212" s="108">
        <v>0</v>
      </c>
      <c r="P212" s="36">
        <v>48.89</v>
      </c>
      <c r="Q212" s="71">
        <f>P212*H212</f>
        <v>12222.5</v>
      </c>
      <c r="R212" s="33"/>
    </row>
    <row r="213" spans="1:18" s="7" customFormat="1" ht="15" customHeight="1" x14ac:dyDescent="0.25">
      <c r="A213" s="6" t="s">
        <v>32</v>
      </c>
      <c r="B213" s="6">
        <v>3607</v>
      </c>
      <c r="C213" s="6">
        <v>51000589</v>
      </c>
      <c r="D213" s="6" t="s">
        <v>6</v>
      </c>
      <c r="E213" s="120" t="s">
        <v>240</v>
      </c>
      <c r="F213" s="120" t="s">
        <v>8</v>
      </c>
      <c r="G213" s="80">
        <v>100</v>
      </c>
      <c r="H213" s="41">
        <v>54</v>
      </c>
      <c r="I213" s="122">
        <f t="shared" si="15"/>
        <v>0</v>
      </c>
      <c r="J213" s="123">
        <v>45260</v>
      </c>
      <c r="K213" s="106"/>
      <c r="L213" s="108">
        <v>54</v>
      </c>
      <c r="M213" s="106">
        <v>45264</v>
      </c>
      <c r="N213" s="108">
        <v>19603</v>
      </c>
      <c r="O213" s="108">
        <v>0</v>
      </c>
      <c r="P213" s="36">
        <v>13.68</v>
      </c>
      <c r="Q213" s="71">
        <f>P213*H213</f>
        <v>738.72</v>
      </c>
      <c r="R213" s="33"/>
    </row>
    <row r="214" spans="1:18" s="7" customFormat="1" ht="15" customHeight="1" x14ac:dyDescent="0.25">
      <c r="A214" s="6" t="s">
        <v>32</v>
      </c>
      <c r="B214" s="6">
        <v>3674</v>
      </c>
      <c r="C214" s="6">
        <v>51000589</v>
      </c>
      <c r="D214" s="6" t="s">
        <v>6</v>
      </c>
      <c r="E214" s="120" t="s">
        <v>20</v>
      </c>
      <c r="F214" s="120" t="s">
        <v>355</v>
      </c>
      <c r="G214" s="80">
        <v>201</v>
      </c>
      <c r="H214" s="41">
        <v>201</v>
      </c>
      <c r="I214" s="136">
        <f t="shared" si="15"/>
        <v>0</v>
      </c>
      <c r="J214" s="123">
        <v>45278</v>
      </c>
      <c r="K214" s="106"/>
      <c r="L214" s="108">
        <v>201</v>
      </c>
      <c r="M214" s="106">
        <v>45264</v>
      </c>
      <c r="N214" s="4">
        <v>19603</v>
      </c>
      <c r="O214" s="116">
        <v>0</v>
      </c>
      <c r="P214" s="36">
        <v>9.23</v>
      </c>
      <c r="Q214" s="71">
        <f>P214*H214</f>
        <v>1855.23</v>
      </c>
      <c r="R214" s="33"/>
    </row>
    <row r="215" spans="1:18" s="7" customFormat="1" ht="15" customHeight="1" x14ac:dyDescent="0.25">
      <c r="A215" s="6" t="s">
        <v>32</v>
      </c>
      <c r="B215" s="191">
        <v>3691</v>
      </c>
      <c r="C215" s="191">
        <v>51000589</v>
      </c>
      <c r="D215" s="191" t="s">
        <v>6</v>
      </c>
      <c r="E215" s="120" t="s">
        <v>308</v>
      </c>
      <c r="F215" s="120" t="s">
        <v>355</v>
      </c>
      <c r="G215" s="121">
        <v>106</v>
      </c>
      <c r="H215" s="44">
        <v>106</v>
      </c>
      <c r="I215" s="122">
        <f t="shared" si="15"/>
        <v>0</v>
      </c>
      <c r="J215" s="124">
        <v>45264</v>
      </c>
      <c r="K215" s="107"/>
      <c r="L215" s="108">
        <v>106</v>
      </c>
      <c r="M215" s="106">
        <v>45264</v>
      </c>
      <c r="N215" s="108">
        <v>19603</v>
      </c>
      <c r="O215" s="108">
        <v>0</v>
      </c>
      <c r="P215" s="36"/>
      <c r="Q215" s="71"/>
      <c r="R215" s="33"/>
    </row>
    <row r="216" spans="1:18" s="37" customFormat="1" ht="15" customHeight="1" x14ac:dyDescent="0.25">
      <c r="A216" s="20" t="s">
        <v>57</v>
      </c>
      <c r="B216" s="20"/>
      <c r="C216" s="20">
        <v>184416</v>
      </c>
      <c r="D216" s="20">
        <v>7</v>
      </c>
      <c r="E216" s="21">
        <v>725392447</v>
      </c>
      <c r="F216" s="21" t="s">
        <v>280</v>
      </c>
      <c r="G216" s="121">
        <v>500</v>
      </c>
      <c r="H216" s="44">
        <v>500</v>
      </c>
      <c r="I216" s="131">
        <f t="shared" si="15"/>
        <v>0</v>
      </c>
      <c r="J216" s="22">
        <v>45266</v>
      </c>
      <c r="K216" s="35"/>
      <c r="L216" s="4">
        <v>500</v>
      </c>
      <c r="M216" s="35">
        <v>45266</v>
      </c>
      <c r="N216" s="108">
        <v>19619</v>
      </c>
      <c r="O216" s="108">
        <v>0</v>
      </c>
      <c r="P216" s="36"/>
      <c r="Q216" s="71"/>
      <c r="R216" s="33"/>
    </row>
    <row r="217" spans="1:18" s="7" customFormat="1" ht="15" customHeight="1" x14ac:dyDescent="0.25">
      <c r="A217" s="6" t="s">
        <v>57</v>
      </c>
      <c r="B217" s="191">
        <v>3122</v>
      </c>
      <c r="C217" s="6">
        <v>178542</v>
      </c>
      <c r="D217" s="6">
        <v>20</v>
      </c>
      <c r="E217" s="120">
        <v>725392448</v>
      </c>
      <c r="F217" s="120" t="s">
        <v>58</v>
      </c>
      <c r="G217" s="121">
        <v>100</v>
      </c>
      <c r="H217" s="44">
        <v>100</v>
      </c>
      <c r="I217" s="136">
        <f t="shared" si="15"/>
        <v>0</v>
      </c>
      <c r="J217" s="124">
        <v>45287</v>
      </c>
      <c r="K217" s="107"/>
      <c r="L217" s="108">
        <v>100</v>
      </c>
      <c r="M217" s="106">
        <v>45266</v>
      </c>
      <c r="N217" s="108">
        <v>19620</v>
      </c>
      <c r="O217" s="108">
        <v>0</v>
      </c>
      <c r="P217" s="36">
        <v>52.3</v>
      </c>
      <c r="Q217" s="71">
        <f>P217*H217</f>
        <v>5230</v>
      </c>
      <c r="R217" s="33"/>
    </row>
    <row r="218" spans="1:18" s="7" customFormat="1" ht="15" customHeight="1" x14ac:dyDescent="0.25">
      <c r="A218" s="5" t="s">
        <v>57</v>
      </c>
      <c r="B218" s="16">
        <v>3518</v>
      </c>
      <c r="C218" s="16">
        <v>183092</v>
      </c>
      <c r="D218" s="16">
        <v>1</v>
      </c>
      <c r="E218" s="42" t="s">
        <v>134</v>
      </c>
      <c r="F218" s="42" t="s">
        <v>135</v>
      </c>
      <c r="G218" s="80">
        <v>100</v>
      </c>
      <c r="H218" s="41">
        <v>100</v>
      </c>
      <c r="I218" s="119">
        <f t="shared" si="15"/>
        <v>0</v>
      </c>
      <c r="J218" s="43">
        <v>45230</v>
      </c>
      <c r="K218" s="107"/>
      <c r="L218" s="108">
        <v>100</v>
      </c>
      <c r="M218" s="106">
        <v>45219</v>
      </c>
      <c r="N218" s="108">
        <v>19381</v>
      </c>
      <c r="O218" s="108">
        <v>0</v>
      </c>
      <c r="P218" s="36">
        <v>3.63</v>
      </c>
      <c r="Q218" s="71">
        <f>P218*H218</f>
        <v>363</v>
      </c>
      <c r="R218" s="33"/>
    </row>
    <row r="219" spans="1:18" s="7" customFormat="1" ht="15" customHeight="1" x14ac:dyDescent="0.25">
      <c r="A219" s="16" t="s">
        <v>57</v>
      </c>
      <c r="B219" s="16">
        <v>3531</v>
      </c>
      <c r="C219" s="16">
        <v>183438</v>
      </c>
      <c r="D219" s="16">
        <v>2</v>
      </c>
      <c r="E219" s="42" t="s">
        <v>136</v>
      </c>
      <c r="F219" s="42" t="s">
        <v>137</v>
      </c>
      <c r="G219" s="80">
        <v>500</v>
      </c>
      <c r="H219" s="41">
        <v>500</v>
      </c>
      <c r="I219" s="114">
        <f t="shared" si="15"/>
        <v>0</v>
      </c>
      <c r="J219" s="43">
        <v>45205</v>
      </c>
      <c r="K219" s="107"/>
      <c r="L219" s="108">
        <v>500</v>
      </c>
      <c r="M219" s="106">
        <v>45205</v>
      </c>
      <c r="N219" s="108">
        <v>19311</v>
      </c>
      <c r="O219" s="108">
        <v>0</v>
      </c>
      <c r="P219" s="36">
        <v>9.56</v>
      </c>
      <c r="Q219" s="71">
        <f>P219*H219</f>
        <v>4780</v>
      </c>
      <c r="R219" s="33"/>
    </row>
    <row r="220" spans="1:18" s="7" customFormat="1" ht="15" customHeight="1" x14ac:dyDescent="0.25">
      <c r="A220" s="20" t="s">
        <v>57</v>
      </c>
      <c r="B220" s="173">
        <v>3619</v>
      </c>
      <c r="C220" s="20">
        <v>184417</v>
      </c>
      <c r="D220" s="20">
        <v>10</v>
      </c>
      <c r="E220" s="21" t="s">
        <v>61</v>
      </c>
      <c r="F220" s="21" t="s">
        <v>62</v>
      </c>
      <c r="G220" s="121">
        <v>100</v>
      </c>
      <c r="H220" s="44">
        <v>100</v>
      </c>
      <c r="I220" s="163">
        <f t="shared" si="15"/>
        <v>0</v>
      </c>
      <c r="J220" s="22">
        <v>45266</v>
      </c>
      <c r="K220" s="106"/>
      <c r="L220" s="108">
        <v>100</v>
      </c>
      <c r="M220" s="106">
        <v>45266</v>
      </c>
      <c r="N220" s="108">
        <v>19621</v>
      </c>
      <c r="O220" s="108">
        <v>0</v>
      </c>
      <c r="P220" s="36">
        <v>15.38</v>
      </c>
      <c r="Q220" s="71">
        <f>P220*H220</f>
        <v>1538</v>
      </c>
      <c r="R220" s="33"/>
    </row>
    <row r="221" spans="1:18" s="7" customFormat="1" ht="15" customHeight="1" x14ac:dyDescent="0.25">
      <c r="A221" s="6" t="s">
        <v>57</v>
      </c>
      <c r="B221" s="190">
        <v>3678</v>
      </c>
      <c r="C221" s="6">
        <v>185328</v>
      </c>
      <c r="D221" s="6">
        <v>1</v>
      </c>
      <c r="E221" s="120" t="s">
        <v>61</v>
      </c>
      <c r="F221" s="120" t="s">
        <v>62</v>
      </c>
      <c r="G221" s="121">
        <v>100</v>
      </c>
      <c r="H221" s="44">
        <v>100</v>
      </c>
      <c r="I221" s="122">
        <f t="shared" si="15"/>
        <v>0</v>
      </c>
      <c r="J221" s="123">
        <v>45287</v>
      </c>
      <c r="K221" s="106"/>
      <c r="L221" s="108">
        <v>100</v>
      </c>
      <c r="M221" s="106">
        <v>45266</v>
      </c>
      <c r="N221" s="108">
        <v>19621</v>
      </c>
      <c r="O221" s="108">
        <v>0</v>
      </c>
      <c r="P221" s="36">
        <v>15.38</v>
      </c>
      <c r="Q221" s="71">
        <f>P221*H221</f>
        <v>1538</v>
      </c>
      <c r="R221" s="33"/>
    </row>
    <row r="222" spans="1:18" s="7" customFormat="1" ht="15" customHeight="1" x14ac:dyDescent="0.25">
      <c r="A222" s="20" t="s">
        <v>57</v>
      </c>
      <c r="B222" s="20">
        <v>3656</v>
      </c>
      <c r="C222" s="20">
        <v>185089</v>
      </c>
      <c r="D222" s="20"/>
      <c r="E222" s="21" t="s">
        <v>63</v>
      </c>
      <c r="F222" s="21" t="s">
        <v>64</v>
      </c>
      <c r="G222" s="121">
        <v>350</v>
      </c>
      <c r="H222" s="44">
        <v>167</v>
      </c>
      <c r="I222" s="131">
        <f t="shared" si="15"/>
        <v>0</v>
      </c>
      <c r="J222" s="282">
        <v>45266</v>
      </c>
      <c r="K222" s="283"/>
      <c r="L222" s="284">
        <v>167</v>
      </c>
      <c r="M222" s="285">
        <v>45266</v>
      </c>
      <c r="N222" s="312">
        <v>19621</v>
      </c>
      <c r="O222" s="314">
        <v>0</v>
      </c>
      <c r="P222" s="36"/>
      <c r="Q222" s="71"/>
      <c r="R222" s="33"/>
    </row>
    <row r="223" spans="1:18" s="7" customFormat="1" ht="15" customHeight="1" x14ac:dyDescent="0.25">
      <c r="A223" s="6" t="s">
        <v>57</v>
      </c>
      <c r="B223" s="6"/>
      <c r="C223" s="6">
        <v>180917</v>
      </c>
      <c r="D223" s="6">
        <v>12</v>
      </c>
      <c r="E223" s="120" t="s">
        <v>114</v>
      </c>
      <c r="F223" s="120" t="s">
        <v>115</v>
      </c>
      <c r="G223" s="121">
        <v>32</v>
      </c>
      <c r="H223" s="44">
        <v>32</v>
      </c>
      <c r="I223" s="136">
        <f t="shared" si="15"/>
        <v>0</v>
      </c>
      <c r="J223" s="123">
        <v>45288</v>
      </c>
      <c r="K223" s="35"/>
      <c r="L223" s="4">
        <v>32</v>
      </c>
      <c r="M223" s="35">
        <v>45266</v>
      </c>
      <c r="N223" s="108">
        <v>19621</v>
      </c>
      <c r="O223" s="108">
        <v>0</v>
      </c>
      <c r="P223" s="36">
        <v>22.28</v>
      </c>
      <c r="Q223" s="71">
        <f>P223*H223</f>
        <v>712.96</v>
      </c>
      <c r="R223" s="33"/>
    </row>
    <row r="224" spans="1:18" s="37" customFormat="1" ht="15" customHeight="1" x14ac:dyDescent="0.25">
      <c r="A224" s="5" t="s">
        <v>57</v>
      </c>
      <c r="B224" s="5">
        <v>3204</v>
      </c>
      <c r="C224" s="5">
        <v>178742</v>
      </c>
      <c r="D224" s="5">
        <v>20</v>
      </c>
      <c r="E224" s="31" t="s">
        <v>138</v>
      </c>
      <c r="F224" s="31" t="s">
        <v>139</v>
      </c>
      <c r="G224" s="80">
        <v>2000</v>
      </c>
      <c r="H224" s="41">
        <v>10</v>
      </c>
      <c r="I224" s="5">
        <f t="shared" si="15"/>
        <v>0</v>
      </c>
      <c r="J224" s="35">
        <v>45166</v>
      </c>
      <c r="K224" s="281"/>
      <c r="L224" s="4">
        <v>10</v>
      </c>
      <c r="M224" s="35"/>
      <c r="N224" s="108">
        <v>18958</v>
      </c>
      <c r="O224" s="117"/>
      <c r="P224" s="36">
        <v>16.71</v>
      </c>
      <c r="Q224" s="71">
        <f>P224*H224</f>
        <v>167.10000000000002</v>
      </c>
      <c r="R224" s="33"/>
    </row>
    <row r="225" spans="1:18" s="37" customFormat="1" ht="15" customHeight="1" x14ac:dyDescent="0.25">
      <c r="A225" s="5" t="s">
        <v>57</v>
      </c>
      <c r="B225" s="5">
        <v>3204</v>
      </c>
      <c r="C225" s="5">
        <v>178742</v>
      </c>
      <c r="D225" s="5">
        <v>20</v>
      </c>
      <c r="E225" s="31" t="s">
        <v>138</v>
      </c>
      <c r="F225" s="31" t="s">
        <v>139</v>
      </c>
      <c r="G225" s="80">
        <v>2000</v>
      </c>
      <c r="H225" s="41">
        <v>208</v>
      </c>
      <c r="I225" s="5">
        <f t="shared" si="15"/>
        <v>0</v>
      </c>
      <c r="J225" s="35">
        <v>45166</v>
      </c>
      <c r="K225" s="281"/>
      <c r="L225" s="4">
        <v>208</v>
      </c>
      <c r="M225" s="35"/>
      <c r="N225" s="108">
        <v>19206</v>
      </c>
      <c r="O225" s="117"/>
      <c r="P225" s="36">
        <v>17.71</v>
      </c>
      <c r="Q225" s="71">
        <f>P225*H225</f>
        <v>3683.6800000000003</v>
      </c>
      <c r="R225" s="33"/>
    </row>
    <row r="226" spans="1:18" s="33" customFormat="1" ht="15" customHeight="1" x14ac:dyDescent="0.25">
      <c r="A226" s="20" t="s">
        <v>57</v>
      </c>
      <c r="B226" s="20">
        <v>3619</v>
      </c>
      <c r="C226" s="20">
        <v>184417</v>
      </c>
      <c r="D226" s="20">
        <v>30</v>
      </c>
      <c r="E226" s="21" t="s">
        <v>116</v>
      </c>
      <c r="F226" s="21" t="s">
        <v>304</v>
      </c>
      <c r="G226" s="211">
        <v>500</v>
      </c>
      <c r="H226" s="212">
        <v>150</v>
      </c>
      <c r="I226" s="131">
        <f t="shared" si="15"/>
        <v>0</v>
      </c>
      <c r="J226" s="22">
        <v>45266</v>
      </c>
      <c r="K226" s="35"/>
      <c r="L226" s="4">
        <v>150</v>
      </c>
      <c r="M226" s="35">
        <v>45266</v>
      </c>
      <c r="N226" s="4">
        <v>19618</v>
      </c>
      <c r="O226" s="4">
        <v>0</v>
      </c>
      <c r="P226" s="36"/>
      <c r="Q226" s="32"/>
    </row>
    <row r="227" spans="1:18" s="33" customFormat="1" ht="15" customHeight="1" x14ac:dyDescent="0.25">
      <c r="A227" s="6" t="s">
        <v>57</v>
      </c>
      <c r="B227" s="6">
        <v>3619</v>
      </c>
      <c r="C227" s="6">
        <v>184417</v>
      </c>
      <c r="D227" s="6">
        <v>4</v>
      </c>
      <c r="E227" s="120" t="s">
        <v>297</v>
      </c>
      <c r="F227" s="120" t="s">
        <v>298</v>
      </c>
      <c r="G227" s="211">
        <v>10</v>
      </c>
      <c r="H227" s="212">
        <v>10</v>
      </c>
      <c r="I227" s="6">
        <f t="shared" si="15"/>
        <v>0</v>
      </c>
      <c r="J227" s="123">
        <v>45287</v>
      </c>
      <c r="K227" s="35"/>
      <c r="L227" s="4">
        <v>10</v>
      </c>
      <c r="M227" s="35">
        <v>45266</v>
      </c>
      <c r="N227" s="109">
        <v>19621</v>
      </c>
      <c r="O227" s="109">
        <v>0</v>
      </c>
      <c r="P227" s="74">
        <v>11.25</v>
      </c>
      <c r="Q227" s="71">
        <f>P227*H227</f>
        <v>112.5</v>
      </c>
    </row>
    <row r="228" spans="1:18" s="33" customFormat="1" ht="15" customHeight="1" x14ac:dyDescent="0.25">
      <c r="A228" s="6" t="s">
        <v>281</v>
      </c>
      <c r="B228" s="6">
        <v>3684</v>
      </c>
      <c r="C228" s="6" t="s">
        <v>13</v>
      </c>
      <c r="D228" s="6" t="s">
        <v>6</v>
      </c>
      <c r="E228" s="120" t="s">
        <v>365</v>
      </c>
      <c r="F228" s="120" t="s">
        <v>366</v>
      </c>
      <c r="G228" s="80">
        <v>30</v>
      </c>
      <c r="H228" s="41">
        <v>30</v>
      </c>
      <c r="I228" s="136">
        <f t="shared" si="15"/>
        <v>-1</v>
      </c>
      <c r="J228" s="123">
        <v>45268</v>
      </c>
      <c r="K228" s="35"/>
      <c r="L228" s="4">
        <v>31</v>
      </c>
      <c r="M228" s="35">
        <v>45266</v>
      </c>
      <c r="N228" s="109">
        <v>19623</v>
      </c>
      <c r="O228" s="109">
        <v>0</v>
      </c>
      <c r="P228" s="74">
        <v>16.739999999999998</v>
      </c>
      <c r="Q228" s="71">
        <f>H228*P228</f>
        <v>502.19999999999993</v>
      </c>
    </row>
    <row r="229" spans="1:18" s="33" customFormat="1" ht="15" customHeight="1" x14ac:dyDescent="0.25">
      <c r="A229" s="6" t="s">
        <v>9</v>
      </c>
      <c r="B229" s="6">
        <v>3661</v>
      </c>
      <c r="C229" s="6">
        <v>5500007886</v>
      </c>
      <c r="D229" s="6" t="s">
        <v>6</v>
      </c>
      <c r="E229" s="120" t="s">
        <v>33</v>
      </c>
      <c r="F229" s="120" t="s">
        <v>165</v>
      </c>
      <c r="G229" s="121">
        <v>98</v>
      </c>
      <c r="H229" s="44">
        <v>98</v>
      </c>
      <c r="I229" s="136">
        <f t="shared" si="15"/>
        <v>0</v>
      </c>
      <c r="J229" s="123">
        <v>45266</v>
      </c>
      <c r="K229" s="35"/>
      <c r="L229" s="4">
        <v>98</v>
      </c>
      <c r="M229" s="35">
        <v>45264</v>
      </c>
      <c r="N229" s="108">
        <v>19602</v>
      </c>
      <c r="O229" s="108">
        <v>0</v>
      </c>
      <c r="P229" s="36">
        <v>14.6</v>
      </c>
      <c r="Q229" s="32">
        <f t="shared" ref="Q229:Q237" si="16">P229*H229</f>
        <v>1430.8</v>
      </c>
    </row>
    <row r="230" spans="1:18" s="33" customFormat="1" ht="15" customHeight="1" x14ac:dyDescent="0.25">
      <c r="A230" s="202" t="s">
        <v>57</v>
      </c>
      <c r="B230" s="202">
        <v>3482</v>
      </c>
      <c r="C230" s="202">
        <v>182437</v>
      </c>
      <c r="D230" s="202">
        <v>9</v>
      </c>
      <c r="E230" s="203" t="s">
        <v>108</v>
      </c>
      <c r="F230" s="203" t="s">
        <v>109</v>
      </c>
      <c r="G230" s="204">
        <v>100</v>
      </c>
      <c r="H230" s="205">
        <v>100</v>
      </c>
      <c r="I230" s="241">
        <f t="shared" si="15"/>
        <v>16</v>
      </c>
      <c r="J230" s="206">
        <v>45288</v>
      </c>
      <c r="K230" s="148"/>
      <c r="L230" s="4">
        <v>84</v>
      </c>
      <c r="M230" s="35">
        <v>45266</v>
      </c>
      <c r="N230" s="108">
        <v>19621</v>
      </c>
      <c r="O230" s="108">
        <v>0</v>
      </c>
      <c r="P230" s="36">
        <v>6.57</v>
      </c>
      <c r="Q230" s="32">
        <f t="shared" si="16"/>
        <v>657</v>
      </c>
    </row>
    <row r="231" spans="1:18" s="37" customFormat="1" ht="15" customHeight="1" x14ac:dyDescent="0.25">
      <c r="A231" s="20" t="s">
        <v>32</v>
      </c>
      <c r="B231" s="20">
        <v>3671</v>
      </c>
      <c r="C231" s="20">
        <v>275323</v>
      </c>
      <c r="D231" s="20">
        <v>2</v>
      </c>
      <c r="E231" s="21" t="s">
        <v>296</v>
      </c>
      <c r="F231" s="21" t="s">
        <v>8</v>
      </c>
      <c r="G231" s="80">
        <f>153+35</f>
        <v>188</v>
      </c>
      <c r="H231" s="41">
        <v>66</v>
      </c>
      <c r="I231" s="163">
        <f t="shared" si="15"/>
        <v>0</v>
      </c>
      <c r="J231" s="22">
        <v>45269</v>
      </c>
      <c r="K231" s="106"/>
      <c r="L231" s="108">
        <v>66</v>
      </c>
      <c r="M231" s="106">
        <v>45267</v>
      </c>
      <c r="N231" s="108">
        <v>19628</v>
      </c>
      <c r="O231" s="108">
        <v>0</v>
      </c>
      <c r="P231" s="94">
        <v>390.17</v>
      </c>
      <c r="Q231" s="72">
        <f t="shared" si="16"/>
        <v>25751.22</v>
      </c>
      <c r="R231" s="33"/>
    </row>
    <row r="232" spans="1:18" s="33" customFormat="1" ht="15" customHeight="1" x14ac:dyDescent="0.25">
      <c r="A232" s="20" t="s">
        <v>32</v>
      </c>
      <c r="B232" s="20">
        <v>3671</v>
      </c>
      <c r="C232" s="20">
        <v>275323</v>
      </c>
      <c r="D232" s="20">
        <v>2</v>
      </c>
      <c r="E232" s="21" t="s">
        <v>296</v>
      </c>
      <c r="F232" s="21" t="s">
        <v>8</v>
      </c>
      <c r="G232" s="80">
        <f>153+35</f>
        <v>188</v>
      </c>
      <c r="H232" s="41">
        <v>66</v>
      </c>
      <c r="I232" s="131">
        <f t="shared" si="15"/>
        <v>0</v>
      </c>
      <c r="J232" s="22">
        <v>45269</v>
      </c>
      <c r="K232" s="35"/>
      <c r="L232" s="4">
        <v>66</v>
      </c>
      <c r="M232" s="35">
        <v>45267</v>
      </c>
      <c r="N232" s="108">
        <v>19628</v>
      </c>
      <c r="O232" s="108">
        <v>0</v>
      </c>
      <c r="P232" s="36">
        <v>390.17</v>
      </c>
      <c r="Q232" s="32">
        <f t="shared" si="16"/>
        <v>25751.22</v>
      </c>
    </row>
    <row r="233" spans="1:18" s="37" customFormat="1" ht="15" customHeight="1" x14ac:dyDescent="0.25">
      <c r="A233" s="20" t="s">
        <v>364</v>
      </c>
      <c r="B233" s="20">
        <v>3587</v>
      </c>
      <c r="C233" s="20">
        <v>4510399379</v>
      </c>
      <c r="D233" s="20">
        <v>20</v>
      </c>
      <c r="E233" s="21" t="s">
        <v>237</v>
      </c>
      <c r="F233" s="21" t="s">
        <v>8</v>
      </c>
      <c r="G233" s="172">
        <v>10</v>
      </c>
      <c r="H233" s="68">
        <v>4</v>
      </c>
      <c r="I233" s="163">
        <f t="shared" si="15"/>
        <v>0</v>
      </c>
      <c r="J233" s="22" t="s">
        <v>305</v>
      </c>
      <c r="K233" s="145"/>
      <c r="L233" s="108">
        <v>4</v>
      </c>
      <c r="M233" s="106">
        <v>45254</v>
      </c>
      <c r="N233" s="108">
        <v>19554</v>
      </c>
      <c r="O233" s="69">
        <v>0</v>
      </c>
      <c r="P233" s="74">
        <v>890.17</v>
      </c>
      <c r="Q233" s="71">
        <f t="shared" si="16"/>
        <v>3560.68</v>
      </c>
      <c r="R233" s="33"/>
    </row>
    <row r="234" spans="1:18" s="37" customFormat="1" ht="15" customHeight="1" x14ac:dyDescent="0.25">
      <c r="A234" s="20" t="s">
        <v>364</v>
      </c>
      <c r="B234" s="20">
        <v>3587</v>
      </c>
      <c r="C234" s="20">
        <v>4510399379</v>
      </c>
      <c r="D234" s="20">
        <v>10</v>
      </c>
      <c r="E234" s="21" t="s">
        <v>207</v>
      </c>
      <c r="F234" s="21" t="s">
        <v>8</v>
      </c>
      <c r="G234" s="172">
        <v>10</v>
      </c>
      <c r="H234" s="68">
        <v>4</v>
      </c>
      <c r="I234" s="163">
        <f t="shared" si="15"/>
        <v>0</v>
      </c>
      <c r="J234" s="22" t="s">
        <v>305</v>
      </c>
      <c r="K234" s="145"/>
      <c r="L234" s="108">
        <v>4</v>
      </c>
      <c r="M234" s="106">
        <v>45254</v>
      </c>
      <c r="N234" s="108">
        <v>19554</v>
      </c>
      <c r="O234" s="69">
        <v>0</v>
      </c>
      <c r="P234" s="94">
        <v>950.03</v>
      </c>
      <c r="Q234" s="72">
        <f t="shared" si="16"/>
        <v>3800.12</v>
      </c>
      <c r="R234" s="33"/>
    </row>
    <row r="235" spans="1:18" s="33" customFormat="1" ht="15" customHeight="1" x14ac:dyDescent="0.25">
      <c r="A235" s="179" t="s">
        <v>9</v>
      </c>
      <c r="B235" s="6">
        <v>3615</v>
      </c>
      <c r="C235" s="6">
        <v>5500015214</v>
      </c>
      <c r="D235" s="6" t="s">
        <v>6</v>
      </c>
      <c r="E235" s="120" t="s">
        <v>22</v>
      </c>
      <c r="F235" s="120" t="s">
        <v>193</v>
      </c>
      <c r="G235" s="121">
        <v>100</v>
      </c>
      <c r="H235" s="44">
        <v>4</v>
      </c>
      <c r="I235" s="136">
        <f t="shared" si="15"/>
        <v>0</v>
      </c>
      <c r="J235" s="123">
        <v>45264</v>
      </c>
      <c r="K235" s="35"/>
      <c r="L235" s="4">
        <v>4</v>
      </c>
      <c r="M235" s="35">
        <v>45268</v>
      </c>
      <c r="N235" s="108">
        <v>19636</v>
      </c>
      <c r="O235" s="108">
        <v>0</v>
      </c>
      <c r="P235" s="36">
        <v>60.83</v>
      </c>
      <c r="Q235" s="32">
        <f t="shared" si="16"/>
        <v>243.32</v>
      </c>
    </row>
    <row r="236" spans="1:18" s="7" customFormat="1" ht="15" customHeight="1" x14ac:dyDescent="0.25">
      <c r="A236" s="6" t="s">
        <v>9</v>
      </c>
      <c r="B236" s="191">
        <v>3701</v>
      </c>
      <c r="C236" s="191">
        <v>4500078535</v>
      </c>
      <c r="D236" s="191">
        <v>10</v>
      </c>
      <c r="E236" s="120" t="s">
        <v>424</v>
      </c>
      <c r="F236" s="120" t="s">
        <v>425</v>
      </c>
      <c r="G236" s="121">
        <v>100</v>
      </c>
      <c r="H236" s="44">
        <v>16</v>
      </c>
      <c r="I236" s="122">
        <f t="shared" si="15"/>
        <v>0</v>
      </c>
      <c r="J236" s="124">
        <v>45280</v>
      </c>
      <c r="K236" s="107"/>
      <c r="L236" s="108">
        <v>16</v>
      </c>
      <c r="M236" s="106">
        <v>45268</v>
      </c>
      <c r="N236" s="108">
        <v>19636</v>
      </c>
      <c r="O236" s="108">
        <v>0</v>
      </c>
      <c r="P236" s="36">
        <v>47.88</v>
      </c>
      <c r="Q236" s="71">
        <f t="shared" si="16"/>
        <v>766.08</v>
      </c>
      <c r="R236" s="33"/>
    </row>
    <row r="237" spans="1:18" s="7" customFormat="1" ht="15" customHeight="1" x14ac:dyDescent="0.25">
      <c r="A237" s="6" t="s">
        <v>9</v>
      </c>
      <c r="B237" s="6">
        <v>3615</v>
      </c>
      <c r="C237" s="6">
        <v>5500015214</v>
      </c>
      <c r="D237" s="6" t="s">
        <v>6</v>
      </c>
      <c r="E237" s="120" t="s">
        <v>22</v>
      </c>
      <c r="F237" s="120" t="s">
        <v>193</v>
      </c>
      <c r="G237" s="80">
        <v>180</v>
      </c>
      <c r="H237" s="41">
        <v>104</v>
      </c>
      <c r="I237" s="136">
        <f t="shared" si="15"/>
        <v>0</v>
      </c>
      <c r="J237" s="123">
        <v>45267</v>
      </c>
      <c r="K237" s="35"/>
      <c r="L237" s="108">
        <v>104</v>
      </c>
      <c r="M237" s="106">
        <v>45268</v>
      </c>
      <c r="N237" s="108">
        <v>19636</v>
      </c>
      <c r="O237" s="108">
        <v>0</v>
      </c>
      <c r="P237" s="36">
        <v>60.83</v>
      </c>
      <c r="Q237" s="71">
        <f t="shared" si="16"/>
        <v>6326.32</v>
      </c>
      <c r="R237" s="33"/>
    </row>
    <row r="238" spans="1:18" s="33" customFormat="1" ht="15" customHeight="1" x14ac:dyDescent="0.25">
      <c r="A238" s="179" t="s">
        <v>32</v>
      </c>
      <c r="B238" s="190">
        <v>3637</v>
      </c>
      <c r="C238" s="208">
        <v>275174</v>
      </c>
      <c r="D238" s="6" t="s">
        <v>6</v>
      </c>
      <c r="E238" s="120" t="s">
        <v>238</v>
      </c>
      <c r="F238" s="120" t="s">
        <v>250</v>
      </c>
      <c r="G238" s="80">
        <v>450</v>
      </c>
      <c r="H238" s="41">
        <v>76</v>
      </c>
      <c r="I238" s="136">
        <f t="shared" si="15"/>
        <v>0</v>
      </c>
      <c r="J238" s="123">
        <v>45245</v>
      </c>
      <c r="K238" s="35"/>
      <c r="L238" s="4">
        <v>76</v>
      </c>
      <c r="M238" s="35">
        <v>45264</v>
      </c>
      <c r="N238" s="108">
        <v>19603</v>
      </c>
      <c r="O238" s="108">
        <v>1</v>
      </c>
      <c r="P238" s="36"/>
      <c r="Q238" s="32"/>
    </row>
    <row r="239" spans="1:18" s="33" customFormat="1" ht="15" customHeight="1" x14ac:dyDescent="0.25">
      <c r="A239" s="5" t="s">
        <v>57</v>
      </c>
      <c r="B239" s="5">
        <v>3204</v>
      </c>
      <c r="C239" s="5">
        <v>178742</v>
      </c>
      <c r="D239" s="5">
        <v>20</v>
      </c>
      <c r="E239" s="31" t="s">
        <v>138</v>
      </c>
      <c r="F239" s="31" t="s">
        <v>139</v>
      </c>
      <c r="G239" s="80">
        <v>2000</v>
      </c>
      <c r="H239" s="41">
        <v>373</v>
      </c>
      <c r="I239" s="5">
        <f t="shared" si="15"/>
        <v>0</v>
      </c>
      <c r="J239" s="35">
        <v>45166</v>
      </c>
      <c r="K239" s="281"/>
      <c r="L239" s="4">
        <v>373</v>
      </c>
      <c r="M239" s="35"/>
      <c r="N239" s="4">
        <v>19222</v>
      </c>
      <c r="O239" s="246"/>
      <c r="P239" s="94">
        <v>18.71</v>
      </c>
      <c r="Q239" s="72">
        <f t="shared" ref="Q239:Q245" si="17">P239*H239</f>
        <v>6978.83</v>
      </c>
    </row>
    <row r="240" spans="1:18" s="33" customFormat="1" ht="15" customHeight="1" x14ac:dyDescent="0.25">
      <c r="A240" s="16" t="s">
        <v>57</v>
      </c>
      <c r="B240" s="16">
        <v>3204</v>
      </c>
      <c r="C240" s="5">
        <v>178742</v>
      </c>
      <c r="D240" s="5">
        <v>20</v>
      </c>
      <c r="E240" s="31" t="s">
        <v>138</v>
      </c>
      <c r="F240" s="31" t="s">
        <v>139</v>
      </c>
      <c r="G240" s="80">
        <v>2000</v>
      </c>
      <c r="H240" s="41">
        <v>100</v>
      </c>
      <c r="I240" s="5">
        <f t="shared" si="15"/>
        <v>0</v>
      </c>
      <c r="J240" s="35">
        <v>45166</v>
      </c>
      <c r="K240" s="281"/>
      <c r="L240" s="4">
        <v>100</v>
      </c>
      <c r="M240" s="35"/>
      <c r="N240" s="4">
        <v>19227</v>
      </c>
      <c r="O240" s="119"/>
      <c r="P240" s="36">
        <v>19.71</v>
      </c>
      <c r="Q240" s="32">
        <f t="shared" si="17"/>
        <v>1971</v>
      </c>
    </row>
    <row r="241" spans="1:16382" s="33" customFormat="1" ht="15" customHeight="1" x14ac:dyDescent="0.25">
      <c r="A241" s="5" t="s">
        <v>57</v>
      </c>
      <c r="B241" s="5">
        <v>3204</v>
      </c>
      <c r="C241" s="5">
        <v>178742</v>
      </c>
      <c r="D241" s="5">
        <v>20</v>
      </c>
      <c r="E241" s="31" t="s">
        <v>138</v>
      </c>
      <c r="F241" s="31" t="s">
        <v>139</v>
      </c>
      <c r="G241" s="80">
        <v>2000</v>
      </c>
      <c r="H241" s="41">
        <v>820</v>
      </c>
      <c r="I241" s="5">
        <f t="shared" si="15"/>
        <v>0</v>
      </c>
      <c r="J241" s="35">
        <v>45166</v>
      </c>
      <c r="K241" s="281"/>
      <c r="L241" s="4">
        <v>820</v>
      </c>
      <c r="M241" s="35"/>
      <c r="N241" s="4">
        <v>19260</v>
      </c>
      <c r="O241" s="119"/>
      <c r="P241" s="36">
        <v>20.71</v>
      </c>
      <c r="Q241" s="32">
        <f t="shared" si="17"/>
        <v>16982.2</v>
      </c>
    </row>
    <row r="242" spans="1:16382" s="37" customFormat="1" ht="15" customHeight="1" x14ac:dyDescent="0.25">
      <c r="A242" s="6" t="s">
        <v>57</v>
      </c>
      <c r="B242" s="6">
        <v>3518</v>
      </c>
      <c r="C242" s="6">
        <v>183790</v>
      </c>
      <c r="D242" s="6">
        <v>6</v>
      </c>
      <c r="E242" s="120" t="s">
        <v>126</v>
      </c>
      <c r="F242" s="120" t="s">
        <v>189</v>
      </c>
      <c r="G242" s="121">
        <v>1</v>
      </c>
      <c r="H242" s="44">
        <v>1</v>
      </c>
      <c r="I242" s="122">
        <f t="shared" si="15"/>
        <v>0</v>
      </c>
      <c r="J242" s="123">
        <v>45287</v>
      </c>
      <c r="K242" s="106"/>
      <c r="L242" s="108">
        <v>1</v>
      </c>
      <c r="M242" s="106">
        <v>45266</v>
      </c>
      <c r="N242" s="108">
        <v>19621</v>
      </c>
      <c r="O242" s="313">
        <v>0</v>
      </c>
      <c r="P242" s="36">
        <v>23.73</v>
      </c>
      <c r="Q242" s="32">
        <f t="shared" si="17"/>
        <v>23.73</v>
      </c>
      <c r="R242" s="33"/>
    </row>
    <row r="243" spans="1:16382" s="37" customFormat="1" ht="15" customHeight="1" x14ac:dyDescent="0.25">
      <c r="A243" s="6" t="s">
        <v>57</v>
      </c>
      <c r="B243" s="6">
        <v>3558</v>
      </c>
      <c r="C243" s="6">
        <v>183790</v>
      </c>
      <c r="D243" s="6">
        <v>7</v>
      </c>
      <c r="E243" s="151" t="s">
        <v>130</v>
      </c>
      <c r="F243" s="151" t="s">
        <v>131</v>
      </c>
      <c r="G243" s="121">
        <v>50</v>
      </c>
      <c r="H243" s="6">
        <v>50</v>
      </c>
      <c r="I243" s="122">
        <f t="shared" si="15"/>
        <v>0</v>
      </c>
      <c r="J243" s="124">
        <v>45287</v>
      </c>
      <c r="K243" s="43"/>
      <c r="L243" s="108">
        <v>50</v>
      </c>
      <c r="M243" s="35">
        <v>45266</v>
      </c>
      <c r="N243" s="116">
        <v>19621</v>
      </c>
      <c r="O243" s="313">
        <v>0</v>
      </c>
      <c r="P243" s="36">
        <v>36.97</v>
      </c>
      <c r="Q243" s="32">
        <f t="shared" si="17"/>
        <v>1848.5</v>
      </c>
      <c r="R243" s="32">
        <v>0</v>
      </c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/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7"/>
      <c r="IZ243" s="7"/>
      <c r="JA243" s="7"/>
      <c r="JB243" s="7"/>
      <c r="JC243" s="7"/>
      <c r="JD243" s="7"/>
      <c r="JE243" s="7"/>
      <c r="JF243" s="7"/>
      <c r="JG243" s="7"/>
      <c r="JH243" s="7"/>
      <c r="JI243" s="7"/>
      <c r="JJ243" s="7"/>
      <c r="JK243" s="7"/>
      <c r="JL243" s="7"/>
      <c r="JM243" s="7"/>
      <c r="JN243" s="7"/>
      <c r="JO243" s="7"/>
      <c r="JP243" s="7"/>
      <c r="JQ243" s="7"/>
      <c r="JR243" s="7"/>
      <c r="JS243" s="7"/>
      <c r="JT243" s="7"/>
      <c r="JU243" s="7"/>
      <c r="JV243" s="7"/>
      <c r="JW243" s="7"/>
      <c r="JX243" s="7"/>
      <c r="JY243" s="7"/>
      <c r="JZ243" s="7"/>
      <c r="KA243" s="7"/>
      <c r="KB243" s="7"/>
      <c r="KC243" s="7"/>
      <c r="KD243" s="7"/>
      <c r="KE243" s="7"/>
      <c r="KF243" s="7"/>
      <c r="KG243" s="7"/>
      <c r="KH243" s="7"/>
      <c r="KI243" s="7"/>
      <c r="KJ243" s="7"/>
      <c r="KK243" s="7"/>
      <c r="KL243" s="7"/>
      <c r="KM243" s="7"/>
      <c r="KN243" s="7"/>
      <c r="KO243" s="7"/>
      <c r="KP243" s="7"/>
      <c r="KQ243" s="7"/>
      <c r="KR243" s="7"/>
      <c r="KS243" s="7"/>
      <c r="KT243" s="7"/>
      <c r="KU243" s="7"/>
      <c r="KV243" s="7"/>
      <c r="KW243" s="7"/>
      <c r="KX243" s="7"/>
      <c r="KY243" s="7"/>
      <c r="KZ243" s="7"/>
      <c r="LA243" s="7"/>
      <c r="LB243" s="7"/>
      <c r="LC243" s="7"/>
      <c r="LD243" s="7"/>
      <c r="LE243" s="7"/>
      <c r="LF243" s="7"/>
      <c r="LG243" s="7"/>
      <c r="LH243" s="7"/>
      <c r="LI243" s="7"/>
      <c r="LJ243" s="7"/>
      <c r="LK243" s="7"/>
      <c r="LL243" s="7"/>
      <c r="LM243" s="7"/>
      <c r="LN243" s="7"/>
      <c r="LO243" s="7"/>
      <c r="LP243" s="7"/>
      <c r="LQ243" s="7"/>
      <c r="LR243" s="7"/>
      <c r="LS243" s="7"/>
      <c r="LT243" s="7"/>
      <c r="LU243" s="7"/>
      <c r="LV243" s="7"/>
      <c r="LW243" s="7"/>
      <c r="LX243" s="7"/>
      <c r="LY243" s="7"/>
      <c r="LZ243" s="7"/>
      <c r="MA243" s="7"/>
      <c r="MB243" s="7"/>
      <c r="MC243" s="7"/>
      <c r="MD243" s="7"/>
      <c r="ME243" s="7"/>
      <c r="MF243" s="7"/>
      <c r="MG243" s="7"/>
      <c r="MH243" s="7"/>
      <c r="MI243" s="7"/>
      <c r="MJ243" s="7"/>
      <c r="MK243" s="7"/>
      <c r="ML243" s="7"/>
      <c r="MM243" s="7"/>
      <c r="MN243" s="7"/>
      <c r="MO243" s="7"/>
      <c r="MP243" s="7"/>
      <c r="MQ243" s="7"/>
      <c r="MR243" s="7"/>
      <c r="MS243" s="7"/>
      <c r="MT243" s="7"/>
      <c r="MU243" s="7"/>
      <c r="MV243" s="7"/>
      <c r="MW243" s="7"/>
      <c r="MX243" s="7"/>
      <c r="MY243" s="7"/>
      <c r="MZ243" s="7"/>
      <c r="NA243" s="7"/>
      <c r="NB243" s="7"/>
      <c r="NC243" s="7"/>
      <c r="ND243" s="7"/>
      <c r="NE243" s="7"/>
      <c r="NF243" s="7"/>
      <c r="NG243" s="7"/>
      <c r="NH243" s="7"/>
      <c r="NI243" s="7"/>
      <c r="NJ243" s="7"/>
      <c r="NK243" s="7"/>
      <c r="NL243" s="7"/>
      <c r="NM243" s="7"/>
      <c r="NN243" s="7"/>
      <c r="NO243" s="7"/>
      <c r="NP243" s="7"/>
      <c r="NQ243" s="7"/>
      <c r="NR243" s="7"/>
      <c r="NS243" s="7"/>
      <c r="NT243" s="7"/>
      <c r="NU243" s="7"/>
      <c r="NV243" s="7"/>
      <c r="NW243" s="7"/>
      <c r="NX243" s="7"/>
      <c r="NY243" s="7"/>
      <c r="NZ243" s="7"/>
      <c r="OA243" s="7"/>
      <c r="OB243" s="7"/>
      <c r="OC243" s="7"/>
      <c r="OD243" s="7"/>
      <c r="OE243" s="7"/>
      <c r="OF243" s="7"/>
      <c r="OG243" s="7"/>
      <c r="OH243" s="7"/>
      <c r="OI243" s="7"/>
      <c r="OJ243" s="7"/>
      <c r="OK243" s="7"/>
      <c r="OL243" s="7"/>
      <c r="OM243" s="7"/>
      <c r="ON243" s="7"/>
      <c r="OO243" s="7"/>
      <c r="OP243" s="7"/>
      <c r="OQ243" s="7"/>
      <c r="OR243" s="7"/>
      <c r="OS243" s="7"/>
      <c r="OT243" s="7"/>
      <c r="OU243" s="7"/>
      <c r="OV243" s="7"/>
      <c r="OW243" s="7"/>
      <c r="OX243" s="7"/>
      <c r="OY243" s="7"/>
      <c r="OZ243" s="7"/>
      <c r="PA243" s="7"/>
      <c r="PB243" s="7"/>
      <c r="PC243" s="7"/>
      <c r="PD243" s="7"/>
      <c r="PE243" s="7"/>
      <c r="PF243" s="7"/>
      <c r="PG243" s="7"/>
      <c r="PH243" s="7"/>
      <c r="PI243" s="7"/>
      <c r="PJ243" s="7"/>
      <c r="PK243" s="7"/>
      <c r="PL243" s="7"/>
      <c r="PM243" s="7"/>
      <c r="PN243" s="7"/>
      <c r="PO243" s="7"/>
      <c r="PP243" s="7"/>
      <c r="PQ243" s="7"/>
      <c r="PR243" s="7"/>
      <c r="PS243" s="7"/>
      <c r="PT243" s="7"/>
      <c r="PU243" s="7"/>
      <c r="PV243" s="7"/>
      <c r="PW243" s="7"/>
      <c r="PX243" s="7"/>
      <c r="PY243" s="7"/>
      <c r="PZ243" s="7"/>
      <c r="QA243" s="7"/>
      <c r="QB243" s="7"/>
      <c r="QC243" s="7"/>
      <c r="QD243" s="7"/>
      <c r="QE243" s="7"/>
      <c r="QF243" s="7"/>
      <c r="QG243" s="7"/>
      <c r="QH243" s="7"/>
      <c r="QI243" s="7"/>
      <c r="QJ243" s="7"/>
      <c r="QK243" s="7"/>
      <c r="QL243" s="7"/>
      <c r="QM243" s="7"/>
      <c r="QN243" s="7"/>
      <c r="QO243" s="7"/>
      <c r="QP243" s="7"/>
      <c r="QQ243" s="7"/>
      <c r="QR243" s="7"/>
      <c r="QS243" s="7"/>
      <c r="QT243" s="7"/>
      <c r="QU243" s="7"/>
      <c r="QV243" s="7"/>
      <c r="QW243" s="7"/>
      <c r="QX243" s="7"/>
      <c r="QY243" s="7"/>
      <c r="QZ243" s="7"/>
      <c r="RA243" s="7"/>
      <c r="RB243" s="7"/>
      <c r="RC243" s="7"/>
      <c r="RD243" s="7"/>
      <c r="RE243" s="7"/>
      <c r="RF243" s="7"/>
      <c r="RG243" s="7"/>
      <c r="RH243" s="7"/>
      <c r="RI243" s="7"/>
      <c r="RJ243" s="7"/>
      <c r="RK243" s="7"/>
      <c r="RL243" s="7"/>
      <c r="RM243" s="7"/>
      <c r="RN243" s="7"/>
      <c r="RO243" s="7"/>
      <c r="RP243" s="7"/>
      <c r="RQ243" s="7"/>
      <c r="RR243" s="7"/>
      <c r="RS243" s="7"/>
      <c r="RT243" s="7"/>
      <c r="RU243" s="7"/>
      <c r="RV243" s="7"/>
      <c r="RW243" s="7"/>
      <c r="RX243" s="7"/>
      <c r="RY243" s="7"/>
      <c r="RZ243" s="7"/>
      <c r="SA243" s="7"/>
      <c r="SB243" s="7"/>
      <c r="SC243" s="7"/>
      <c r="SD243" s="7"/>
      <c r="SE243" s="7"/>
      <c r="SF243" s="7"/>
      <c r="SG243" s="7"/>
      <c r="SH243" s="7"/>
      <c r="SI243" s="7"/>
      <c r="SJ243" s="7"/>
      <c r="SK243" s="7"/>
      <c r="SL243" s="7"/>
      <c r="SM243" s="7"/>
      <c r="SN243" s="7"/>
      <c r="SO243" s="7"/>
      <c r="SP243" s="7"/>
      <c r="SQ243" s="7"/>
      <c r="SR243" s="7"/>
      <c r="SS243" s="7"/>
      <c r="ST243" s="7"/>
      <c r="SU243" s="7"/>
      <c r="SV243" s="7"/>
      <c r="SW243" s="7"/>
      <c r="SX243" s="7"/>
      <c r="SY243" s="7"/>
      <c r="SZ243" s="7"/>
      <c r="TA243" s="7"/>
      <c r="TB243" s="7"/>
      <c r="TC243" s="7"/>
      <c r="TD243" s="7"/>
      <c r="TE243" s="7"/>
      <c r="TF243" s="7"/>
      <c r="TG243" s="7"/>
      <c r="TH243" s="7"/>
      <c r="TI243" s="7"/>
      <c r="TJ243" s="7"/>
      <c r="TK243" s="7"/>
      <c r="TL243" s="7"/>
      <c r="TM243" s="7"/>
      <c r="TN243" s="7"/>
      <c r="TO243" s="7"/>
      <c r="TP243" s="7"/>
      <c r="TQ243" s="7"/>
      <c r="TR243" s="7"/>
      <c r="TS243" s="7"/>
      <c r="TT243" s="7"/>
      <c r="TU243" s="7"/>
      <c r="TV243" s="7"/>
      <c r="TW243" s="7"/>
      <c r="TX243" s="7"/>
      <c r="TY243" s="7"/>
      <c r="TZ243" s="7"/>
      <c r="UA243" s="7"/>
      <c r="UB243" s="7"/>
      <c r="UC243" s="7"/>
      <c r="UD243" s="7"/>
      <c r="UE243" s="7"/>
      <c r="UF243" s="7"/>
      <c r="UG243" s="7"/>
      <c r="UH243" s="7"/>
      <c r="UI243" s="7"/>
      <c r="UJ243" s="7"/>
      <c r="UK243" s="7"/>
      <c r="UL243" s="7"/>
      <c r="UM243" s="7"/>
      <c r="UN243" s="7"/>
      <c r="UO243" s="7"/>
      <c r="UP243" s="7"/>
      <c r="UQ243" s="7"/>
      <c r="UR243" s="7"/>
      <c r="US243" s="7"/>
      <c r="UT243" s="7"/>
      <c r="UU243" s="7"/>
      <c r="UV243" s="7"/>
      <c r="UW243" s="7"/>
      <c r="UX243" s="7"/>
      <c r="UY243" s="7"/>
      <c r="UZ243" s="7"/>
      <c r="VA243" s="7"/>
      <c r="VB243" s="7"/>
      <c r="VC243" s="7"/>
      <c r="VD243" s="7"/>
      <c r="VE243" s="7"/>
      <c r="VF243" s="7"/>
      <c r="VG243" s="7"/>
      <c r="VH243" s="7"/>
      <c r="VI243" s="7"/>
      <c r="VJ243" s="7"/>
      <c r="VK243" s="7"/>
      <c r="VL243" s="7"/>
      <c r="VM243" s="7"/>
      <c r="VN243" s="7"/>
      <c r="VO243" s="7"/>
      <c r="VP243" s="7"/>
      <c r="VQ243" s="7"/>
      <c r="VR243" s="7"/>
      <c r="VS243" s="7"/>
      <c r="VT243" s="7"/>
      <c r="VU243" s="7"/>
      <c r="VV243" s="7"/>
      <c r="VW243" s="7"/>
      <c r="VX243" s="7"/>
      <c r="VY243" s="7"/>
      <c r="VZ243" s="7"/>
      <c r="WA243" s="7"/>
      <c r="WB243" s="7"/>
      <c r="WC243" s="7"/>
      <c r="WD243" s="7"/>
      <c r="WE243" s="7"/>
      <c r="WF243" s="7"/>
      <c r="WG243" s="7"/>
      <c r="WH243" s="7"/>
      <c r="WI243" s="7"/>
      <c r="WJ243" s="7"/>
      <c r="WK243" s="7"/>
      <c r="WL243" s="7"/>
      <c r="WM243" s="7"/>
      <c r="WN243" s="7"/>
      <c r="WO243" s="7"/>
      <c r="WP243" s="7"/>
      <c r="WQ243" s="7"/>
      <c r="WR243" s="7"/>
      <c r="WS243" s="7"/>
      <c r="WT243" s="7"/>
      <c r="WU243" s="7"/>
      <c r="WV243" s="7"/>
      <c r="WW243" s="7"/>
      <c r="WX243" s="7"/>
      <c r="WY243" s="7"/>
      <c r="WZ243" s="7"/>
      <c r="XA243" s="7"/>
      <c r="XB243" s="7"/>
      <c r="XC243" s="7"/>
      <c r="XD243" s="7"/>
      <c r="XE243" s="7"/>
      <c r="XF243" s="7"/>
      <c r="XG243" s="7"/>
      <c r="XH243" s="7"/>
      <c r="XI243" s="7"/>
      <c r="XJ243" s="7"/>
      <c r="XK243" s="7"/>
      <c r="XL243" s="7"/>
      <c r="XM243" s="7"/>
      <c r="XN243" s="7"/>
      <c r="XO243" s="7"/>
      <c r="XP243" s="7"/>
      <c r="XQ243" s="7"/>
      <c r="XR243" s="7"/>
      <c r="XS243" s="7"/>
      <c r="XT243" s="7"/>
      <c r="XU243" s="7"/>
      <c r="XV243" s="7"/>
      <c r="XW243" s="7"/>
      <c r="XX243" s="7"/>
      <c r="XY243" s="7"/>
      <c r="XZ243" s="7"/>
      <c r="YA243" s="7"/>
      <c r="YB243" s="7"/>
      <c r="YC243" s="7"/>
      <c r="YD243" s="7"/>
      <c r="YE243" s="7"/>
      <c r="YF243" s="7"/>
      <c r="YG243" s="7"/>
      <c r="YH243" s="7"/>
      <c r="YI243" s="7"/>
      <c r="YJ243" s="7"/>
      <c r="YK243" s="7"/>
      <c r="YL243" s="7"/>
      <c r="YM243" s="7"/>
      <c r="YN243" s="7"/>
      <c r="YO243" s="7"/>
      <c r="YP243" s="7"/>
      <c r="YQ243" s="7"/>
      <c r="YR243" s="7"/>
      <c r="YS243" s="7"/>
      <c r="YT243" s="7"/>
      <c r="YU243" s="7"/>
      <c r="YV243" s="7"/>
      <c r="YW243" s="7"/>
      <c r="YX243" s="7"/>
      <c r="YY243" s="7"/>
      <c r="YZ243" s="7"/>
      <c r="ZA243" s="7"/>
      <c r="ZB243" s="7"/>
      <c r="ZC243" s="7"/>
      <c r="ZD243" s="7"/>
      <c r="ZE243" s="7"/>
      <c r="ZF243" s="7"/>
      <c r="ZG243" s="7"/>
      <c r="ZH243" s="7"/>
      <c r="ZI243" s="7"/>
      <c r="ZJ243" s="7"/>
      <c r="ZK243" s="7"/>
      <c r="ZL243" s="7"/>
      <c r="ZM243" s="7"/>
      <c r="ZN243" s="7"/>
      <c r="ZO243" s="7"/>
      <c r="ZP243" s="7"/>
      <c r="ZQ243" s="7"/>
      <c r="ZR243" s="7"/>
      <c r="ZS243" s="7"/>
      <c r="ZT243" s="7"/>
      <c r="ZU243" s="7"/>
      <c r="ZV243" s="7"/>
      <c r="ZW243" s="7"/>
      <c r="ZX243" s="7"/>
      <c r="ZY243" s="7"/>
      <c r="ZZ243" s="7"/>
      <c r="AAA243" s="7"/>
      <c r="AAB243" s="7"/>
      <c r="AAC243" s="7"/>
      <c r="AAD243" s="7"/>
      <c r="AAE243" s="7"/>
      <c r="AAF243" s="7"/>
      <c r="AAG243" s="7"/>
      <c r="AAH243" s="7"/>
      <c r="AAI243" s="7"/>
      <c r="AAJ243" s="7"/>
      <c r="AAK243" s="7"/>
      <c r="AAL243" s="7"/>
      <c r="AAM243" s="7"/>
      <c r="AAN243" s="7"/>
      <c r="AAO243" s="7"/>
      <c r="AAP243" s="7"/>
      <c r="AAQ243" s="7"/>
      <c r="AAR243" s="7"/>
      <c r="AAS243" s="7"/>
      <c r="AAT243" s="7"/>
      <c r="AAU243" s="7"/>
      <c r="AAV243" s="7"/>
      <c r="AAW243" s="7"/>
      <c r="AAX243" s="7"/>
      <c r="AAY243" s="7"/>
      <c r="AAZ243" s="7"/>
      <c r="ABA243" s="7"/>
      <c r="ABB243" s="7"/>
      <c r="ABC243" s="7"/>
      <c r="ABD243" s="7"/>
      <c r="ABE243" s="7"/>
      <c r="ABF243" s="7"/>
      <c r="ABG243" s="7"/>
      <c r="ABH243" s="7"/>
      <c r="ABI243" s="7"/>
      <c r="ABJ243" s="7"/>
      <c r="ABK243" s="7"/>
      <c r="ABL243" s="7"/>
      <c r="ABM243" s="7"/>
      <c r="ABN243" s="7"/>
      <c r="ABO243" s="7"/>
      <c r="ABP243" s="7"/>
      <c r="ABQ243" s="7"/>
      <c r="ABR243" s="7"/>
      <c r="ABS243" s="7"/>
      <c r="ABT243" s="7"/>
      <c r="ABU243" s="7"/>
      <c r="ABV243" s="7"/>
      <c r="ABW243" s="7"/>
      <c r="ABX243" s="7"/>
      <c r="ABY243" s="7"/>
      <c r="ABZ243" s="7"/>
      <c r="ACA243" s="7"/>
      <c r="ACB243" s="7"/>
      <c r="ACC243" s="7"/>
      <c r="ACD243" s="7"/>
      <c r="ACE243" s="7"/>
      <c r="ACF243" s="7"/>
      <c r="ACG243" s="7"/>
      <c r="ACH243" s="7"/>
      <c r="ACI243" s="7"/>
      <c r="ACJ243" s="7"/>
      <c r="ACK243" s="7"/>
      <c r="ACL243" s="7"/>
      <c r="ACM243" s="7"/>
      <c r="ACN243" s="7"/>
      <c r="ACO243" s="7"/>
      <c r="ACP243" s="7"/>
      <c r="ACQ243" s="7"/>
      <c r="ACR243" s="7"/>
      <c r="ACS243" s="7"/>
      <c r="ACT243" s="7"/>
      <c r="ACU243" s="7"/>
      <c r="ACV243" s="7"/>
      <c r="ACW243" s="7"/>
      <c r="ACX243" s="7"/>
      <c r="ACY243" s="7"/>
      <c r="ACZ243" s="7"/>
      <c r="ADA243" s="7"/>
      <c r="ADB243" s="7"/>
      <c r="ADC243" s="7"/>
      <c r="ADD243" s="7"/>
      <c r="ADE243" s="7"/>
      <c r="ADF243" s="7"/>
      <c r="ADG243" s="7"/>
      <c r="ADH243" s="7"/>
      <c r="ADI243" s="7"/>
      <c r="ADJ243" s="7"/>
      <c r="ADK243" s="7"/>
      <c r="ADL243" s="7"/>
      <c r="ADM243" s="7"/>
      <c r="ADN243" s="7"/>
      <c r="ADO243" s="7"/>
      <c r="ADP243" s="7"/>
      <c r="ADQ243" s="7"/>
      <c r="ADR243" s="7"/>
      <c r="ADS243" s="7"/>
      <c r="ADT243" s="7"/>
      <c r="ADU243" s="7"/>
      <c r="ADV243" s="7"/>
      <c r="ADW243" s="7"/>
      <c r="ADX243" s="7"/>
      <c r="ADY243" s="7"/>
      <c r="ADZ243" s="7"/>
      <c r="AEA243" s="7"/>
      <c r="AEB243" s="7"/>
      <c r="AEC243" s="7"/>
      <c r="AED243" s="7"/>
      <c r="AEE243" s="7"/>
      <c r="AEF243" s="7"/>
      <c r="AEG243" s="7"/>
      <c r="AEH243" s="7"/>
      <c r="AEI243" s="7"/>
      <c r="AEJ243" s="7"/>
      <c r="AEK243" s="7"/>
      <c r="AEL243" s="7"/>
      <c r="AEM243" s="7"/>
      <c r="AEN243" s="7"/>
      <c r="AEO243" s="7"/>
      <c r="AEP243" s="7"/>
      <c r="AEQ243" s="7"/>
      <c r="AER243" s="7"/>
      <c r="AES243" s="7"/>
      <c r="AET243" s="7"/>
      <c r="AEU243" s="7"/>
      <c r="AEV243" s="7"/>
      <c r="AEW243" s="7"/>
      <c r="AEX243" s="7"/>
      <c r="AEY243" s="7"/>
      <c r="AEZ243" s="7"/>
      <c r="AFA243" s="7"/>
      <c r="AFB243" s="7"/>
      <c r="AFC243" s="7"/>
      <c r="AFD243" s="7"/>
      <c r="AFE243" s="7"/>
      <c r="AFF243" s="7"/>
      <c r="AFG243" s="7"/>
      <c r="AFH243" s="7"/>
      <c r="AFI243" s="7"/>
      <c r="AFJ243" s="7"/>
      <c r="AFK243" s="7"/>
      <c r="AFL243" s="7"/>
      <c r="AFM243" s="7"/>
      <c r="AFN243" s="7"/>
      <c r="AFO243" s="7"/>
      <c r="AFP243" s="7"/>
      <c r="AFQ243" s="7"/>
      <c r="AFR243" s="7"/>
      <c r="AFS243" s="7"/>
      <c r="AFT243" s="7"/>
      <c r="AFU243" s="7"/>
      <c r="AFV243" s="7"/>
      <c r="AFW243" s="7"/>
      <c r="AFX243" s="7"/>
      <c r="AFY243" s="7"/>
      <c r="AFZ243" s="7"/>
      <c r="AGA243" s="7"/>
      <c r="AGB243" s="7"/>
      <c r="AGC243" s="7"/>
      <c r="AGD243" s="7"/>
      <c r="AGE243" s="7"/>
      <c r="AGF243" s="7"/>
      <c r="AGG243" s="7"/>
      <c r="AGH243" s="7"/>
      <c r="AGI243" s="7"/>
      <c r="AGJ243" s="7"/>
      <c r="AGK243" s="7"/>
      <c r="AGL243" s="7"/>
      <c r="AGM243" s="7"/>
      <c r="AGN243" s="7"/>
      <c r="AGO243" s="7"/>
      <c r="AGP243" s="7"/>
      <c r="AGQ243" s="7"/>
      <c r="AGR243" s="7"/>
      <c r="AGS243" s="7"/>
      <c r="AGT243" s="7"/>
      <c r="AGU243" s="7"/>
      <c r="AGV243" s="7"/>
      <c r="AGW243" s="7"/>
      <c r="AGX243" s="7"/>
      <c r="AGY243" s="7"/>
      <c r="AGZ243" s="7"/>
      <c r="AHA243" s="7"/>
      <c r="AHB243" s="7"/>
      <c r="AHC243" s="7"/>
      <c r="AHD243" s="7"/>
      <c r="AHE243" s="7"/>
      <c r="AHF243" s="7"/>
      <c r="AHG243" s="7"/>
      <c r="AHH243" s="7"/>
      <c r="AHI243" s="7"/>
      <c r="AHJ243" s="7"/>
      <c r="AHK243" s="7"/>
      <c r="AHL243" s="7"/>
      <c r="AHM243" s="7"/>
      <c r="AHN243" s="7"/>
      <c r="AHO243" s="7"/>
      <c r="AHP243" s="7"/>
      <c r="AHQ243" s="7"/>
      <c r="AHR243" s="7"/>
      <c r="AHS243" s="7"/>
      <c r="AHT243" s="7"/>
      <c r="AHU243" s="7"/>
      <c r="AHV243" s="7"/>
      <c r="AHW243" s="7"/>
      <c r="AHX243" s="7"/>
      <c r="AHY243" s="7"/>
      <c r="AHZ243" s="7"/>
      <c r="AIA243" s="7"/>
      <c r="AIB243" s="7"/>
      <c r="AIC243" s="7"/>
      <c r="AID243" s="7"/>
      <c r="AIE243" s="7"/>
      <c r="AIF243" s="7"/>
      <c r="AIG243" s="7"/>
      <c r="AIH243" s="7"/>
      <c r="AII243" s="7"/>
      <c r="AIJ243" s="7"/>
      <c r="AIK243" s="7"/>
      <c r="AIL243" s="7"/>
      <c r="AIM243" s="7"/>
      <c r="AIN243" s="7"/>
      <c r="AIO243" s="7"/>
      <c r="AIP243" s="7"/>
      <c r="AIQ243" s="7"/>
      <c r="AIR243" s="7"/>
      <c r="AIS243" s="7"/>
      <c r="AIT243" s="7"/>
      <c r="AIU243" s="7"/>
      <c r="AIV243" s="7"/>
      <c r="AIW243" s="7"/>
      <c r="AIX243" s="7"/>
      <c r="AIY243" s="7"/>
      <c r="AIZ243" s="7"/>
      <c r="AJA243" s="7"/>
      <c r="AJB243" s="7"/>
      <c r="AJC243" s="7"/>
      <c r="AJD243" s="7"/>
      <c r="AJE243" s="7"/>
      <c r="AJF243" s="7"/>
      <c r="AJG243" s="7"/>
      <c r="AJH243" s="7"/>
      <c r="AJI243" s="7"/>
      <c r="AJJ243" s="7"/>
      <c r="AJK243" s="7"/>
      <c r="AJL243" s="7"/>
      <c r="AJM243" s="7"/>
      <c r="AJN243" s="7"/>
      <c r="AJO243" s="7"/>
      <c r="AJP243" s="7"/>
      <c r="AJQ243" s="7"/>
      <c r="AJR243" s="7"/>
      <c r="AJS243" s="7"/>
      <c r="AJT243" s="7"/>
      <c r="AJU243" s="7"/>
      <c r="AJV243" s="7"/>
      <c r="AJW243" s="7"/>
      <c r="AJX243" s="7"/>
      <c r="AJY243" s="7"/>
      <c r="AJZ243" s="7"/>
      <c r="AKA243" s="7"/>
      <c r="AKB243" s="7"/>
      <c r="AKC243" s="7"/>
      <c r="AKD243" s="7"/>
      <c r="AKE243" s="7"/>
      <c r="AKF243" s="7"/>
      <c r="AKG243" s="7"/>
      <c r="AKH243" s="7"/>
      <c r="AKI243" s="7"/>
      <c r="AKJ243" s="7"/>
      <c r="AKK243" s="7"/>
      <c r="AKL243" s="7"/>
      <c r="AKM243" s="7"/>
      <c r="AKN243" s="7"/>
      <c r="AKO243" s="7"/>
      <c r="AKP243" s="7"/>
      <c r="AKQ243" s="7"/>
      <c r="AKR243" s="7"/>
      <c r="AKS243" s="7"/>
      <c r="AKT243" s="7"/>
      <c r="AKU243" s="7"/>
      <c r="AKV243" s="7"/>
      <c r="AKW243" s="7"/>
      <c r="AKX243" s="7"/>
      <c r="AKY243" s="7"/>
      <c r="AKZ243" s="7"/>
      <c r="ALA243" s="7"/>
      <c r="ALB243" s="7"/>
      <c r="ALC243" s="7"/>
      <c r="ALD243" s="7"/>
      <c r="ALE243" s="7"/>
      <c r="ALF243" s="7"/>
      <c r="ALG243" s="7"/>
      <c r="ALH243" s="7"/>
      <c r="ALI243" s="7"/>
      <c r="ALJ243" s="7"/>
      <c r="ALK243" s="7"/>
      <c r="ALL243" s="7"/>
      <c r="ALM243" s="7"/>
      <c r="ALN243" s="7"/>
      <c r="ALO243" s="7"/>
      <c r="ALP243" s="7"/>
      <c r="ALQ243" s="7"/>
      <c r="ALR243" s="7"/>
      <c r="ALS243" s="7"/>
      <c r="ALT243" s="7"/>
      <c r="ALU243" s="7"/>
      <c r="ALV243" s="7"/>
      <c r="ALW243" s="7"/>
      <c r="ALX243" s="7"/>
      <c r="ALY243" s="7"/>
      <c r="ALZ243" s="7"/>
      <c r="AMA243" s="7"/>
      <c r="AMB243" s="7"/>
      <c r="AMC243" s="7"/>
      <c r="AMD243" s="7"/>
      <c r="AME243" s="7"/>
      <c r="AMF243" s="7"/>
      <c r="AMG243" s="7"/>
      <c r="AMH243" s="7"/>
      <c r="AMI243" s="7"/>
      <c r="AMJ243" s="7"/>
      <c r="AMK243" s="7"/>
      <c r="AML243" s="7"/>
      <c r="AMM243" s="7"/>
      <c r="AMN243" s="7"/>
      <c r="AMO243" s="7"/>
      <c r="AMP243" s="7"/>
      <c r="AMQ243" s="7"/>
      <c r="AMR243" s="7"/>
      <c r="AMS243" s="7"/>
      <c r="AMT243" s="7"/>
      <c r="AMU243" s="7"/>
      <c r="AMV243" s="7"/>
      <c r="AMW243" s="7"/>
      <c r="AMX243" s="7"/>
      <c r="AMY243" s="7"/>
      <c r="AMZ243" s="7"/>
      <c r="ANA243" s="7"/>
      <c r="ANB243" s="7"/>
      <c r="ANC243" s="7"/>
      <c r="AND243" s="7"/>
      <c r="ANE243" s="7"/>
      <c r="ANF243" s="7"/>
      <c r="ANG243" s="7"/>
      <c r="ANH243" s="7"/>
      <c r="ANI243" s="7"/>
      <c r="ANJ243" s="7"/>
      <c r="ANK243" s="7"/>
      <c r="ANL243" s="7"/>
      <c r="ANM243" s="7"/>
      <c r="ANN243" s="7"/>
      <c r="ANO243" s="7"/>
      <c r="ANP243" s="7"/>
      <c r="ANQ243" s="7"/>
      <c r="ANR243" s="7"/>
      <c r="ANS243" s="7"/>
      <c r="ANT243" s="7"/>
      <c r="ANU243" s="7"/>
      <c r="ANV243" s="7"/>
      <c r="ANW243" s="7"/>
      <c r="ANX243" s="7"/>
      <c r="ANY243" s="7"/>
      <c r="ANZ243" s="7"/>
      <c r="AOA243" s="7"/>
      <c r="AOB243" s="7"/>
      <c r="AOC243" s="7"/>
      <c r="AOD243" s="7"/>
      <c r="AOE243" s="7"/>
      <c r="AOF243" s="7"/>
      <c r="AOG243" s="7"/>
      <c r="AOH243" s="7"/>
      <c r="AOI243" s="7"/>
      <c r="AOJ243" s="7"/>
      <c r="AOK243" s="7"/>
      <c r="AOL243" s="7"/>
      <c r="AOM243" s="7"/>
      <c r="AON243" s="7"/>
      <c r="AOO243" s="7"/>
      <c r="AOP243" s="7"/>
      <c r="AOQ243" s="7"/>
      <c r="AOR243" s="7"/>
      <c r="AOS243" s="7"/>
      <c r="AOT243" s="7"/>
      <c r="AOU243" s="7"/>
      <c r="AOV243" s="7"/>
      <c r="AOW243" s="7"/>
      <c r="AOX243" s="7"/>
      <c r="AOY243" s="7"/>
      <c r="AOZ243" s="7"/>
      <c r="APA243" s="7"/>
      <c r="APB243" s="7"/>
      <c r="APC243" s="7"/>
      <c r="APD243" s="7"/>
      <c r="APE243" s="7"/>
      <c r="APF243" s="7"/>
      <c r="APG243" s="7"/>
      <c r="APH243" s="7"/>
      <c r="API243" s="7"/>
      <c r="APJ243" s="7"/>
      <c r="APK243" s="7"/>
      <c r="APL243" s="7"/>
      <c r="APM243" s="7"/>
      <c r="APN243" s="7"/>
      <c r="APO243" s="7"/>
      <c r="APP243" s="7"/>
      <c r="APQ243" s="7"/>
      <c r="APR243" s="7"/>
      <c r="APS243" s="7"/>
      <c r="APT243" s="7"/>
      <c r="APU243" s="7"/>
      <c r="APV243" s="7"/>
      <c r="APW243" s="7"/>
      <c r="APX243" s="7"/>
      <c r="APY243" s="7"/>
      <c r="APZ243" s="7"/>
      <c r="AQA243" s="7"/>
      <c r="AQB243" s="7"/>
      <c r="AQC243" s="7"/>
      <c r="AQD243" s="7"/>
      <c r="AQE243" s="7"/>
      <c r="AQF243" s="7"/>
      <c r="AQG243" s="7"/>
      <c r="AQH243" s="7"/>
      <c r="AQI243" s="7"/>
      <c r="AQJ243" s="7"/>
      <c r="AQK243" s="7"/>
      <c r="AQL243" s="7"/>
      <c r="AQM243" s="7"/>
      <c r="AQN243" s="7"/>
      <c r="AQO243" s="7"/>
      <c r="AQP243" s="7"/>
      <c r="AQQ243" s="7"/>
      <c r="AQR243" s="7"/>
      <c r="AQS243" s="7"/>
      <c r="AQT243" s="7"/>
      <c r="AQU243" s="7"/>
      <c r="AQV243" s="7"/>
      <c r="AQW243" s="7"/>
      <c r="AQX243" s="7"/>
      <c r="AQY243" s="7"/>
      <c r="AQZ243" s="7"/>
      <c r="ARA243" s="7"/>
      <c r="ARB243" s="7"/>
      <c r="ARC243" s="7"/>
      <c r="ARD243" s="7"/>
      <c r="ARE243" s="7"/>
      <c r="ARF243" s="7"/>
      <c r="ARG243" s="7"/>
      <c r="ARH243" s="7"/>
      <c r="ARI243" s="7"/>
      <c r="ARJ243" s="7"/>
      <c r="ARK243" s="7"/>
      <c r="ARL243" s="7"/>
      <c r="ARM243" s="7"/>
      <c r="ARN243" s="7"/>
      <c r="ARO243" s="7"/>
      <c r="ARP243" s="7"/>
      <c r="ARQ243" s="7"/>
      <c r="ARR243" s="7"/>
      <c r="ARS243" s="7"/>
      <c r="ART243" s="7"/>
      <c r="ARU243" s="7"/>
      <c r="ARV243" s="7"/>
      <c r="ARW243" s="7"/>
      <c r="ARX243" s="7"/>
      <c r="ARY243" s="7"/>
      <c r="ARZ243" s="7"/>
      <c r="ASA243" s="7"/>
      <c r="ASB243" s="7"/>
      <c r="ASC243" s="7"/>
      <c r="ASD243" s="7"/>
      <c r="ASE243" s="7"/>
      <c r="ASF243" s="7"/>
      <c r="ASG243" s="7"/>
      <c r="ASH243" s="7"/>
      <c r="ASI243" s="7"/>
      <c r="ASJ243" s="7"/>
      <c r="ASK243" s="7"/>
      <c r="ASL243" s="7"/>
      <c r="ASM243" s="7"/>
      <c r="ASN243" s="7"/>
      <c r="ASO243" s="7"/>
      <c r="ASP243" s="7"/>
      <c r="ASQ243" s="7"/>
      <c r="ASR243" s="7"/>
      <c r="ASS243" s="7"/>
      <c r="AST243" s="7"/>
      <c r="ASU243" s="7"/>
      <c r="ASV243" s="7"/>
      <c r="ASW243" s="7"/>
      <c r="ASX243" s="7"/>
      <c r="ASY243" s="7"/>
      <c r="ASZ243" s="7"/>
      <c r="ATA243" s="7"/>
      <c r="ATB243" s="7"/>
      <c r="ATC243" s="7"/>
      <c r="ATD243" s="7"/>
      <c r="ATE243" s="7"/>
      <c r="ATF243" s="7"/>
      <c r="ATG243" s="7"/>
      <c r="ATH243" s="7"/>
      <c r="ATI243" s="7"/>
      <c r="ATJ243" s="7"/>
      <c r="ATK243" s="7"/>
      <c r="ATL243" s="7"/>
      <c r="ATM243" s="7"/>
      <c r="ATN243" s="7"/>
      <c r="ATO243" s="7"/>
      <c r="ATP243" s="7"/>
      <c r="ATQ243" s="7"/>
      <c r="ATR243" s="7"/>
      <c r="ATS243" s="7"/>
      <c r="ATT243" s="7"/>
      <c r="ATU243" s="7"/>
      <c r="ATV243" s="7"/>
      <c r="ATW243" s="7"/>
      <c r="ATX243" s="7"/>
      <c r="ATY243" s="7"/>
      <c r="ATZ243" s="7"/>
      <c r="AUA243" s="7"/>
      <c r="AUB243" s="7"/>
      <c r="AUC243" s="7"/>
      <c r="AUD243" s="7"/>
      <c r="AUE243" s="7"/>
      <c r="AUF243" s="7"/>
      <c r="AUG243" s="7"/>
      <c r="AUH243" s="7"/>
      <c r="AUI243" s="7"/>
      <c r="AUJ243" s="7"/>
      <c r="AUK243" s="7"/>
      <c r="AUL243" s="7"/>
      <c r="AUM243" s="7"/>
      <c r="AUN243" s="7"/>
      <c r="AUO243" s="7"/>
      <c r="AUP243" s="7"/>
      <c r="AUQ243" s="7"/>
      <c r="AUR243" s="7"/>
      <c r="AUS243" s="7"/>
      <c r="AUT243" s="7"/>
      <c r="AUU243" s="7"/>
      <c r="AUV243" s="7"/>
      <c r="AUW243" s="7"/>
      <c r="AUX243" s="7"/>
      <c r="AUY243" s="7"/>
      <c r="AUZ243" s="7"/>
      <c r="AVA243" s="7"/>
      <c r="AVB243" s="7"/>
      <c r="AVC243" s="7"/>
      <c r="AVD243" s="7"/>
      <c r="AVE243" s="7"/>
      <c r="AVF243" s="7"/>
      <c r="AVG243" s="7"/>
      <c r="AVH243" s="7"/>
      <c r="AVI243" s="7"/>
      <c r="AVJ243" s="7"/>
      <c r="AVK243" s="7"/>
      <c r="AVL243" s="7"/>
      <c r="AVM243" s="7"/>
      <c r="AVN243" s="7"/>
      <c r="AVO243" s="7"/>
      <c r="AVP243" s="7"/>
      <c r="AVQ243" s="7"/>
      <c r="AVR243" s="7"/>
      <c r="AVS243" s="7"/>
      <c r="AVT243" s="7"/>
      <c r="AVU243" s="7"/>
      <c r="AVV243" s="7"/>
      <c r="AVW243" s="7"/>
      <c r="AVX243" s="7"/>
      <c r="AVY243" s="7"/>
      <c r="AVZ243" s="7"/>
      <c r="AWA243" s="7"/>
      <c r="AWB243" s="7"/>
      <c r="AWC243" s="7"/>
      <c r="AWD243" s="7"/>
      <c r="AWE243" s="7"/>
      <c r="AWF243" s="7"/>
      <c r="AWG243" s="7"/>
      <c r="AWH243" s="7"/>
      <c r="AWI243" s="7"/>
      <c r="AWJ243" s="7"/>
      <c r="AWK243" s="7"/>
      <c r="AWL243" s="7"/>
      <c r="AWM243" s="7"/>
      <c r="AWN243" s="7"/>
      <c r="AWO243" s="7"/>
      <c r="AWP243" s="7"/>
      <c r="AWQ243" s="7"/>
      <c r="AWR243" s="7"/>
      <c r="AWS243" s="7"/>
      <c r="AWT243" s="7"/>
      <c r="AWU243" s="7"/>
      <c r="AWV243" s="7"/>
      <c r="AWW243" s="7"/>
      <c r="AWX243" s="7"/>
      <c r="AWY243" s="7"/>
      <c r="AWZ243" s="7"/>
      <c r="AXA243" s="7"/>
      <c r="AXB243" s="7"/>
      <c r="AXC243" s="7"/>
      <c r="AXD243" s="7"/>
      <c r="AXE243" s="7"/>
      <c r="AXF243" s="7"/>
      <c r="AXG243" s="7"/>
      <c r="AXH243" s="7"/>
      <c r="AXI243" s="7"/>
      <c r="AXJ243" s="7"/>
      <c r="AXK243" s="7"/>
      <c r="AXL243" s="7"/>
      <c r="AXM243" s="7"/>
      <c r="AXN243" s="7"/>
      <c r="AXO243" s="7"/>
      <c r="AXP243" s="7"/>
      <c r="AXQ243" s="7"/>
      <c r="AXR243" s="7"/>
      <c r="AXS243" s="7"/>
      <c r="AXT243" s="7"/>
      <c r="AXU243" s="7"/>
      <c r="AXV243" s="7"/>
      <c r="AXW243" s="7"/>
      <c r="AXX243" s="7"/>
      <c r="AXY243" s="7"/>
      <c r="AXZ243" s="7"/>
      <c r="AYA243" s="7"/>
      <c r="AYB243" s="7"/>
      <c r="AYC243" s="7"/>
      <c r="AYD243" s="7"/>
      <c r="AYE243" s="7"/>
      <c r="AYF243" s="7"/>
      <c r="AYG243" s="7"/>
      <c r="AYH243" s="7"/>
      <c r="AYI243" s="7"/>
      <c r="AYJ243" s="7"/>
      <c r="AYK243" s="7"/>
      <c r="AYL243" s="7"/>
      <c r="AYM243" s="7"/>
      <c r="AYN243" s="7"/>
      <c r="AYO243" s="7"/>
      <c r="AYP243" s="7"/>
      <c r="AYQ243" s="7"/>
      <c r="AYR243" s="7"/>
      <c r="AYS243" s="7"/>
      <c r="AYT243" s="7"/>
      <c r="AYU243" s="7"/>
      <c r="AYV243" s="7"/>
      <c r="AYW243" s="7"/>
      <c r="AYX243" s="7"/>
      <c r="AYY243" s="7"/>
      <c r="AYZ243" s="7"/>
      <c r="AZA243" s="7"/>
      <c r="AZB243" s="7"/>
      <c r="AZC243" s="7"/>
      <c r="AZD243" s="7"/>
      <c r="AZE243" s="7"/>
      <c r="AZF243" s="7"/>
      <c r="AZG243" s="7"/>
      <c r="AZH243" s="7"/>
      <c r="AZI243" s="7"/>
      <c r="AZJ243" s="7"/>
      <c r="AZK243" s="7"/>
      <c r="AZL243" s="7"/>
      <c r="AZM243" s="7"/>
      <c r="AZN243" s="7"/>
      <c r="AZO243" s="7"/>
      <c r="AZP243" s="7"/>
      <c r="AZQ243" s="7"/>
      <c r="AZR243" s="7"/>
      <c r="AZS243" s="7"/>
      <c r="AZT243" s="7"/>
      <c r="AZU243" s="7"/>
      <c r="AZV243" s="7"/>
      <c r="AZW243" s="7"/>
      <c r="AZX243" s="7"/>
      <c r="AZY243" s="7"/>
      <c r="AZZ243" s="7"/>
      <c r="BAA243" s="7"/>
      <c r="BAB243" s="7"/>
      <c r="BAC243" s="7"/>
      <c r="BAD243" s="7"/>
      <c r="BAE243" s="7"/>
      <c r="BAF243" s="7"/>
      <c r="BAG243" s="7"/>
      <c r="BAH243" s="7"/>
      <c r="BAI243" s="7"/>
      <c r="BAJ243" s="7"/>
      <c r="BAK243" s="7"/>
      <c r="BAL243" s="7"/>
      <c r="BAM243" s="7"/>
      <c r="BAN243" s="7"/>
      <c r="BAO243" s="7"/>
      <c r="BAP243" s="7"/>
      <c r="BAQ243" s="7"/>
      <c r="BAR243" s="7"/>
      <c r="BAS243" s="7"/>
      <c r="BAT243" s="7"/>
      <c r="BAU243" s="7"/>
      <c r="BAV243" s="7"/>
      <c r="BAW243" s="7"/>
      <c r="BAX243" s="7"/>
      <c r="BAY243" s="7"/>
      <c r="BAZ243" s="7"/>
      <c r="BBA243" s="7"/>
      <c r="BBB243" s="7"/>
      <c r="BBC243" s="7"/>
      <c r="BBD243" s="7"/>
      <c r="BBE243" s="7"/>
      <c r="BBF243" s="7"/>
      <c r="BBG243" s="7"/>
      <c r="BBH243" s="7"/>
      <c r="BBI243" s="7"/>
      <c r="BBJ243" s="7"/>
      <c r="BBK243" s="7"/>
      <c r="BBL243" s="7"/>
      <c r="BBM243" s="7"/>
      <c r="BBN243" s="7"/>
      <c r="BBO243" s="7"/>
      <c r="BBP243" s="7"/>
      <c r="BBQ243" s="7"/>
      <c r="BBR243" s="7"/>
      <c r="BBS243" s="7"/>
      <c r="BBT243" s="7"/>
      <c r="BBU243" s="7"/>
      <c r="BBV243" s="7"/>
      <c r="BBW243" s="7"/>
      <c r="BBX243" s="7"/>
      <c r="BBY243" s="7"/>
      <c r="BBZ243" s="7"/>
      <c r="BCA243" s="7"/>
      <c r="BCB243" s="7"/>
      <c r="BCC243" s="7"/>
      <c r="BCD243" s="7"/>
      <c r="BCE243" s="7"/>
      <c r="BCF243" s="7"/>
      <c r="BCG243" s="7"/>
      <c r="BCH243" s="7"/>
      <c r="BCI243" s="7"/>
      <c r="BCJ243" s="7"/>
      <c r="BCK243" s="7"/>
      <c r="BCL243" s="7"/>
      <c r="BCM243" s="7"/>
      <c r="BCN243" s="7"/>
      <c r="BCO243" s="7"/>
      <c r="BCP243" s="7"/>
      <c r="BCQ243" s="7"/>
      <c r="BCR243" s="7"/>
      <c r="BCS243" s="7"/>
      <c r="BCT243" s="7"/>
      <c r="BCU243" s="7"/>
      <c r="BCV243" s="7"/>
      <c r="BCW243" s="7"/>
      <c r="BCX243" s="7"/>
      <c r="BCY243" s="7"/>
      <c r="BCZ243" s="7"/>
      <c r="BDA243" s="7"/>
      <c r="BDB243" s="7"/>
      <c r="BDC243" s="7"/>
      <c r="BDD243" s="7"/>
      <c r="BDE243" s="7"/>
      <c r="BDF243" s="7"/>
      <c r="BDG243" s="7"/>
      <c r="BDH243" s="7"/>
      <c r="BDI243" s="7"/>
      <c r="BDJ243" s="7"/>
      <c r="BDK243" s="7"/>
      <c r="BDL243" s="7"/>
      <c r="BDM243" s="7"/>
      <c r="BDN243" s="7"/>
      <c r="BDO243" s="7"/>
      <c r="BDP243" s="7"/>
      <c r="BDQ243" s="7"/>
      <c r="BDR243" s="7"/>
      <c r="BDS243" s="7"/>
      <c r="BDT243" s="7"/>
      <c r="BDU243" s="7"/>
      <c r="BDV243" s="7"/>
      <c r="BDW243" s="7"/>
      <c r="BDX243" s="7"/>
      <c r="BDY243" s="7"/>
      <c r="BDZ243" s="7"/>
      <c r="BEA243" s="7"/>
      <c r="BEB243" s="7"/>
      <c r="BEC243" s="7"/>
      <c r="BED243" s="7"/>
      <c r="BEE243" s="7"/>
      <c r="BEF243" s="7"/>
      <c r="BEG243" s="7"/>
      <c r="BEH243" s="7"/>
      <c r="BEI243" s="7"/>
      <c r="BEJ243" s="7"/>
      <c r="BEK243" s="7"/>
      <c r="BEL243" s="7"/>
      <c r="BEM243" s="7"/>
      <c r="BEN243" s="7"/>
      <c r="BEO243" s="7"/>
      <c r="BEP243" s="7"/>
      <c r="BEQ243" s="7"/>
      <c r="BER243" s="7"/>
      <c r="BES243" s="7"/>
      <c r="BET243" s="7"/>
      <c r="BEU243" s="7"/>
      <c r="BEV243" s="7"/>
      <c r="BEW243" s="7"/>
      <c r="BEX243" s="7"/>
      <c r="BEY243" s="7"/>
      <c r="BEZ243" s="7"/>
      <c r="BFA243" s="7"/>
      <c r="BFB243" s="7"/>
      <c r="BFC243" s="7"/>
      <c r="BFD243" s="7"/>
      <c r="BFE243" s="7"/>
      <c r="BFF243" s="7"/>
      <c r="BFG243" s="7"/>
      <c r="BFH243" s="7"/>
      <c r="BFI243" s="7"/>
      <c r="BFJ243" s="7"/>
      <c r="BFK243" s="7"/>
      <c r="BFL243" s="7"/>
      <c r="BFM243" s="7"/>
      <c r="BFN243" s="7"/>
      <c r="BFO243" s="7"/>
      <c r="BFP243" s="7"/>
      <c r="BFQ243" s="7"/>
      <c r="BFR243" s="7"/>
      <c r="BFS243" s="7"/>
      <c r="BFT243" s="7"/>
      <c r="BFU243" s="7"/>
      <c r="BFV243" s="7"/>
      <c r="BFW243" s="7"/>
      <c r="BFX243" s="7"/>
      <c r="BFY243" s="7"/>
      <c r="BFZ243" s="7"/>
      <c r="BGA243" s="7"/>
      <c r="BGB243" s="7"/>
      <c r="BGC243" s="7"/>
      <c r="BGD243" s="7"/>
      <c r="BGE243" s="7"/>
      <c r="BGF243" s="7"/>
      <c r="BGG243" s="7"/>
      <c r="BGH243" s="7"/>
      <c r="BGI243" s="7"/>
      <c r="BGJ243" s="7"/>
      <c r="BGK243" s="7"/>
      <c r="BGL243" s="7"/>
      <c r="BGM243" s="7"/>
      <c r="BGN243" s="7"/>
      <c r="BGO243" s="7"/>
      <c r="BGP243" s="7"/>
      <c r="BGQ243" s="7"/>
      <c r="BGR243" s="7"/>
      <c r="BGS243" s="7"/>
      <c r="BGT243" s="7"/>
      <c r="BGU243" s="7"/>
      <c r="BGV243" s="7"/>
      <c r="BGW243" s="7"/>
      <c r="BGX243" s="7"/>
      <c r="BGY243" s="7"/>
      <c r="BGZ243" s="7"/>
      <c r="BHA243" s="7"/>
      <c r="BHB243" s="7"/>
      <c r="BHC243" s="7"/>
      <c r="BHD243" s="7"/>
      <c r="BHE243" s="7"/>
      <c r="BHF243" s="7"/>
      <c r="BHG243" s="7"/>
      <c r="BHH243" s="7"/>
      <c r="BHI243" s="7"/>
      <c r="BHJ243" s="7"/>
      <c r="BHK243" s="7"/>
      <c r="BHL243" s="7"/>
      <c r="BHM243" s="7"/>
      <c r="BHN243" s="7"/>
      <c r="BHO243" s="7"/>
      <c r="BHP243" s="7"/>
      <c r="BHQ243" s="7"/>
      <c r="BHR243" s="7"/>
      <c r="BHS243" s="7"/>
      <c r="BHT243" s="7"/>
      <c r="BHU243" s="7"/>
      <c r="BHV243" s="7"/>
      <c r="BHW243" s="7"/>
      <c r="BHX243" s="7"/>
      <c r="BHY243" s="7"/>
      <c r="BHZ243" s="7"/>
      <c r="BIA243" s="7"/>
      <c r="BIB243" s="7"/>
      <c r="BIC243" s="7"/>
      <c r="BID243" s="7"/>
      <c r="BIE243" s="7"/>
      <c r="BIF243" s="7"/>
      <c r="BIG243" s="7"/>
      <c r="BIH243" s="7"/>
      <c r="BII243" s="7"/>
      <c r="BIJ243" s="7"/>
      <c r="BIK243" s="7"/>
      <c r="BIL243" s="7"/>
      <c r="BIM243" s="7"/>
      <c r="BIN243" s="7"/>
      <c r="BIO243" s="7"/>
      <c r="BIP243" s="7"/>
      <c r="BIQ243" s="7"/>
      <c r="BIR243" s="7"/>
      <c r="BIS243" s="7"/>
      <c r="BIT243" s="7"/>
      <c r="BIU243" s="7"/>
      <c r="BIV243" s="7"/>
      <c r="BIW243" s="7"/>
      <c r="BIX243" s="7"/>
      <c r="BIY243" s="7"/>
      <c r="BIZ243" s="7"/>
      <c r="BJA243" s="7"/>
      <c r="BJB243" s="7"/>
      <c r="BJC243" s="7"/>
      <c r="BJD243" s="7"/>
      <c r="BJE243" s="7"/>
      <c r="BJF243" s="7"/>
      <c r="BJG243" s="7"/>
      <c r="BJH243" s="7"/>
      <c r="BJI243" s="7"/>
      <c r="BJJ243" s="7"/>
      <c r="BJK243" s="7"/>
      <c r="BJL243" s="7"/>
      <c r="BJM243" s="7"/>
      <c r="BJN243" s="7"/>
      <c r="BJO243" s="7"/>
      <c r="BJP243" s="7"/>
      <c r="BJQ243" s="7"/>
      <c r="BJR243" s="7"/>
      <c r="BJS243" s="7"/>
      <c r="BJT243" s="7"/>
      <c r="BJU243" s="7"/>
      <c r="BJV243" s="7"/>
      <c r="BJW243" s="7"/>
      <c r="BJX243" s="7"/>
      <c r="BJY243" s="7"/>
      <c r="BJZ243" s="7"/>
      <c r="BKA243" s="7"/>
      <c r="BKB243" s="7"/>
      <c r="BKC243" s="7"/>
      <c r="BKD243" s="7"/>
      <c r="BKE243" s="7"/>
      <c r="BKF243" s="7"/>
      <c r="BKG243" s="7"/>
      <c r="BKH243" s="7"/>
      <c r="BKI243" s="7"/>
      <c r="BKJ243" s="7"/>
      <c r="BKK243" s="7"/>
      <c r="BKL243" s="7"/>
      <c r="BKM243" s="7"/>
      <c r="BKN243" s="7"/>
      <c r="BKO243" s="7"/>
      <c r="BKP243" s="7"/>
      <c r="BKQ243" s="7"/>
      <c r="BKR243" s="7"/>
      <c r="BKS243" s="7"/>
      <c r="BKT243" s="7"/>
      <c r="BKU243" s="7"/>
      <c r="BKV243" s="7"/>
      <c r="BKW243" s="7"/>
      <c r="BKX243" s="7"/>
      <c r="BKY243" s="7"/>
      <c r="BKZ243" s="7"/>
      <c r="BLA243" s="7"/>
      <c r="BLB243" s="7"/>
      <c r="BLC243" s="7"/>
      <c r="BLD243" s="7"/>
      <c r="BLE243" s="7"/>
      <c r="BLF243" s="7"/>
      <c r="BLG243" s="7"/>
      <c r="BLH243" s="7"/>
      <c r="BLI243" s="7"/>
      <c r="BLJ243" s="7"/>
      <c r="BLK243" s="7"/>
      <c r="BLL243" s="7"/>
      <c r="BLM243" s="7"/>
      <c r="BLN243" s="7"/>
      <c r="BLO243" s="7"/>
      <c r="BLP243" s="7"/>
      <c r="BLQ243" s="7"/>
      <c r="BLR243" s="7"/>
      <c r="BLS243" s="7"/>
      <c r="BLT243" s="7"/>
      <c r="BLU243" s="7"/>
      <c r="BLV243" s="7"/>
      <c r="BLW243" s="7"/>
      <c r="BLX243" s="7"/>
      <c r="BLY243" s="7"/>
      <c r="BLZ243" s="7"/>
      <c r="BMA243" s="7"/>
      <c r="BMB243" s="7"/>
      <c r="BMC243" s="7"/>
      <c r="BMD243" s="7"/>
      <c r="BME243" s="7"/>
      <c r="BMF243" s="7"/>
      <c r="BMG243" s="7"/>
      <c r="BMH243" s="7"/>
      <c r="BMI243" s="7"/>
      <c r="BMJ243" s="7"/>
      <c r="BMK243" s="7"/>
      <c r="BML243" s="7"/>
      <c r="BMM243" s="7"/>
      <c r="BMN243" s="7"/>
      <c r="BMO243" s="7"/>
      <c r="BMP243" s="7"/>
      <c r="BMQ243" s="7"/>
      <c r="BMR243" s="7"/>
      <c r="BMS243" s="7"/>
      <c r="BMT243" s="7"/>
      <c r="BMU243" s="7"/>
      <c r="BMV243" s="7"/>
      <c r="BMW243" s="7"/>
      <c r="BMX243" s="7"/>
      <c r="BMY243" s="7"/>
      <c r="BMZ243" s="7"/>
      <c r="BNA243" s="7"/>
      <c r="BNB243" s="7"/>
      <c r="BNC243" s="7"/>
      <c r="BND243" s="7"/>
      <c r="BNE243" s="7"/>
      <c r="BNF243" s="7"/>
      <c r="BNG243" s="7"/>
      <c r="BNH243" s="7"/>
      <c r="BNI243" s="7"/>
      <c r="BNJ243" s="7"/>
      <c r="BNK243" s="7"/>
      <c r="BNL243" s="7"/>
      <c r="BNM243" s="7"/>
      <c r="BNN243" s="7"/>
      <c r="BNO243" s="7"/>
      <c r="BNP243" s="7"/>
      <c r="BNQ243" s="7"/>
      <c r="BNR243" s="7"/>
      <c r="BNS243" s="7"/>
      <c r="BNT243" s="7"/>
      <c r="BNU243" s="7"/>
      <c r="BNV243" s="7"/>
      <c r="BNW243" s="7"/>
      <c r="BNX243" s="7"/>
      <c r="BNY243" s="7"/>
      <c r="BNZ243" s="7"/>
      <c r="BOA243" s="7"/>
      <c r="BOB243" s="7"/>
      <c r="BOC243" s="7"/>
      <c r="BOD243" s="7"/>
      <c r="BOE243" s="7"/>
      <c r="BOF243" s="7"/>
      <c r="BOG243" s="7"/>
      <c r="BOH243" s="7"/>
      <c r="BOI243" s="7"/>
      <c r="BOJ243" s="7"/>
      <c r="BOK243" s="7"/>
      <c r="BOL243" s="7"/>
      <c r="BOM243" s="7"/>
      <c r="BON243" s="7"/>
      <c r="BOO243" s="7"/>
      <c r="BOP243" s="7"/>
      <c r="BOQ243" s="7"/>
      <c r="BOR243" s="7"/>
      <c r="BOS243" s="7"/>
      <c r="BOT243" s="7"/>
      <c r="BOU243" s="7"/>
      <c r="BOV243" s="7"/>
      <c r="BOW243" s="7"/>
      <c r="BOX243" s="7"/>
      <c r="BOY243" s="7"/>
      <c r="BOZ243" s="7"/>
      <c r="BPA243" s="7"/>
      <c r="BPB243" s="7"/>
      <c r="BPC243" s="7"/>
      <c r="BPD243" s="7"/>
      <c r="BPE243" s="7"/>
      <c r="BPF243" s="7"/>
      <c r="BPG243" s="7"/>
      <c r="BPH243" s="7"/>
      <c r="BPI243" s="7"/>
      <c r="BPJ243" s="7"/>
      <c r="BPK243" s="7"/>
      <c r="BPL243" s="7"/>
      <c r="BPM243" s="7"/>
      <c r="BPN243" s="7"/>
      <c r="BPO243" s="7"/>
      <c r="BPP243" s="7"/>
      <c r="BPQ243" s="7"/>
      <c r="BPR243" s="7"/>
      <c r="BPS243" s="7"/>
      <c r="BPT243" s="7"/>
      <c r="BPU243" s="7"/>
      <c r="BPV243" s="7"/>
      <c r="BPW243" s="7"/>
      <c r="BPX243" s="7"/>
      <c r="BPY243" s="7"/>
      <c r="BPZ243" s="7"/>
      <c r="BQA243" s="7"/>
      <c r="BQB243" s="7"/>
      <c r="BQC243" s="7"/>
      <c r="BQD243" s="7"/>
      <c r="BQE243" s="7"/>
      <c r="BQF243" s="7"/>
      <c r="BQG243" s="7"/>
      <c r="BQH243" s="7"/>
      <c r="BQI243" s="7"/>
      <c r="BQJ243" s="7"/>
      <c r="BQK243" s="7"/>
      <c r="BQL243" s="7"/>
      <c r="BQM243" s="7"/>
      <c r="BQN243" s="7"/>
      <c r="BQO243" s="7"/>
      <c r="BQP243" s="7"/>
      <c r="BQQ243" s="7"/>
      <c r="BQR243" s="7"/>
      <c r="BQS243" s="7"/>
      <c r="BQT243" s="7"/>
      <c r="BQU243" s="7"/>
      <c r="BQV243" s="7"/>
      <c r="BQW243" s="7"/>
      <c r="BQX243" s="7"/>
      <c r="BQY243" s="7"/>
      <c r="BQZ243" s="7"/>
      <c r="BRA243" s="7"/>
      <c r="BRB243" s="7"/>
      <c r="BRC243" s="7"/>
      <c r="BRD243" s="7"/>
      <c r="BRE243" s="7"/>
      <c r="BRF243" s="7"/>
      <c r="BRG243" s="7"/>
      <c r="BRH243" s="7"/>
      <c r="BRI243" s="7"/>
      <c r="BRJ243" s="7"/>
      <c r="BRK243" s="7"/>
      <c r="BRL243" s="7"/>
      <c r="BRM243" s="7"/>
      <c r="BRN243" s="7"/>
      <c r="BRO243" s="7"/>
      <c r="BRP243" s="7"/>
      <c r="BRQ243" s="7"/>
      <c r="BRR243" s="7"/>
      <c r="BRS243" s="7"/>
      <c r="BRT243" s="7"/>
      <c r="BRU243" s="7"/>
      <c r="BRV243" s="7"/>
      <c r="BRW243" s="7"/>
      <c r="BRX243" s="7"/>
      <c r="BRY243" s="7"/>
      <c r="BRZ243" s="7"/>
      <c r="BSA243" s="7"/>
      <c r="BSB243" s="7"/>
      <c r="BSC243" s="7"/>
      <c r="BSD243" s="7"/>
      <c r="BSE243" s="7"/>
      <c r="BSF243" s="7"/>
      <c r="BSG243" s="7"/>
      <c r="BSH243" s="7"/>
      <c r="BSI243" s="7"/>
      <c r="BSJ243" s="7"/>
      <c r="BSK243" s="7"/>
      <c r="BSL243" s="7"/>
      <c r="BSM243" s="7"/>
      <c r="BSN243" s="7"/>
      <c r="BSO243" s="7"/>
      <c r="BSP243" s="7"/>
      <c r="BSQ243" s="7"/>
      <c r="BSR243" s="7"/>
      <c r="BSS243" s="7"/>
      <c r="BST243" s="7"/>
      <c r="BSU243" s="7"/>
      <c r="BSV243" s="7"/>
      <c r="BSW243" s="7"/>
      <c r="BSX243" s="7"/>
      <c r="BSY243" s="7"/>
      <c r="BSZ243" s="7"/>
      <c r="BTA243" s="7"/>
      <c r="BTB243" s="7"/>
      <c r="BTC243" s="7"/>
      <c r="BTD243" s="7"/>
      <c r="BTE243" s="7"/>
      <c r="BTF243" s="7"/>
      <c r="BTG243" s="7"/>
      <c r="BTH243" s="7"/>
      <c r="BTI243" s="7"/>
      <c r="BTJ243" s="7"/>
      <c r="BTK243" s="7"/>
      <c r="BTL243" s="7"/>
      <c r="BTM243" s="7"/>
      <c r="BTN243" s="7"/>
      <c r="BTO243" s="7"/>
      <c r="BTP243" s="7"/>
      <c r="BTQ243" s="7"/>
      <c r="BTR243" s="7"/>
      <c r="BTS243" s="7"/>
      <c r="BTT243" s="7"/>
      <c r="BTU243" s="7"/>
      <c r="BTV243" s="7"/>
      <c r="BTW243" s="7"/>
      <c r="BTX243" s="7"/>
      <c r="BTY243" s="7"/>
      <c r="BTZ243" s="7"/>
      <c r="BUA243" s="7"/>
      <c r="BUB243" s="7"/>
      <c r="BUC243" s="7"/>
      <c r="BUD243" s="7"/>
      <c r="BUE243" s="7"/>
      <c r="BUF243" s="7"/>
      <c r="BUG243" s="7"/>
      <c r="BUH243" s="7"/>
      <c r="BUI243" s="7"/>
      <c r="BUJ243" s="7"/>
      <c r="BUK243" s="7"/>
      <c r="BUL243" s="7"/>
      <c r="BUM243" s="7"/>
      <c r="BUN243" s="7"/>
      <c r="BUO243" s="7"/>
      <c r="BUP243" s="7"/>
      <c r="BUQ243" s="7"/>
      <c r="BUR243" s="7"/>
      <c r="BUS243" s="7"/>
      <c r="BUT243" s="7"/>
      <c r="BUU243" s="7"/>
      <c r="BUV243" s="7"/>
      <c r="BUW243" s="7"/>
      <c r="BUX243" s="7"/>
      <c r="BUY243" s="7"/>
      <c r="BUZ243" s="7"/>
      <c r="BVA243" s="7"/>
      <c r="BVB243" s="7"/>
      <c r="BVC243" s="7"/>
      <c r="BVD243" s="7"/>
      <c r="BVE243" s="7"/>
      <c r="BVF243" s="7"/>
      <c r="BVG243" s="7"/>
      <c r="BVH243" s="7"/>
      <c r="BVI243" s="7"/>
      <c r="BVJ243" s="7"/>
      <c r="BVK243" s="7"/>
      <c r="BVL243" s="7"/>
      <c r="BVM243" s="7"/>
      <c r="BVN243" s="7"/>
      <c r="BVO243" s="7"/>
      <c r="BVP243" s="7"/>
      <c r="BVQ243" s="7"/>
      <c r="BVR243" s="7"/>
      <c r="BVS243" s="7"/>
      <c r="BVT243" s="7"/>
      <c r="BVU243" s="7"/>
      <c r="BVV243" s="7"/>
      <c r="BVW243" s="7"/>
      <c r="BVX243" s="7"/>
      <c r="BVY243" s="7"/>
      <c r="BVZ243" s="7"/>
      <c r="BWA243" s="7"/>
      <c r="BWB243" s="7"/>
      <c r="BWC243" s="7"/>
      <c r="BWD243" s="7"/>
      <c r="BWE243" s="7"/>
      <c r="BWF243" s="7"/>
      <c r="BWG243" s="7"/>
      <c r="BWH243" s="7"/>
      <c r="BWI243" s="7"/>
      <c r="BWJ243" s="7"/>
      <c r="BWK243" s="7"/>
      <c r="BWL243" s="7"/>
      <c r="BWM243" s="7"/>
      <c r="BWN243" s="7"/>
      <c r="BWO243" s="7"/>
      <c r="BWP243" s="7"/>
      <c r="BWQ243" s="7"/>
      <c r="BWR243" s="7"/>
      <c r="BWS243" s="7"/>
      <c r="BWT243" s="7"/>
      <c r="BWU243" s="7"/>
      <c r="BWV243" s="7"/>
      <c r="BWW243" s="7"/>
      <c r="BWX243" s="7"/>
      <c r="BWY243" s="7"/>
      <c r="BWZ243" s="7"/>
      <c r="BXA243" s="7"/>
      <c r="BXB243" s="7"/>
      <c r="BXC243" s="7"/>
      <c r="BXD243" s="7"/>
      <c r="BXE243" s="7"/>
      <c r="BXF243" s="7"/>
      <c r="BXG243" s="7"/>
      <c r="BXH243" s="7"/>
      <c r="BXI243" s="7"/>
      <c r="BXJ243" s="7"/>
      <c r="BXK243" s="7"/>
      <c r="BXL243" s="7"/>
      <c r="BXM243" s="7"/>
      <c r="BXN243" s="7"/>
      <c r="BXO243" s="7"/>
      <c r="BXP243" s="7"/>
      <c r="BXQ243" s="7"/>
      <c r="BXR243" s="7"/>
      <c r="BXS243" s="7"/>
      <c r="BXT243" s="7"/>
      <c r="BXU243" s="7"/>
      <c r="BXV243" s="7"/>
      <c r="BXW243" s="7"/>
      <c r="BXX243" s="7"/>
      <c r="BXY243" s="7"/>
      <c r="BXZ243" s="7"/>
      <c r="BYA243" s="7"/>
      <c r="BYB243" s="7"/>
      <c r="BYC243" s="7"/>
      <c r="BYD243" s="7"/>
      <c r="BYE243" s="7"/>
      <c r="BYF243" s="7"/>
      <c r="BYG243" s="7"/>
      <c r="BYH243" s="7"/>
      <c r="BYI243" s="7"/>
      <c r="BYJ243" s="7"/>
      <c r="BYK243" s="7"/>
      <c r="BYL243" s="7"/>
      <c r="BYM243" s="7"/>
      <c r="BYN243" s="7"/>
      <c r="BYO243" s="7"/>
      <c r="BYP243" s="7"/>
      <c r="BYQ243" s="7"/>
      <c r="BYR243" s="7"/>
      <c r="BYS243" s="7"/>
      <c r="BYT243" s="7"/>
      <c r="BYU243" s="7"/>
      <c r="BYV243" s="7"/>
      <c r="BYW243" s="7"/>
      <c r="BYX243" s="7"/>
      <c r="BYY243" s="7"/>
      <c r="BYZ243" s="7"/>
      <c r="BZA243" s="7"/>
      <c r="BZB243" s="7"/>
      <c r="BZC243" s="7"/>
      <c r="BZD243" s="7"/>
      <c r="BZE243" s="7"/>
      <c r="BZF243" s="7"/>
      <c r="BZG243" s="7"/>
      <c r="BZH243" s="7"/>
      <c r="BZI243" s="7"/>
      <c r="BZJ243" s="7"/>
      <c r="BZK243" s="7"/>
      <c r="BZL243" s="7"/>
      <c r="BZM243" s="7"/>
      <c r="BZN243" s="7"/>
      <c r="BZO243" s="7"/>
      <c r="BZP243" s="7"/>
      <c r="BZQ243" s="7"/>
      <c r="BZR243" s="7"/>
      <c r="BZS243" s="7"/>
      <c r="BZT243" s="7"/>
      <c r="BZU243" s="7"/>
      <c r="BZV243" s="7"/>
      <c r="BZW243" s="7"/>
      <c r="BZX243" s="7"/>
      <c r="BZY243" s="7"/>
      <c r="BZZ243" s="7"/>
      <c r="CAA243" s="7"/>
      <c r="CAB243" s="7"/>
      <c r="CAC243" s="7"/>
      <c r="CAD243" s="7"/>
      <c r="CAE243" s="7"/>
      <c r="CAF243" s="7"/>
      <c r="CAG243" s="7"/>
      <c r="CAH243" s="7"/>
      <c r="CAI243" s="7"/>
      <c r="CAJ243" s="7"/>
      <c r="CAK243" s="7"/>
      <c r="CAL243" s="7"/>
      <c r="CAM243" s="7"/>
      <c r="CAN243" s="7"/>
      <c r="CAO243" s="7"/>
      <c r="CAP243" s="7"/>
      <c r="CAQ243" s="7"/>
      <c r="CAR243" s="7"/>
      <c r="CAS243" s="7"/>
      <c r="CAT243" s="7"/>
      <c r="CAU243" s="7"/>
      <c r="CAV243" s="7"/>
      <c r="CAW243" s="7"/>
      <c r="CAX243" s="7"/>
      <c r="CAY243" s="7"/>
      <c r="CAZ243" s="7"/>
      <c r="CBA243" s="7"/>
      <c r="CBB243" s="7"/>
      <c r="CBC243" s="7"/>
      <c r="CBD243" s="7"/>
      <c r="CBE243" s="7"/>
      <c r="CBF243" s="7"/>
      <c r="CBG243" s="7"/>
      <c r="CBH243" s="7"/>
      <c r="CBI243" s="7"/>
      <c r="CBJ243" s="7"/>
      <c r="CBK243" s="7"/>
      <c r="CBL243" s="7"/>
      <c r="CBM243" s="7"/>
      <c r="CBN243" s="7"/>
      <c r="CBO243" s="7"/>
      <c r="CBP243" s="7"/>
      <c r="CBQ243" s="7"/>
      <c r="CBR243" s="7"/>
      <c r="CBS243" s="7"/>
      <c r="CBT243" s="7"/>
      <c r="CBU243" s="7"/>
      <c r="CBV243" s="7"/>
      <c r="CBW243" s="7"/>
      <c r="CBX243" s="7"/>
      <c r="CBY243" s="7"/>
      <c r="CBZ243" s="7"/>
      <c r="CCA243" s="7"/>
      <c r="CCB243" s="7"/>
      <c r="CCC243" s="7"/>
      <c r="CCD243" s="7"/>
      <c r="CCE243" s="7"/>
      <c r="CCF243" s="7"/>
      <c r="CCG243" s="7"/>
      <c r="CCH243" s="7"/>
      <c r="CCI243" s="7"/>
      <c r="CCJ243" s="7"/>
      <c r="CCK243" s="7"/>
      <c r="CCL243" s="7"/>
      <c r="CCM243" s="7"/>
      <c r="CCN243" s="7"/>
      <c r="CCO243" s="7"/>
      <c r="CCP243" s="7"/>
      <c r="CCQ243" s="7"/>
      <c r="CCR243" s="7"/>
      <c r="CCS243" s="7"/>
      <c r="CCT243" s="7"/>
      <c r="CCU243" s="7"/>
      <c r="CCV243" s="7"/>
      <c r="CCW243" s="7"/>
      <c r="CCX243" s="7"/>
      <c r="CCY243" s="7"/>
      <c r="CCZ243" s="7"/>
      <c r="CDA243" s="7"/>
      <c r="CDB243" s="7"/>
      <c r="CDC243" s="7"/>
      <c r="CDD243" s="7"/>
      <c r="CDE243" s="7"/>
      <c r="CDF243" s="7"/>
      <c r="CDG243" s="7"/>
      <c r="CDH243" s="7"/>
      <c r="CDI243" s="7"/>
      <c r="CDJ243" s="7"/>
      <c r="CDK243" s="7"/>
      <c r="CDL243" s="7"/>
      <c r="CDM243" s="7"/>
      <c r="CDN243" s="7"/>
      <c r="CDO243" s="7"/>
      <c r="CDP243" s="7"/>
      <c r="CDQ243" s="7"/>
      <c r="CDR243" s="7"/>
      <c r="CDS243" s="7"/>
      <c r="CDT243" s="7"/>
      <c r="CDU243" s="7"/>
      <c r="CDV243" s="7"/>
      <c r="CDW243" s="7"/>
      <c r="CDX243" s="7"/>
      <c r="CDY243" s="7"/>
      <c r="CDZ243" s="7"/>
      <c r="CEA243" s="7"/>
      <c r="CEB243" s="7"/>
      <c r="CEC243" s="7"/>
      <c r="CED243" s="7"/>
      <c r="CEE243" s="7"/>
      <c r="CEF243" s="7"/>
      <c r="CEG243" s="7"/>
      <c r="CEH243" s="7"/>
      <c r="CEI243" s="7"/>
      <c r="CEJ243" s="7"/>
      <c r="CEK243" s="7"/>
      <c r="CEL243" s="7"/>
      <c r="CEM243" s="7"/>
      <c r="CEN243" s="7"/>
      <c r="CEO243" s="7"/>
      <c r="CEP243" s="7"/>
      <c r="CEQ243" s="7"/>
      <c r="CER243" s="7"/>
      <c r="CES243" s="7"/>
      <c r="CET243" s="7"/>
      <c r="CEU243" s="7"/>
      <c r="CEV243" s="7"/>
      <c r="CEW243" s="7"/>
      <c r="CEX243" s="7"/>
      <c r="CEY243" s="7"/>
      <c r="CEZ243" s="7"/>
      <c r="CFA243" s="7"/>
      <c r="CFB243" s="7"/>
      <c r="CFC243" s="7"/>
      <c r="CFD243" s="7"/>
      <c r="CFE243" s="7"/>
      <c r="CFF243" s="7"/>
      <c r="CFG243" s="7"/>
      <c r="CFH243" s="7"/>
      <c r="CFI243" s="7"/>
      <c r="CFJ243" s="7"/>
      <c r="CFK243" s="7"/>
      <c r="CFL243" s="7"/>
      <c r="CFM243" s="7"/>
      <c r="CFN243" s="7"/>
      <c r="CFO243" s="7"/>
      <c r="CFP243" s="7"/>
      <c r="CFQ243" s="7"/>
      <c r="CFR243" s="7"/>
      <c r="CFS243" s="7"/>
      <c r="CFT243" s="7"/>
      <c r="CFU243" s="7"/>
      <c r="CFV243" s="7"/>
      <c r="CFW243" s="7"/>
      <c r="CFX243" s="7"/>
      <c r="CFY243" s="7"/>
      <c r="CFZ243" s="7"/>
      <c r="CGA243" s="7"/>
      <c r="CGB243" s="7"/>
      <c r="CGC243" s="7"/>
      <c r="CGD243" s="7"/>
      <c r="CGE243" s="7"/>
      <c r="CGF243" s="7"/>
      <c r="CGG243" s="7"/>
      <c r="CGH243" s="7"/>
      <c r="CGI243" s="7"/>
      <c r="CGJ243" s="7"/>
      <c r="CGK243" s="7"/>
      <c r="CGL243" s="7"/>
      <c r="CGM243" s="7"/>
      <c r="CGN243" s="7"/>
      <c r="CGO243" s="7"/>
      <c r="CGP243" s="7"/>
      <c r="CGQ243" s="7"/>
      <c r="CGR243" s="7"/>
      <c r="CGS243" s="7"/>
      <c r="CGT243" s="7"/>
      <c r="CGU243" s="7"/>
      <c r="CGV243" s="7"/>
      <c r="CGW243" s="7"/>
      <c r="CGX243" s="7"/>
      <c r="CGY243" s="7"/>
      <c r="CGZ243" s="7"/>
      <c r="CHA243" s="7"/>
      <c r="CHB243" s="7"/>
      <c r="CHC243" s="7"/>
      <c r="CHD243" s="7"/>
      <c r="CHE243" s="7"/>
      <c r="CHF243" s="7"/>
      <c r="CHG243" s="7"/>
      <c r="CHH243" s="7"/>
      <c r="CHI243" s="7"/>
      <c r="CHJ243" s="7"/>
      <c r="CHK243" s="7"/>
      <c r="CHL243" s="7"/>
      <c r="CHM243" s="7"/>
      <c r="CHN243" s="7"/>
      <c r="CHO243" s="7"/>
      <c r="CHP243" s="7"/>
      <c r="CHQ243" s="7"/>
      <c r="CHR243" s="7"/>
      <c r="CHS243" s="7"/>
      <c r="CHT243" s="7"/>
      <c r="CHU243" s="7"/>
      <c r="CHV243" s="7"/>
      <c r="CHW243" s="7"/>
      <c r="CHX243" s="7"/>
      <c r="CHY243" s="7"/>
      <c r="CHZ243" s="7"/>
      <c r="CIA243" s="7"/>
      <c r="CIB243" s="7"/>
      <c r="CIC243" s="7"/>
      <c r="CID243" s="7"/>
      <c r="CIE243" s="7"/>
      <c r="CIF243" s="7"/>
      <c r="CIG243" s="7"/>
      <c r="CIH243" s="7"/>
      <c r="CII243" s="7"/>
      <c r="CIJ243" s="7"/>
      <c r="CIK243" s="7"/>
      <c r="CIL243" s="7"/>
      <c r="CIM243" s="7"/>
      <c r="CIN243" s="7"/>
      <c r="CIO243" s="7"/>
      <c r="CIP243" s="7"/>
      <c r="CIQ243" s="7"/>
      <c r="CIR243" s="7"/>
      <c r="CIS243" s="7"/>
      <c r="CIT243" s="7"/>
      <c r="CIU243" s="7"/>
      <c r="CIV243" s="7"/>
      <c r="CIW243" s="7"/>
      <c r="CIX243" s="7"/>
      <c r="CIY243" s="7"/>
      <c r="CIZ243" s="7"/>
      <c r="CJA243" s="7"/>
      <c r="CJB243" s="7"/>
      <c r="CJC243" s="7"/>
      <c r="CJD243" s="7"/>
      <c r="CJE243" s="7"/>
      <c r="CJF243" s="7"/>
      <c r="CJG243" s="7"/>
      <c r="CJH243" s="7"/>
      <c r="CJI243" s="7"/>
      <c r="CJJ243" s="7"/>
      <c r="CJK243" s="7"/>
      <c r="CJL243" s="7"/>
      <c r="CJM243" s="7"/>
      <c r="CJN243" s="7"/>
      <c r="CJO243" s="7"/>
      <c r="CJP243" s="7"/>
      <c r="CJQ243" s="7"/>
      <c r="CJR243" s="7"/>
      <c r="CJS243" s="7"/>
      <c r="CJT243" s="7"/>
      <c r="CJU243" s="7"/>
      <c r="CJV243" s="7"/>
      <c r="CJW243" s="7"/>
      <c r="CJX243" s="7"/>
      <c r="CJY243" s="7"/>
      <c r="CJZ243" s="7"/>
      <c r="CKA243" s="7"/>
      <c r="CKB243" s="7"/>
      <c r="CKC243" s="7"/>
      <c r="CKD243" s="7"/>
      <c r="CKE243" s="7"/>
      <c r="CKF243" s="7"/>
      <c r="CKG243" s="7"/>
      <c r="CKH243" s="7"/>
      <c r="CKI243" s="7"/>
      <c r="CKJ243" s="7"/>
      <c r="CKK243" s="7"/>
      <c r="CKL243" s="7"/>
      <c r="CKM243" s="7"/>
      <c r="CKN243" s="7"/>
      <c r="CKO243" s="7"/>
      <c r="CKP243" s="7"/>
      <c r="CKQ243" s="7"/>
      <c r="CKR243" s="7"/>
      <c r="CKS243" s="7"/>
      <c r="CKT243" s="7"/>
      <c r="CKU243" s="7"/>
      <c r="CKV243" s="7"/>
      <c r="CKW243" s="7"/>
      <c r="CKX243" s="7"/>
      <c r="CKY243" s="7"/>
      <c r="CKZ243" s="7"/>
      <c r="CLA243" s="7"/>
      <c r="CLB243" s="7"/>
      <c r="CLC243" s="7"/>
      <c r="CLD243" s="7"/>
      <c r="CLE243" s="7"/>
      <c r="CLF243" s="7"/>
      <c r="CLG243" s="7"/>
      <c r="CLH243" s="7"/>
      <c r="CLI243" s="7"/>
      <c r="CLJ243" s="7"/>
      <c r="CLK243" s="7"/>
      <c r="CLL243" s="7"/>
      <c r="CLM243" s="7"/>
      <c r="CLN243" s="7"/>
      <c r="CLO243" s="7"/>
      <c r="CLP243" s="7"/>
      <c r="CLQ243" s="7"/>
      <c r="CLR243" s="7"/>
      <c r="CLS243" s="7"/>
      <c r="CLT243" s="7"/>
      <c r="CLU243" s="7"/>
      <c r="CLV243" s="7"/>
      <c r="CLW243" s="7"/>
      <c r="CLX243" s="7"/>
      <c r="CLY243" s="7"/>
      <c r="CLZ243" s="7"/>
      <c r="CMA243" s="7"/>
      <c r="CMB243" s="7"/>
      <c r="CMC243" s="7"/>
      <c r="CMD243" s="7"/>
      <c r="CME243" s="7"/>
      <c r="CMF243" s="7"/>
      <c r="CMG243" s="7"/>
      <c r="CMH243" s="7"/>
      <c r="CMI243" s="7"/>
      <c r="CMJ243" s="7"/>
      <c r="CMK243" s="7"/>
      <c r="CML243" s="7"/>
      <c r="CMM243" s="7"/>
      <c r="CMN243" s="7"/>
      <c r="CMO243" s="7"/>
      <c r="CMP243" s="7"/>
      <c r="CMQ243" s="7"/>
      <c r="CMR243" s="7"/>
      <c r="CMS243" s="7"/>
      <c r="CMT243" s="7"/>
      <c r="CMU243" s="7"/>
      <c r="CMV243" s="7"/>
      <c r="CMW243" s="7"/>
      <c r="CMX243" s="7"/>
      <c r="CMY243" s="7"/>
      <c r="CMZ243" s="7"/>
      <c r="CNA243" s="7"/>
      <c r="CNB243" s="7"/>
      <c r="CNC243" s="7"/>
      <c r="CND243" s="7"/>
      <c r="CNE243" s="7"/>
      <c r="CNF243" s="7"/>
      <c r="CNG243" s="7"/>
      <c r="CNH243" s="7"/>
      <c r="CNI243" s="7"/>
      <c r="CNJ243" s="7"/>
      <c r="CNK243" s="7"/>
      <c r="CNL243" s="7"/>
      <c r="CNM243" s="7"/>
      <c r="CNN243" s="7"/>
      <c r="CNO243" s="7"/>
      <c r="CNP243" s="7"/>
      <c r="CNQ243" s="7"/>
      <c r="CNR243" s="7"/>
      <c r="CNS243" s="7"/>
      <c r="CNT243" s="7"/>
      <c r="CNU243" s="7"/>
      <c r="CNV243" s="7"/>
      <c r="CNW243" s="7"/>
      <c r="CNX243" s="7"/>
      <c r="CNY243" s="7"/>
      <c r="CNZ243" s="7"/>
      <c r="COA243" s="7"/>
      <c r="COB243" s="7"/>
      <c r="COC243" s="7"/>
      <c r="COD243" s="7"/>
      <c r="COE243" s="7"/>
      <c r="COF243" s="7"/>
      <c r="COG243" s="7"/>
      <c r="COH243" s="7"/>
      <c r="COI243" s="7"/>
      <c r="COJ243" s="7"/>
      <c r="COK243" s="7"/>
      <c r="COL243" s="7"/>
      <c r="COM243" s="7"/>
      <c r="CON243" s="7"/>
      <c r="COO243" s="7"/>
      <c r="COP243" s="7"/>
      <c r="COQ243" s="7"/>
      <c r="COR243" s="7"/>
      <c r="COS243" s="7"/>
      <c r="COT243" s="7"/>
      <c r="COU243" s="7"/>
      <c r="COV243" s="7"/>
      <c r="COW243" s="7"/>
      <c r="COX243" s="7"/>
      <c r="COY243" s="7"/>
      <c r="COZ243" s="7"/>
      <c r="CPA243" s="7"/>
      <c r="CPB243" s="7"/>
      <c r="CPC243" s="7"/>
      <c r="CPD243" s="7"/>
      <c r="CPE243" s="7"/>
      <c r="CPF243" s="7"/>
      <c r="CPG243" s="7"/>
      <c r="CPH243" s="7"/>
      <c r="CPI243" s="7"/>
      <c r="CPJ243" s="7"/>
      <c r="CPK243" s="7"/>
      <c r="CPL243" s="7"/>
      <c r="CPM243" s="7"/>
      <c r="CPN243" s="7"/>
      <c r="CPO243" s="7"/>
      <c r="CPP243" s="7"/>
      <c r="CPQ243" s="7"/>
      <c r="CPR243" s="7"/>
      <c r="CPS243" s="7"/>
      <c r="CPT243" s="7"/>
      <c r="CPU243" s="7"/>
      <c r="CPV243" s="7"/>
      <c r="CPW243" s="7"/>
      <c r="CPX243" s="7"/>
      <c r="CPY243" s="7"/>
      <c r="CPZ243" s="7"/>
      <c r="CQA243" s="7"/>
      <c r="CQB243" s="7"/>
      <c r="CQC243" s="7"/>
      <c r="CQD243" s="7"/>
      <c r="CQE243" s="7"/>
      <c r="CQF243" s="7"/>
      <c r="CQG243" s="7"/>
      <c r="CQH243" s="7"/>
      <c r="CQI243" s="7"/>
      <c r="CQJ243" s="7"/>
      <c r="CQK243" s="7"/>
      <c r="CQL243" s="7"/>
      <c r="CQM243" s="7"/>
      <c r="CQN243" s="7"/>
      <c r="CQO243" s="7"/>
      <c r="CQP243" s="7"/>
      <c r="CQQ243" s="7"/>
      <c r="CQR243" s="7"/>
      <c r="CQS243" s="7"/>
      <c r="CQT243" s="7"/>
      <c r="CQU243" s="7"/>
      <c r="CQV243" s="7"/>
      <c r="CQW243" s="7"/>
      <c r="CQX243" s="7"/>
      <c r="CQY243" s="7"/>
      <c r="CQZ243" s="7"/>
      <c r="CRA243" s="7"/>
      <c r="CRB243" s="7"/>
      <c r="CRC243" s="7"/>
      <c r="CRD243" s="7"/>
      <c r="CRE243" s="7"/>
      <c r="CRF243" s="7"/>
      <c r="CRG243" s="7"/>
      <c r="CRH243" s="7"/>
      <c r="CRI243" s="7"/>
      <c r="CRJ243" s="7"/>
      <c r="CRK243" s="7"/>
      <c r="CRL243" s="7"/>
      <c r="CRM243" s="7"/>
      <c r="CRN243" s="7"/>
      <c r="CRO243" s="7"/>
      <c r="CRP243" s="7"/>
      <c r="CRQ243" s="7"/>
      <c r="CRR243" s="7"/>
      <c r="CRS243" s="7"/>
      <c r="CRT243" s="7"/>
      <c r="CRU243" s="7"/>
      <c r="CRV243" s="7"/>
      <c r="CRW243" s="7"/>
      <c r="CRX243" s="7"/>
      <c r="CRY243" s="7"/>
      <c r="CRZ243" s="7"/>
      <c r="CSA243" s="7"/>
      <c r="CSB243" s="7"/>
      <c r="CSC243" s="7"/>
      <c r="CSD243" s="7"/>
      <c r="CSE243" s="7"/>
      <c r="CSF243" s="7"/>
      <c r="CSG243" s="7"/>
      <c r="CSH243" s="7"/>
      <c r="CSI243" s="7"/>
      <c r="CSJ243" s="7"/>
      <c r="CSK243" s="7"/>
      <c r="CSL243" s="7"/>
      <c r="CSM243" s="7"/>
      <c r="CSN243" s="7"/>
      <c r="CSO243" s="7"/>
      <c r="CSP243" s="7"/>
      <c r="CSQ243" s="7"/>
      <c r="CSR243" s="7"/>
      <c r="CSS243" s="7"/>
      <c r="CST243" s="7"/>
      <c r="CSU243" s="7"/>
      <c r="CSV243" s="7"/>
      <c r="CSW243" s="7"/>
      <c r="CSX243" s="7"/>
      <c r="CSY243" s="7"/>
      <c r="CSZ243" s="7"/>
      <c r="CTA243" s="7"/>
      <c r="CTB243" s="7"/>
      <c r="CTC243" s="7"/>
      <c r="CTD243" s="7"/>
      <c r="CTE243" s="7"/>
      <c r="CTF243" s="7"/>
      <c r="CTG243" s="7"/>
      <c r="CTH243" s="7"/>
      <c r="CTI243" s="7"/>
      <c r="CTJ243" s="7"/>
      <c r="CTK243" s="7"/>
      <c r="CTL243" s="7"/>
      <c r="CTM243" s="7"/>
      <c r="CTN243" s="7"/>
      <c r="CTO243" s="7"/>
      <c r="CTP243" s="7"/>
      <c r="CTQ243" s="7"/>
      <c r="CTR243" s="7"/>
      <c r="CTS243" s="7"/>
      <c r="CTT243" s="7"/>
      <c r="CTU243" s="7"/>
      <c r="CTV243" s="7"/>
      <c r="CTW243" s="7"/>
      <c r="CTX243" s="7"/>
      <c r="CTY243" s="7"/>
      <c r="CTZ243" s="7"/>
      <c r="CUA243" s="7"/>
      <c r="CUB243" s="7"/>
      <c r="CUC243" s="7"/>
      <c r="CUD243" s="7"/>
      <c r="CUE243" s="7"/>
      <c r="CUF243" s="7"/>
      <c r="CUG243" s="7"/>
      <c r="CUH243" s="7"/>
      <c r="CUI243" s="7"/>
      <c r="CUJ243" s="7"/>
      <c r="CUK243" s="7"/>
      <c r="CUL243" s="7"/>
      <c r="CUM243" s="7"/>
      <c r="CUN243" s="7"/>
      <c r="CUO243" s="7"/>
      <c r="CUP243" s="7"/>
      <c r="CUQ243" s="7"/>
      <c r="CUR243" s="7"/>
      <c r="CUS243" s="7"/>
      <c r="CUT243" s="7"/>
      <c r="CUU243" s="7"/>
      <c r="CUV243" s="7"/>
      <c r="CUW243" s="7"/>
      <c r="CUX243" s="7"/>
      <c r="CUY243" s="7"/>
      <c r="CUZ243" s="7"/>
      <c r="CVA243" s="7"/>
      <c r="CVB243" s="7"/>
      <c r="CVC243" s="7"/>
      <c r="CVD243" s="7"/>
      <c r="CVE243" s="7"/>
      <c r="CVF243" s="7"/>
      <c r="CVG243" s="7"/>
      <c r="CVH243" s="7"/>
      <c r="CVI243" s="7"/>
      <c r="CVJ243" s="7"/>
      <c r="CVK243" s="7"/>
      <c r="CVL243" s="7"/>
      <c r="CVM243" s="7"/>
      <c r="CVN243" s="7"/>
      <c r="CVO243" s="7"/>
      <c r="CVP243" s="7"/>
      <c r="CVQ243" s="7"/>
      <c r="CVR243" s="7"/>
      <c r="CVS243" s="7"/>
      <c r="CVT243" s="7"/>
      <c r="CVU243" s="7"/>
      <c r="CVV243" s="7"/>
      <c r="CVW243" s="7"/>
      <c r="CVX243" s="7"/>
      <c r="CVY243" s="7"/>
      <c r="CVZ243" s="7"/>
      <c r="CWA243" s="7"/>
      <c r="CWB243" s="7"/>
      <c r="CWC243" s="7"/>
      <c r="CWD243" s="7"/>
      <c r="CWE243" s="7"/>
      <c r="CWF243" s="7"/>
      <c r="CWG243" s="7"/>
      <c r="CWH243" s="7"/>
      <c r="CWI243" s="7"/>
      <c r="CWJ243" s="7"/>
      <c r="CWK243" s="7"/>
      <c r="CWL243" s="7"/>
      <c r="CWM243" s="7"/>
      <c r="CWN243" s="7"/>
      <c r="CWO243" s="7"/>
      <c r="CWP243" s="7"/>
      <c r="CWQ243" s="7"/>
      <c r="CWR243" s="7"/>
      <c r="CWS243" s="7"/>
      <c r="CWT243" s="7"/>
      <c r="CWU243" s="7"/>
      <c r="CWV243" s="7"/>
      <c r="CWW243" s="7"/>
      <c r="CWX243" s="7"/>
      <c r="CWY243" s="7"/>
      <c r="CWZ243" s="7"/>
      <c r="CXA243" s="7"/>
      <c r="CXB243" s="7"/>
      <c r="CXC243" s="7"/>
      <c r="CXD243" s="7"/>
      <c r="CXE243" s="7"/>
      <c r="CXF243" s="7"/>
      <c r="CXG243" s="7"/>
      <c r="CXH243" s="7"/>
      <c r="CXI243" s="7"/>
      <c r="CXJ243" s="7"/>
      <c r="CXK243" s="7"/>
      <c r="CXL243" s="7"/>
      <c r="CXM243" s="7"/>
      <c r="CXN243" s="7"/>
      <c r="CXO243" s="7"/>
      <c r="CXP243" s="7"/>
      <c r="CXQ243" s="7"/>
      <c r="CXR243" s="7"/>
      <c r="CXS243" s="7"/>
      <c r="CXT243" s="7"/>
      <c r="CXU243" s="7"/>
      <c r="CXV243" s="7"/>
      <c r="CXW243" s="7"/>
      <c r="CXX243" s="7"/>
      <c r="CXY243" s="7"/>
      <c r="CXZ243" s="7"/>
      <c r="CYA243" s="7"/>
      <c r="CYB243" s="7"/>
      <c r="CYC243" s="7"/>
      <c r="CYD243" s="7"/>
      <c r="CYE243" s="7"/>
      <c r="CYF243" s="7"/>
      <c r="CYG243" s="7"/>
      <c r="CYH243" s="7"/>
      <c r="CYI243" s="7"/>
      <c r="CYJ243" s="7"/>
      <c r="CYK243" s="7"/>
      <c r="CYL243" s="7"/>
      <c r="CYM243" s="7"/>
      <c r="CYN243" s="7"/>
      <c r="CYO243" s="7"/>
      <c r="CYP243" s="7"/>
      <c r="CYQ243" s="7"/>
      <c r="CYR243" s="7"/>
      <c r="CYS243" s="7"/>
      <c r="CYT243" s="7"/>
      <c r="CYU243" s="7"/>
      <c r="CYV243" s="7"/>
      <c r="CYW243" s="7"/>
      <c r="CYX243" s="7"/>
      <c r="CYY243" s="7"/>
      <c r="CYZ243" s="7"/>
      <c r="CZA243" s="7"/>
      <c r="CZB243" s="7"/>
      <c r="CZC243" s="7"/>
      <c r="CZD243" s="7"/>
      <c r="CZE243" s="7"/>
      <c r="CZF243" s="7"/>
      <c r="CZG243" s="7"/>
      <c r="CZH243" s="7"/>
      <c r="CZI243" s="7"/>
      <c r="CZJ243" s="7"/>
      <c r="CZK243" s="7"/>
      <c r="CZL243" s="7"/>
      <c r="CZM243" s="7"/>
      <c r="CZN243" s="7"/>
      <c r="CZO243" s="7"/>
      <c r="CZP243" s="7"/>
      <c r="CZQ243" s="7"/>
      <c r="CZR243" s="7"/>
      <c r="CZS243" s="7"/>
      <c r="CZT243" s="7"/>
      <c r="CZU243" s="7"/>
      <c r="CZV243" s="7"/>
      <c r="CZW243" s="7"/>
      <c r="CZX243" s="7"/>
      <c r="CZY243" s="7"/>
      <c r="CZZ243" s="7"/>
      <c r="DAA243" s="7"/>
      <c r="DAB243" s="7"/>
      <c r="DAC243" s="7"/>
      <c r="DAD243" s="7"/>
      <c r="DAE243" s="7"/>
      <c r="DAF243" s="7"/>
      <c r="DAG243" s="7"/>
      <c r="DAH243" s="7"/>
      <c r="DAI243" s="7"/>
      <c r="DAJ243" s="7"/>
      <c r="DAK243" s="7"/>
      <c r="DAL243" s="7"/>
      <c r="DAM243" s="7"/>
      <c r="DAN243" s="7"/>
      <c r="DAO243" s="7"/>
      <c r="DAP243" s="7"/>
      <c r="DAQ243" s="7"/>
      <c r="DAR243" s="7"/>
      <c r="DAS243" s="7"/>
      <c r="DAT243" s="7"/>
      <c r="DAU243" s="7"/>
      <c r="DAV243" s="7"/>
      <c r="DAW243" s="7"/>
      <c r="DAX243" s="7"/>
      <c r="DAY243" s="7"/>
      <c r="DAZ243" s="7"/>
      <c r="DBA243" s="7"/>
      <c r="DBB243" s="7"/>
      <c r="DBC243" s="7"/>
      <c r="DBD243" s="7"/>
      <c r="DBE243" s="7"/>
      <c r="DBF243" s="7"/>
      <c r="DBG243" s="7"/>
      <c r="DBH243" s="7"/>
      <c r="DBI243" s="7"/>
      <c r="DBJ243" s="7"/>
      <c r="DBK243" s="7"/>
      <c r="DBL243" s="7"/>
      <c r="DBM243" s="7"/>
      <c r="DBN243" s="7"/>
      <c r="DBO243" s="7"/>
      <c r="DBP243" s="7"/>
      <c r="DBQ243" s="7"/>
      <c r="DBR243" s="7"/>
      <c r="DBS243" s="7"/>
      <c r="DBT243" s="7"/>
      <c r="DBU243" s="7"/>
      <c r="DBV243" s="7"/>
      <c r="DBW243" s="7"/>
      <c r="DBX243" s="7"/>
      <c r="DBY243" s="7"/>
      <c r="DBZ243" s="7"/>
      <c r="DCA243" s="7"/>
      <c r="DCB243" s="7"/>
      <c r="DCC243" s="7"/>
      <c r="DCD243" s="7"/>
      <c r="DCE243" s="7"/>
      <c r="DCF243" s="7"/>
      <c r="DCG243" s="7"/>
      <c r="DCH243" s="7"/>
      <c r="DCI243" s="7"/>
      <c r="DCJ243" s="7"/>
      <c r="DCK243" s="7"/>
      <c r="DCL243" s="7"/>
      <c r="DCM243" s="7"/>
      <c r="DCN243" s="7"/>
      <c r="DCO243" s="7"/>
      <c r="DCP243" s="7"/>
      <c r="DCQ243" s="7"/>
      <c r="DCR243" s="7"/>
      <c r="DCS243" s="7"/>
      <c r="DCT243" s="7"/>
      <c r="DCU243" s="7"/>
      <c r="DCV243" s="7"/>
      <c r="DCW243" s="7"/>
      <c r="DCX243" s="7"/>
      <c r="DCY243" s="7"/>
      <c r="DCZ243" s="7"/>
      <c r="DDA243" s="7"/>
      <c r="DDB243" s="7"/>
      <c r="DDC243" s="7"/>
      <c r="DDD243" s="7"/>
      <c r="DDE243" s="7"/>
      <c r="DDF243" s="7"/>
      <c r="DDG243" s="7"/>
      <c r="DDH243" s="7"/>
      <c r="DDI243" s="7"/>
      <c r="DDJ243" s="7"/>
      <c r="DDK243" s="7"/>
      <c r="DDL243" s="7"/>
      <c r="DDM243" s="7"/>
      <c r="DDN243" s="7"/>
      <c r="DDO243" s="7"/>
      <c r="DDP243" s="7"/>
      <c r="DDQ243" s="7"/>
      <c r="DDR243" s="7"/>
      <c r="DDS243" s="7"/>
      <c r="DDT243" s="7"/>
      <c r="DDU243" s="7"/>
      <c r="DDV243" s="7"/>
      <c r="DDW243" s="7"/>
      <c r="DDX243" s="7"/>
      <c r="DDY243" s="7"/>
      <c r="DDZ243" s="7"/>
      <c r="DEA243" s="7"/>
      <c r="DEB243" s="7"/>
      <c r="DEC243" s="7"/>
      <c r="DED243" s="7"/>
      <c r="DEE243" s="7"/>
      <c r="DEF243" s="7"/>
      <c r="DEG243" s="7"/>
      <c r="DEH243" s="7"/>
      <c r="DEI243" s="7"/>
      <c r="DEJ243" s="7"/>
      <c r="DEK243" s="7"/>
      <c r="DEL243" s="7"/>
      <c r="DEM243" s="7"/>
      <c r="DEN243" s="7"/>
      <c r="DEO243" s="7"/>
      <c r="DEP243" s="7"/>
      <c r="DEQ243" s="7"/>
      <c r="DER243" s="7"/>
      <c r="DES243" s="7"/>
      <c r="DET243" s="7"/>
      <c r="DEU243" s="7"/>
      <c r="DEV243" s="7"/>
      <c r="DEW243" s="7"/>
      <c r="DEX243" s="7"/>
      <c r="DEY243" s="7"/>
      <c r="DEZ243" s="7"/>
      <c r="DFA243" s="7"/>
      <c r="DFB243" s="7"/>
      <c r="DFC243" s="7"/>
      <c r="DFD243" s="7"/>
      <c r="DFE243" s="7"/>
      <c r="DFF243" s="7"/>
      <c r="DFG243" s="7"/>
      <c r="DFH243" s="7"/>
      <c r="DFI243" s="7"/>
      <c r="DFJ243" s="7"/>
      <c r="DFK243" s="7"/>
      <c r="DFL243" s="7"/>
      <c r="DFM243" s="7"/>
      <c r="DFN243" s="7"/>
      <c r="DFO243" s="7"/>
      <c r="DFP243" s="7"/>
      <c r="DFQ243" s="7"/>
      <c r="DFR243" s="7"/>
      <c r="DFS243" s="7"/>
      <c r="DFT243" s="7"/>
      <c r="DFU243" s="7"/>
      <c r="DFV243" s="7"/>
      <c r="DFW243" s="7"/>
      <c r="DFX243" s="7"/>
      <c r="DFY243" s="7"/>
      <c r="DFZ243" s="7"/>
      <c r="DGA243" s="7"/>
      <c r="DGB243" s="7"/>
      <c r="DGC243" s="7"/>
      <c r="DGD243" s="7"/>
      <c r="DGE243" s="7"/>
      <c r="DGF243" s="7"/>
      <c r="DGG243" s="7"/>
      <c r="DGH243" s="7"/>
      <c r="DGI243" s="7"/>
      <c r="DGJ243" s="7"/>
      <c r="DGK243" s="7"/>
      <c r="DGL243" s="7"/>
      <c r="DGM243" s="7"/>
      <c r="DGN243" s="7"/>
      <c r="DGO243" s="7"/>
      <c r="DGP243" s="7"/>
      <c r="DGQ243" s="7"/>
      <c r="DGR243" s="7"/>
      <c r="DGS243" s="7"/>
      <c r="DGT243" s="7"/>
      <c r="DGU243" s="7"/>
      <c r="DGV243" s="7"/>
      <c r="DGW243" s="7"/>
      <c r="DGX243" s="7"/>
      <c r="DGY243" s="7"/>
      <c r="DGZ243" s="7"/>
      <c r="DHA243" s="7"/>
      <c r="DHB243" s="7"/>
      <c r="DHC243" s="7"/>
      <c r="DHD243" s="7"/>
      <c r="DHE243" s="7"/>
      <c r="DHF243" s="7"/>
      <c r="DHG243" s="7"/>
      <c r="DHH243" s="7"/>
      <c r="DHI243" s="7"/>
      <c r="DHJ243" s="7"/>
      <c r="DHK243" s="7"/>
      <c r="DHL243" s="7"/>
      <c r="DHM243" s="7"/>
      <c r="DHN243" s="7"/>
      <c r="DHO243" s="7"/>
      <c r="DHP243" s="7"/>
      <c r="DHQ243" s="7"/>
      <c r="DHR243" s="7"/>
      <c r="DHS243" s="7"/>
      <c r="DHT243" s="7"/>
      <c r="DHU243" s="7"/>
      <c r="DHV243" s="7"/>
      <c r="DHW243" s="7"/>
      <c r="DHX243" s="7"/>
      <c r="DHY243" s="7"/>
      <c r="DHZ243" s="7"/>
      <c r="DIA243" s="7"/>
      <c r="DIB243" s="7"/>
      <c r="DIC243" s="7"/>
      <c r="DID243" s="7"/>
      <c r="DIE243" s="7"/>
      <c r="DIF243" s="7"/>
      <c r="DIG243" s="7"/>
      <c r="DIH243" s="7"/>
      <c r="DII243" s="7"/>
      <c r="DIJ243" s="7"/>
      <c r="DIK243" s="7"/>
      <c r="DIL243" s="7"/>
      <c r="DIM243" s="7"/>
      <c r="DIN243" s="7"/>
      <c r="DIO243" s="7"/>
      <c r="DIP243" s="7"/>
      <c r="DIQ243" s="7"/>
      <c r="DIR243" s="7"/>
      <c r="DIS243" s="7"/>
      <c r="DIT243" s="7"/>
      <c r="DIU243" s="7"/>
      <c r="DIV243" s="7"/>
      <c r="DIW243" s="7"/>
      <c r="DIX243" s="7"/>
      <c r="DIY243" s="7"/>
      <c r="DIZ243" s="7"/>
      <c r="DJA243" s="7"/>
      <c r="DJB243" s="7"/>
      <c r="DJC243" s="7"/>
      <c r="DJD243" s="7"/>
      <c r="DJE243" s="7"/>
      <c r="DJF243" s="7"/>
      <c r="DJG243" s="7"/>
      <c r="DJH243" s="7"/>
      <c r="DJI243" s="7"/>
      <c r="DJJ243" s="7"/>
      <c r="DJK243" s="7"/>
      <c r="DJL243" s="7"/>
      <c r="DJM243" s="7"/>
      <c r="DJN243" s="7"/>
      <c r="DJO243" s="7"/>
      <c r="DJP243" s="7"/>
      <c r="DJQ243" s="7"/>
      <c r="DJR243" s="7"/>
      <c r="DJS243" s="7"/>
      <c r="DJT243" s="7"/>
      <c r="DJU243" s="7"/>
      <c r="DJV243" s="7"/>
      <c r="DJW243" s="7"/>
      <c r="DJX243" s="7"/>
      <c r="DJY243" s="7"/>
      <c r="DJZ243" s="7"/>
      <c r="DKA243" s="7"/>
      <c r="DKB243" s="7"/>
      <c r="DKC243" s="7"/>
      <c r="DKD243" s="7"/>
      <c r="DKE243" s="7"/>
      <c r="DKF243" s="7"/>
      <c r="DKG243" s="7"/>
      <c r="DKH243" s="7"/>
      <c r="DKI243" s="7"/>
      <c r="DKJ243" s="7"/>
      <c r="DKK243" s="7"/>
      <c r="DKL243" s="7"/>
      <c r="DKM243" s="7"/>
      <c r="DKN243" s="7"/>
      <c r="DKO243" s="7"/>
      <c r="DKP243" s="7"/>
      <c r="DKQ243" s="7"/>
      <c r="DKR243" s="7"/>
      <c r="DKS243" s="7"/>
      <c r="DKT243" s="7"/>
      <c r="DKU243" s="7"/>
      <c r="DKV243" s="7"/>
      <c r="DKW243" s="7"/>
      <c r="DKX243" s="7"/>
      <c r="DKY243" s="7"/>
      <c r="DKZ243" s="7"/>
      <c r="DLA243" s="7"/>
      <c r="DLB243" s="7"/>
      <c r="DLC243" s="7"/>
      <c r="DLD243" s="7"/>
      <c r="DLE243" s="7"/>
      <c r="DLF243" s="7"/>
      <c r="DLG243" s="7"/>
      <c r="DLH243" s="7"/>
      <c r="DLI243" s="7"/>
      <c r="DLJ243" s="7"/>
      <c r="DLK243" s="7"/>
      <c r="DLL243" s="7"/>
      <c r="DLM243" s="7"/>
      <c r="DLN243" s="7"/>
      <c r="DLO243" s="7"/>
      <c r="DLP243" s="7"/>
      <c r="DLQ243" s="7"/>
      <c r="DLR243" s="7"/>
      <c r="DLS243" s="7"/>
      <c r="DLT243" s="7"/>
      <c r="DLU243" s="7"/>
      <c r="DLV243" s="7"/>
      <c r="DLW243" s="7"/>
      <c r="DLX243" s="7"/>
      <c r="DLY243" s="7"/>
      <c r="DLZ243" s="7"/>
      <c r="DMA243" s="7"/>
      <c r="DMB243" s="7"/>
      <c r="DMC243" s="7"/>
      <c r="DMD243" s="7"/>
      <c r="DME243" s="7"/>
      <c r="DMF243" s="7"/>
      <c r="DMG243" s="7"/>
      <c r="DMH243" s="7"/>
      <c r="DMI243" s="7"/>
      <c r="DMJ243" s="7"/>
      <c r="DMK243" s="7"/>
      <c r="DML243" s="7"/>
      <c r="DMM243" s="7"/>
      <c r="DMN243" s="7"/>
      <c r="DMO243" s="7"/>
      <c r="DMP243" s="7"/>
      <c r="DMQ243" s="7"/>
      <c r="DMR243" s="7"/>
      <c r="DMS243" s="7"/>
      <c r="DMT243" s="7"/>
      <c r="DMU243" s="7"/>
      <c r="DMV243" s="7"/>
      <c r="DMW243" s="7"/>
      <c r="DMX243" s="7"/>
      <c r="DMY243" s="7"/>
      <c r="DMZ243" s="7"/>
      <c r="DNA243" s="7"/>
      <c r="DNB243" s="7"/>
      <c r="DNC243" s="7"/>
      <c r="DND243" s="7"/>
      <c r="DNE243" s="7"/>
      <c r="DNF243" s="7"/>
      <c r="DNG243" s="7"/>
      <c r="DNH243" s="7"/>
      <c r="DNI243" s="7"/>
      <c r="DNJ243" s="7"/>
      <c r="DNK243" s="7"/>
      <c r="DNL243" s="7"/>
      <c r="DNM243" s="7"/>
      <c r="DNN243" s="7"/>
      <c r="DNO243" s="7"/>
      <c r="DNP243" s="7"/>
      <c r="DNQ243" s="7"/>
      <c r="DNR243" s="7"/>
      <c r="DNS243" s="7"/>
      <c r="DNT243" s="7"/>
      <c r="DNU243" s="7"/>
      <c r="DNV243" s="7"/>
      <c r="DNW243" s="7"/>
      <c r="DNX243" s="7"/>
      <c r="DNY243" s="7"/>
      <c r="DNZ243" s="7"/>
      <c r="DOA243" s="7"/>
      <c r="DOB243" s="7"/>
      <c r="DOC243" s="7"/>
      <c r="DOD243" s="7"/>
      <c r="DOE243" s="7"/>
      <c r="DOF243" s="7"/>
      <c r="DOG243" s="7"/>
      <c r="DOH243" s="7"/>
      <c r="DOI243" s="7"/>
      <c r="DOJ243" s="7"/>
      <c r="DOK243" s="7"/>
      <c r="DOL243" s="7"/>
      <c r="DOM243" s="7"/>
      <c r="DON243" s="7"/>
      <c r="DOO243" s="7"/>
      <c r="DOP243" s="7"/>
      <c r="DOQ243" s="7"/>
      <c r="DOR243" s="7"/>
      <c r="DOS243" s="7"/>
      <c r="DOT243" s="7"/>
      <c r="DOU243" s="7"/>
      <c r="DOV243" s="7"/>
      <c r="DOW243" s="7"/>
      <c r="DOX243" s="7"/>
      <c r="DOY243" s="7"/>
      <c r="DOZ243" s="7"/>
      <c r="DPA243" s="7"/>
      <c r="DPB243" s="7"/>
      <c r="DPC243" s="7"/>
      <c r="DPD243" s="7"/>
      <c r="DPE243" s="7"/>
      <c r="DPF243" s="7"/>
      <c r="DPG243" s="7"/>
      <c r="DPH243" s="7"/>
      <c r="DPI243" s="7"/>
      <c r="DPJ243" s="7"/>
      <c r="DPK243" s="7"/>
      <c r="DPL243" s="7"/>
      <c r="DPM243" s="7"/>
      <c r="DPN243" s="7"/>
      <c r="DPO243" s="7"/>
      <c r="DPP243" s="7"/>
      <c r="DPQ243" s="7"/>
      <c r="DPR243" s="7"/>
      <c r="DPS243" s="7"/>
      <c r="DPT243" s="7"/>
      <c r="DPU243" s="7"/>
      <c r="DPV243" s="7"/>
      <c r="DPW243" s="7"/>
      <c r="DPX243" s="7"/>
      <c r="DPY243" s="7"/>
      <c r="DPZ243" s="7"/>
      <c r="DQA243" s="7"/>
      <c r="DQB243" s="7"/>
      <c r="DQC243" s="7"/>
      <c r="DQD243" s="7"/>
      <c r="DQE243" s="7"/>
      <c r="DQF243" s="7"/>
      <c r="DQG243" s="7"/>
      <c r="DQH243" s="7"/>
      <c r="DQI243" s="7"/>
      <c r="DQJ243" s="7"/>
      <c r="DQK243" s="7"/>
      <c r="DQL243" s="7"/>
      <c r="DQM243" s="7"/>
      <c r="DQN243" s="7"/>
      <c r="DQO243" s="7"/>
      <c r="DQP243" s="7"/>
      <c r="DQQ243" s="7"/>
      <c r="DQR243" s="7"/>
      <c r="DQS243" s="7"/>
      <c r="DQT243" s="7"/>
      <c r="DQU243" s="7"/>
      <c r="DQV243" s="7"/>
      <c r="DQW243" s="7"/>
      <c r="DQX243" s="7"/>
      <c r="DQY243" s="7"/>
      <c r="DQZ243" s="7"/>
      <c r="DRA243" s="7"/>
      <c r="DRB243" s="7"/>
      <c r="DRC243" s="7"/>
      <c r="DRD243" s="7"/>
      <c r="DRE243" s="7"/>
      <c r="DRF243" s="7"/>
      <c r="DRG243" s="7"/>
      <c r="DRH243" s="7"/>
      <c r="DRI243" s="7"/>
      <c r="DRJ243" s="7"/>
      <c r="DRK243" s="7"/>
      <c r="DRL243" s="7"/>
      <c r="DRM243" s="7"/>
      <c r="DRN243" s="7"/>
      <c r="DRO243" s="7"/>
      <c r="DRP243" s="7"/>
      <c r="DRQ243" s="7"/>
      <c r="DRR243" s="7"/>
      <c r="DRS243" s="7"/>
      <c r="DRT243" s="7"/>
      <c r="DRU243" s="7"/>
      <c r="DRV243" s="7"/>
      <c r="DRW243" s="7"/>
      <c r="DRX243" s="7"/>
      <c r="DRY243" s="7"/>
      <c r="DRZ243" s="7"/>
      <c r="DSA243" s="7"/>
      <c r="DSB243" s="7"/>
      <c r="DSC243" s="7"/>
      <c r="DSD243" s="7"/>
      <c r="DSE243" s="7"/>
      <c r="DSF243" s="7"/>
      <c r="DSG243" s="7"/>
      <c r="DSH243" s="7"/>
      <c r="DSI243" s="7"/>
      <c r="DSJ243" s="7"/>
      <c r="DSK243" s="7"/>
      <c r="DSL243" s="7"/>
      <c r="DSM243" s="7"/>
      <c r="DSN243" s="7"/>
      <c r="DSO243" s="7"/>
      <c r="DSP243" s="7"/>
      <c r="DSQ243" s="7"/>
      <c r="DSR243" s="7"/>
      <c r="DSS243" s="7"/>
      <c r="DST243" s="7"/>
      <c r="DSU243" s="7"/>
      <c r="DSV243" s="7"/>
      <c r="DSW243" s="7"/>
      <c r="DSX243" s="7"/>
      <c r="DSY243" s="7"/>
      <c r="DSZ243" s="7"/>
      <c r="DTA243" s="7"/>
      <c r="DTB243" s="7"/>
      <c r="DTC243" s="7"/>
      <c r="DTD243" s="7"/>
      <c r="DTE243" s="7"/>
      <c r="DTF243" s="7"/>
      <c r="DTG243" s="7"/>
      <c r="DTH243" s="7"/>
      <c r="DTI243" s="7"/>
      <c r="DTJ243" s="7"/>
      <c r="DTK243" s="7"/>
      <c r="DTL243" s="7"/>
      <c r="DTM243" s="7"/>
      <c r="DTN243" s="7"/>
      <c r="DTO243" s="7"/>
      <c r="DTP243" s="7"/>
      <c r="DTQ243" s="7"/>
      <c r="DTR243" s="7"/>
      <c r="DTS243" s="7"/>
      <c r="DTT243" s="7"/>
      <c r="DTU243" s="7"/>
      <c r="DTV243" s="7"/>
      <c r="DTW243" s="7"/>
      <c r="DTX243" s="7"/>
      <c r="DTY243" s="7"/>
      <c r="DTZ243" s="7"/>
      <c r="DUA243" s="7"/>
      <c r="DUB243" s="7"/>
      <c r="DUC243" s="7"/>
      <c r="DUD243" s="7"/>
      <c r="DUE243" s="7"/>
      <c r="DUF243" s="7"/>
      <c r="DUG243" s="7"/>
      <c r="DUH243" s="7"/>
      <c r="DUI243" s="7"/>
      <c r="DUJ243" s="7"/>
      <c r="DUK243" s="7"/>
      <c r="DUL243" s="7"/>
      <c r="DUM243" s="7"/>
      <c r="DUN243" s="7"/>
      <c r="DUO243" s="7"/>
      <c r="DUP243" s="7"/>
      <c r="DUQ243" s="7"/>
      <c r="DUR243" s="7"/>
      <c r="DUS243" s="7"/>
      <c r="DUT243" s="7"/>
      <c r="DUU243" s="7"/>
      <c r="DUV243" s="7"/>
      <c r="DUW243" s="7"/>
      <c r="DUX243" s="7"/>
      <c r="DUY243" s="7"/>
      <c r="DUZ243" s="7"/>
      <c r="DVA243" s="7"/>
      <c r="DVB243" s="7"/>
      <c r="DVC243" s="7"/>
      <c r="DVD243" s="7"/>
      <c r="DVE243" s="7"/>
      <c r="DVF243" s="7"/>
      <c r="DVG243" s="7"/>
      <c r="DVH243" s="7"/>
      <c r="DVI243" s="7"/>
      <c r="DVJ243" s="7"/>
      <c r="DVK243" s="7"/>
      <c r="DVL243" s="7"/>
      <c r="DVM243" s="7"/>
      <c r="DVN243" s="7"/>
      <c r="DVO243" s="7"/>
      <c r="DVP243" s="7"/>
      <c r="DVQ243" s="7"/>
      <c r="DVR243" s="7"/>
      <c r="DVS243" s="7"/>
      <c r="DVT243" s="7"/>
      <c r="DVU243" s="7"/>
      <c r="DVV243" s="7"/>
      <c r="DVW243" s="7"/>
      <c r="DVX243" s="7"/>
      <c r="DVY243" s="7"/>
      <c r="DVZ243" s="7"/>
      <c r="DWA243" s="7"/>
      <c r="DWB243" s="7"/>
      <c r="DWC243" s="7"/>
      <c r="DWD243" s="7"/>
      <c r="DWE243" s="7"/>
      <c r="DWF243" s="7"/>
      <c r="DWG243" s="7"/>
      <c r="DWH243" s="7"/>
      <c r="DWI243" s="7"/>
      <c r="DWJ243" s="7"/>
      <c r="DWK243" s="7"/>
      <c r="DWL243" s="7"/>
      <c r="DWM243" s="7"/>
      <c r="DWN243" s="7"/>
      <c r="DWO243" s="7"/>
      <c r="DWP243" s="7"/>
      <c r="DWQ243" s="7"/>
      <c r="DWR243" s="7"/>
      <c r="DWS243" s="7"/>
      <c r="DWT243" s="7"/>
      <c r="DWU243" s="7"/>
      <c r="DWV243" s="7"/>
      <c r="DWW243" s="7"/>
      <c r="DWX243" s="7"/>
      <c r="DWY243" s="7"/>
      <c r="DWZ243" s="7"/>
      <c r="DXA243" s="7"/>
      <c r="DXB243" s="7"/>
      <c r="DXC243" s="7"/>
      <c r="DXD243" s="7"/>
      <c r="DXE243" s="7"/>
      <c r="DXF243" s="7"/>
      <c r="DXG243" s="7"/>
      <c r="DXH243" s="7"/>
      <c r="DXI243" s="7"/>
      <c r="DXJ243" s="7"/>
      <c r="DXK243" s="7"/>
      <c r="DXL243" s="7"/>
      <c r="DXM243" s="7"/>
      <c r="DXN243" s="7"/>
      <c r="DXO243" s="7"/>
      <c r="DXP243" s="7"/>
      <c r="DXQ243" s="7"/>
      <c r="DXR243" s="7"/>
      <c r="DXS243" s="7"/>
      <c r="DXT243" s="7"/>
      <c r="DXU243" s="7"/>
      <c r="DXV243" s="7"/>
      <c r="DXW243" s="7"/>
      <c r="DXX243" s="7"/>
      <c r="DXY243" s="7"/>
      <c r="DXZ243" s="7"/>
      <c r="DYA243" s="7"/>
      <c r="DYB243" s="7"/>
      <c r="DYC243" s="7"/>
      <c r="DYD243" s="7"/>
      <c r="DYE243" s="7"/>
      <c r="DYF243" s="7"/>
      <c r="DYG243" s="7"/>
      <c r="DYH243" s="7"/>
      <c r="DYI243" s="7"/>
      <c r="DYJ243" s="7"/>
      <c r="DYK243" s="7"/>
      <c r="DYL243" s="7"/>
      <c r="DYM243" s="7"/>
      <c r="DYN243" s="7"/>
      <c r="DYO243" s="7"/>
      <c r="DYP243" s="7"/>
      <c r="DYQ243" s="7"/>
      <c r="DYR243" s="7"/>
      <c r="DYS243" s="7"/>
      <c r="DYT243" s="7"/>
      <c r="DYU243" s="7"/>
      <c r="DYV243" s="7"/>
      <c r="DYW243" s="7"/>
      <c r="DYX243" s="7"/>
      <c r="DYY243" s="7"/>
      <c r="DYZ243" s="7"/>
      <c r="DZA243" s="7"/>
      <c r="DZB243" s="7"/>
      <c r="DZC243" s="7"/>
      <c r="DZD243" s="7"/>
      <c r="DZE243" s="7"/>
      <c r="DZF243" s="7"/>
      <c r="DZG243" s="7"/>
      <c r="DZH243" s="7"/>
      <c r="DZI243" s="7"/>
      <c r="DZJ243" s="7"/>
      <c r="DZK243" s="7"/>
      <c r="DZL243" s="7"/>
      <c r="DZM243" s="7"/>
      <c r="DZN243" s="7"/>
      <c r="DZO243" s="7"/>
      <c r="DZP243" s="7"/>
      <c r="DZQ243" s="7"/>
      <c r="DZR243" s="7"/>
      <c r="DZS243" s="7"/>
      <c r="DZT243" s="7"/>
      <c r="DZU243" s="7"/>
      <c r="DZV243" s="7"/>
      <c r="DZW243" s="7"/>
      <c r="DZX243" s="7"/>
      <c r="DZY243" s="7"/>
      <c r="DZZ243" s="7"/>
      <c r="EAA243" s="7"/>
      <c r="EAB243" s="7"/>
      <c r="EAC243" s="7"/>
      <c r="EAD243" s="7"/>
      <c r="EAE243" s="7"/>
      <c r="EAF243" s="7"/>
      <c r="EAG243" s="7"/>
      <c r="EAH243" s="7"/>
      <c r="EAI243" s="7"/>
      <c r="EAJ243" s="7"/>
      <c r="EAK243" s="7"/>
      <c r="EAL243" s="7"/>
      <c r="EAM243" s="7"/>
      <c r="EAN243" s="7"/>
      <c r="EAO243" s="7"/>
      <c r="EAP243" s="7"/>
      <c r="EAQ243" s="7"/>
      <c r="EAR243" s="7"/>
      <c r="EAS243" s="7"/>
      <c r="EAT243" s="7"/>
      <c r="EAU243" s="7"/>
      <c r="EAV243" s="7"/>
      <c r="EAW243" s="7"/>
      <c r="EAX243" s="7"/>
      <c r="EAY243" s="7"/>
      <c r="EAZ243" s="7"/>
      <c r="EBA243" s="7"/>
      <c r="EBB243" s="7"/>
      <c r="EBC243" s="7"/>
      <c r="EBD243" s="7"/>
      <c r="EBE243" s="7"/>
      <c r="EBF243" s="7"/>
      <c r="EBG243" s="7"/>
      <c r="EBH243" s="7"/>
      <c r="EBI243" s="7"/>
      <c r="EBJ243" s="7"/>
      <c r="EBK243" s="7"/>
      <c r="EBL243" s="7"/>
      <c r="EBM243" s="7"/>
      <c r="EBN243" s="7"/>
      <c r="EBO243" s="7"/>
      <c r="EBP243" s="7"/>
      <c r="EBQ243" s="7"/>
      <c r="EBR243" s="7"/>
      <c r="EBS243" s="7"/>
      <c r="EBT243" s="7"/>
      <c r="EBU243" s="7"/>
      <c r="EBV243" s="7"/>
      <c r="EBW243" s="7"/>
      <c r="EBX243" s="7"/>
      <c r="EBY243" s="7"/>
      <c r="EBZ243" s="7"/>
      <c r="ECA243" s="7"/>
      <c r="ECB243" s="7"/>
      <c r="ECC243" s="7"/>
      <c r="ECD243" s="7"/>
      <c r="ECE243" s="7"/>
      <c r="ECF243" s="7"/>
      <c r="ECG243" s="7"/>
      <c r="ECH243" s="7"/>
      <c r="ECI243" s="7"/>
      <c r="ECJ243" s="7"/>
      <c r="ECK243" s="7"/>
      <c r="ECL243" s="7"/>
      <c r="ECM243" s="7"/>
      <c r="ECN243" s="7"/>
      <c r="ECO243" s="7"/>
      <c r="ECP243" s="7"/>
      <c r="ECQ243" s="7"/>
      <c r="ECR243" s="7"/>
      <c r="ECS243" s="7"/>
      <c r="ECT243" s="7"/>
      <c r="ECU243" s="7"/>
      <c r="ECV243" s="7"/>
      <c r="ECW243" s="7"/>
      <c r="ECX243" s="7"/>
      <c r="ECY243" s="7"/>
      <c r="ECZ243" s="7"/>
      <c r="EDA243" s="7"/>
      <c r="EDB243" s="7"/>
      <c r="EDC243" s="7"/>
      <c r="EDD243" s="7"/>
      <c r="EDE243" s="7"/>
      <c r="EDF243" s="7"/>
      <c r="EDG243" s="7"/>
      <c r="EDH243" s="7"/>
      <c r="EDI243" s="7"/>
      <c r="EDJ243" s="7"/>
      <c r="EDK243" s="7"/>
      <c r="EDL243" s="7"/>
      <c r="EDM243" s="7"/>
      <c r="EDN243" s="7"/>
      <c r="EDO243" s="7"/>
      <c r="EDP243" s="7"/>
      <c r="EDQ243" s="7"/>
      <c r="EDR243" s="7"/>
      <c r="EDS243" s="7"/>
      <c r="EDT243" s="7"/>
      <c r="EDU243" s="7"/>
      <c r="EDV243" s="7"/>
      <c r="EDW243" s="7"/>
      <c r="EDX243" s="7"/>
      <c r="EDY243" s="7"/>
      <c r="EDZ243" s="7"/>
      <c r="EEA243" s="7"/>
      <c r="EEB243" s="7"/>
      <c r="EEC243" s="7"/>
      <c r="EED243" s="7"/>
      <c r="EEE243" s="7"/>
      <c r="EEF243" s="7"/>
      <c r="EEG243" s="7"/>
      <c r="EEH243" s="7"/>
      <c r="EEI243" s="7"/>
      <c r="EEJ243" s="7"/>
      <c r="EEK243" s="7"/>
      <c r="EEL243" s="7"/>
      <c r="EEM243" s="7"/>
      <c r="EEN243" s="7"/>
      <c r="EEO243" s="7"/>
      <c r="EEP243" s="7"/>
      <c r="EEQ243" s="7"/>
      <c r="EER243" s="7"/>
      <c r="EES243" s="7"/>
      <c r="EET243" s="7"/>
      <c r="EEU243" s="7"/>
      <c r="EEV243" s="7"/>
      <c r="EEW243" s="7"/>
      <c r="EEX243" s="7"/>
      <c r="EEY243" s="7"/>
      <c r="EEZ243" s="7"/>
      <c r="EFA243" s="7"/>
      <c r="EFB243" s="7"/>
      <c r="EFC243" s="7"/>
      <c r="EFD243" s="7"/>
      <c r="EFE243" s="7"/>
      <c r="EFF243" s="7"/>
      <c r="EFG243" s="7"/>
      <c r="EFH243" s="7"/>
      <c r="EFI243" s="7"/>
      <c r="EFJ243" s="7"/>
      <c r="EFK243" s="7"/>
      <c r="EFL243" s="7"/>
      <c r="EFM243" s="7"/>
      <c r="EFN243" s="7"/>
      <c r="EFO243" s="7"/>
      <c r="EFP243" s="7"/>
      <c r="EFQ243" s="7"/>
      <c r="EFR243" s="7"/>
      <c r="EFS243" s="7"/>
      <c r="EFT243" s="7"/>
      <c r="EFU243" s="7"/>
      <c r="EFV243" s="7"/>
      <c r="EFW243" s="7"/>
      <c r="EFX243" s="7"/>
      <c r="EFY243" s="7"/>
      <c r="EFZ243" s="7"/>
      <c r="EGA243" s="7"/>
      <c r="EGB243" s="7"/>
      <c r="EGC243" s="7"/>
      <c r="EGD243" s="7"/>
      <c r="EGE243" s="7"/>
      <c r="EGF243" s="7"/>
      <c r="EGG243" s="7"/>
      <c r="EGH243" s="7"/>
      <c r="EGI243" s="7"/>
      <c r="EGJ243" s="7"/>
      <c r="EGK243" s="7"/>
      <c r="EGL243" s="7"/>
      <c r="EGM243" s="7"/>
      <c r="EGN243" s="7"/>
      <c r="EGO243" s="7"/>
      <c r="EGP243" s="7"/>
      <c r="EGQ243" s="7"/>
      <c r="EGR243" s="7"/>
      <c r="EGS243" s="7"/>
      <c r="EGT243" s="7"/>
      <c r="EGU243" s="7"/>
      <c r="EGV243" s="7"/>
      <c r="EGW243" s="7"/>
      <c r="EGX243" s="7"/>
      <c r="EGY243" s="7"/>
      <c r="EGZ243" s="7"/>
      <c r="EHA243" s="7"/>
      <c r="EHB243" s="7"/>
      <c r="EHC243" s="7"/>
      <c r="EHD243" s="7"/>
      <c r="EHE243" s="7"/>
      <c r="EHF243" s="7"/>
      <c r="EHG243" s="7"/>
      <c r="EHH243" s="7"/>
      <c r="EHI243" s="7"/>
      <c r="EHJ243" s="7"/>
      <c r="EHK243" s="7"/>
      <c r="EHL243" s="7"/>
      <c r="EHM243" s="7"/>
      <c r="EHN243" s="7"/>
      <c r="EHO243" s="7"/>
      <c r="EHP243" s="7"/>
      <c r="EHQ243" s="7"/>
      <c r="EHR243" s="7"/>
      <c r="EHS243" s="7"/>
      <c r="EHT243" s="7"/>
      <c r="EHU243" s="7"/>
      <c r="EHV243" s="7"/>
      <c r="EHW243" s="7"/>
      <c r="EHX243" s="7"/>
      <c r="EHY243" s="7"/>
      <c r="EHZ243" s="7"/>
      <c r="EIA243" s="7"/>
      <c r="EIB243" s="7"/>
      <c r="EIC243" s="7"/>
      <c r="EID243" s="7"/>
      <c r="EIE243" s="7"/>
      <c r="EIF243" s="7"/>
      <c r="EIG243" s="7"/>
      <c r="EIH243" s="7"/>
      <c r="EII243" s="7"/>
      <c r="EIJ243" s="7"/>
      <c r="EIK243" s="7"/>
      <c r="EIL243" s="7"/>
      <c r="EIM243" s="7"/>
      <c r="EIN243" s="7"/>
      <c r="EIO243" s="7"/>
      <c r="EIP243" s="7"/>
      <c r="EIQ243" s="7"/>
      <c r="EIR243" s="7"/>
      <c r="EIS243" s="7"/>
      <c r="EIT243" s="7"/>
      <c r="EIU243" s="7"/>
      <c r="EIV243" s="7"/>
      <c r="EIW243" s="7"/>
      <c r="EIX243" s="7"/>
      <c r="EIY243" s="7"/>
      <c r="EIZ243" s="7"/>
      <c r="EJA243" s="7"/>
      <c r="EJB243" s="7"/>
      <c r="EJC243" s="7"/>
      <c r="EJD243" s="7"/>
      <c r="EJE243" s="7"/>
      <c r="EJF243" s="7"/>
      <c r="EJG243" s="7"/>
      <c r="EJH243" s="7"/>
      <c r="EJI243" s="7"/>
      <c r="EJJ243" s="7"/>
      <c r="EJK243" s="7"/>
      <c r="EJL243" s="7"/>
      <c r="EJM243" s="7"/>
      <c r="EJN243" s="7"/>
      <c r="EJO243" s="7"/>
      <c r="EJP243" s="7"/>
      <c r="EJQ243" s="7"/>
      <c r="EJR243" s="7"/>
      <c r="EJS243" s="7"/>
      <c r="EJT243" s="7"/>
      <c r="EJU243" s="7"/>
      <c r="EJV243" s="7"/>
      <c r="EJW243" s="7"/>
      <c r="EJX243" s="7"/>
      <c r="EJY243" s="7"/>
      <c r="EJZ243" s="7"/>
      <c r="EKA243" s="7"/>
      <c r="EKB243" s="7"/>
      <c r="EKC243" s="7"/>
      <c r="EKD243" s="7"/>
      <c r="EKE243" s="7"/>
      <c r="EKF243" s="7"/>
      <c r="EKG243" s="7"/>
      <c r="EKH243" s="7"/>
      <c r="EKI243" s="7"/>
      <c r="EKJ243" s="7"/>
      <c r="EKK243" s="7"/>
      <c r="EKL243" s="7"/>
      <c r="EKM243" s="7"/>
      <c r="EKN243" s="7"/>
      <c r="EKO243" s="7"/>
      <c r="EKP243" s="7"/>
      <c r="EKQ243" s="7"/>
      <c r="EKR243" s="7"/>
      <c r="EKS243" s="7"/>
      <c r="EKT243" s="7"/>
      <c r="EKU243" s="7"/>
      <c r="EKV243" s="7"/>
      <c r="EKW243" s="7"/>
      <c r="EKX243" s="7"/>
      <c r="EKY243" s="7"/>
      <c r="EKZ243" s="7"/>
      <c r="ELA243" s="7"/>
      <c r="ELB243" s="7"/>
      <c r="ELC243" s="7"/>
      <c r="ELD243" s="7"/>
      <c r="ELE243" s="7"/>
      <c r="ELF243" s="7"/>
      <c r="ELG243" s="7"/>
      <c r="ELH243" s="7"/>
      <c r="ELI243" s="7"/>
      <c r="ELJ243" s="7"/>
      <c r="ELK243" s="7"/>
      <c r="ELL243" s="7"/>
      <c r="ELM243" s="7"/>
      <c r="ELN243" s="7"/>
      <c r="ELO243" s="7"/>
      <c r="ELP243" s="7"/>
      <c r="ELQ243" s="7"/>
      <c r="ELR243" s="7"/>
      <c r="ELS243" s="7"/>
      <c r="ELT243" s="7"/>
      <c r="ELU243" s="7"/>
      <c r="ELV243" s="7"/>
      <c r="ELW243" s="7"/>
      <c r="ELX243" s="7"/>
      <c r="ELY243" s="7"/>
      <c r="ELZ243" s="7"/>
      <c r="EMA243" s="7"/>
      <c r="EMB243" s="7"/>
      <c r="EMC243" s="7"/>
      <c r="EMD243" s="7"/>
      <c r="EME243" s="7"/>
      <c r="EMF243" s="7"/>
      <c r="EMG243" s="7"/>
      <c r="EMH243" s="7"/>
      <c r="EMI243" s="7"/>
      <c r="EMJ243" s="7"/>
      <c r="EMK243" s="7"/>
      <c r="EML243" s="7"/>
      <c r="EMM243" s="7"/>
      <c r="EMN243" s="7"/>
      <c r="EMO243" s="7"/>
      <c r="EMP243" s="7"/>
      <c r="EMQ243" s="7"/>
      <c r="EMR243" s="7"/>
      <c r="EMS243" s="7"/>
      <c r="EMT243" s="7"/>
      <c r="EMU243" s="7"/>
      <c r="EMV243" s="7"/>
      <c r="EMW243" s="7"/>
      <c r="EMX243" s="7"/>
      <c r="EMY243" s="7"/>
      <c r="EMZ243" s="7"/>
      <c r="ENA243" s="7"/>
      <c r="ENB243" s="7"/>
      <c r="ENC243" s="7"/>
      <c r="END243" s="7"/>
      <c r="ENE243" s="7"/>
      <c r="ENF243" s="7"/>
      <c r="ENG243" s="7"/>
      <c r="ENH243" s="7"/>
      <c r="ENI243" s="7"/>
      <c r="ENJ243" s="7"/>
      <c r="ENK243" s="7"/>
      <c r="ENL243" s="7"/>
      <c r="ENM243" s="7"/>
      <c r="ENN243" s="7"/>
      <c r="ENO243" s="7"/>
      <c r="ENP243" s="7"/>
      <c r="ENQ243" s="7"/>
      <c r="ENR243" s="7"/>
      <c r="ENS243" s="7"/>
      <c r="ENT243" s="7"/>
      <c r="ENU243" s="7"/>
      <c r="ENV243" s="7"/>
      <c r="ENW243" s="7"/>
      <c r="ENX243" s="7"/>
      <c r="ENY243" s="7"/>
      <c r="ENZ243" s="7"/>
      <c r="EOA243" s="7"/>
      <c r="EOB243" s="7"/>
      <c r="EOC243" s="7"/>
      <c r="EOD243" s="7"/>
      <c r="EOE243" s="7"/>
      <c r="EOF243" s="7"/>
      <c r="EOG243" s="7"/>
      <c r="EOH243" s="7"/>
      <c r="EOI243" s="7"/>
      <c r="EOJ243" s="7"/>
      <c r="EOK243" s="7"/>
      <c r="EOL243" s="7"/>
      <c r="EOM243" s="7"/>
      <c r="EON243" s="7"/>
      <c r="EOO243" s="7"/>
      <c r="EOP243" s="7"/>
      <c r="EOQ243" s="7"/>
      <c r="EOR243" s="7"/>
      <c r="EOS243" s="7"/>
      <c r="EOT243" s="7"/>
      <c r="EOU243" s="7"/>
      <c r="EOV243" s="7"/>
      <c r="EOW243" s="7"/>
      <c r="EOX243" s="7"/>
      <c r="EOY243" s="7"/>
      <c r="EOZ243" s="7"/>
      <c r="EPA243" s="7"/>
      <c r="EPB243" s="7"/>
      <c r="EPC243" s="7"/>
      <c r="EPD243" s="7"/>
      <c r="EPE243" s="7"/>
      <c r="EPF243" s="7"/>
      <c r="EPG243" s="7"/>
      <c r="EPH243" s="7"/>
      <c r="EPI243" s="7"/>
      <c r="EPJ243" s="7"/>
      <c r="EPK243" s="7"/>
      <c r="EPL243" s="7"/>
      <c r="EPM243" s="7"/>
      <c r="EPN243" s="7"/>
      <c r="EPO243" s="7"/>
      <c r="EPP243" s="7"/>
      <c r="EPQ243" s="7"/>
      <c r="EPR243" s="7"/>
      <c r="EPS243" s="7"/>
      <c r="EPT243" s="7"/>
      <c r="EPU243" s="7"/>
      <c r="EPV243" s="7"/>
      <c r="EPW243" s="7"/>
      <c r="EPX243" s="7"/>
      <c r="EPY243" s="7"/>
      <c r="EPZ243" s="7"/>
      <c r="EQA243" s="7"/>
      <c r="EQB243" s="7"/>
      <c r="EQC243" s="7"/>
      <c r="EQD243" s="7"/>
      <c r="EQE243" s="7"/>
      <c r="EQF243" s="7"/>
      <c r="EQG243" s="7"/>
      <c r="EQH243" s="7"/>
      <c r="EQI243" s="7"/>
      <c r="EQJ243" s="7"/>
      <c r="EQK243" s="7"/>
      <c r="EQL243" s="7"/>
      <c r="EQM243" s="7"/>
      <c r="EQN243" s="7"/>
      <c r="EQO243" s="7"/>
      <c r="EQP243" s="7"/>
      <c r="EQQ243" s="7"/>
      <c r="EQR243" s="7"/>
      <c r="EQS243" s="7"/>
      <c r="EQT243" s="7"/>
      <c r="EQU243" s="7"/>
      <c r="EQV243" s="7"/>
      <c r="EQW243" s="7"/>
      <c r="EQX243" s="7"/>
      <c r="EQY243" s="7"/>
      <c r="EQZ243" s="7"/>
      <c r="ERA243" s="7"/>
      <c r="ERB243" s="7"/>
      <c r="ERC243" s="7"/>
      <c r="ERD243" s="7"/>
      <c r="ERE243" s="7"/>
      <c r="ERF243" s="7"/>
      <c r="ERG243" s="7"/>
      <c r="ERH243" s="7"/>
      <c r="ERI243" s="7"/>
      <c r="ERJ243" s="7"/>
      <c r="ERK243" s="7"/>
      <c r="ERL243" s="7"/>
      <c r="ERM243" s="7"/>
      <c r="ERN243" s="7"/>
      <c r="ERO243" s="7"/>
      <c r="ERP243" s="7"/>
      <c r="ERQ243" s="7"/>
      <c r="ERR243" s="7"/>
      <c r="ERS243" s="7"/>
      <c r="ERT243" s="7"/>
      <c r="ERU243" s="7"/>
      <c r="ERV243" s="7"/>
      <c r="ERW243" s="7"/>
      <c r="ERX243" s="7"/>
      <c r="ERY243" s="7"/>
      <c r="ERZ243" s="7"/>
      <c r="ESA243" s="7"/>
      <c r="ESB243" s="7"/>
      <c r="ESC243" s="7"/>
      <c r="ESD243" s="7"/>
      <c r="ESE243" s="7"/>
      <c r="ESF243" s="7"/>
      <c r="ESG243" s="7"/>
      <c r="ESH243" s="7"/>
      <c r="ESI243" s="7"/>
      <c r="ESJ243" s="7"/>
      <c r="ESK243" s="7"/>
      <c r="ESL243" s="7"/>
      <c r="ESM243" s="7"/>
      <c r="ESN243" s="7"/>
      <c r="ESO243" s="7"/>
      <c r="ESP243" s="7"/>
      <c r="ESQ243" s="7"/>
      <c r="ESR243" s="7"/>
      <c r="ESS243" s="7"/>
      <c r="EST243" s="7"/>
      <c r="ESU243" s="7"/>
      <c r="ESV243" s="7"/>
      <c r="ESW243" s="7"/>
      <c r="ESX243" s="7"/>
      <c r="ESY243" s="7"/>
      <c r="ESZ243" s="7"/>
      <c r="ETA243" s="7"/>
      <c r="ETB243" s="7"/>
      <c r="ETC243" s="7"/>
      <c r="ETD243" s="7"/>
      <c r="ETE243" s="7"/>
      <c r="ETF243" s="7"/>
      <c r="ETG243" s="7"/>
      <c r="ETH243" s="7"/>
      <c r="ETI243" s="7"/>
      <c r="ETJ243" s="7"/>
      <c r="ETK243" s="7"/>
      <c r="ETL243" s="7"/>
      <c r="ETM243" s="7"/>
      <c r="ETN243" s="7"/>
      <c r="ETO243" s="7"/>
      <c r="ETP243" s="7"/>
      <c r="ETQ243" s="7"/>
      <c r="ETR243" s="7"/>
      <c r="ETS243" s="7"/>
      <c r="ETT243" s="7"/>
      <c r="ETU243" s="7"/>
      <c r="ETV243" s="7"/>
      <c r="ETW243" s="7"/>
      <c r="ETX243" s="7"/>
      <c r="ETY243" s="7"/>
      <c r="ETZ243" s="7"/>
      <c r="EUA243" s="7"/>
      <c r="EUB243" s="7"/>
      <c r="EUC243" s="7"/>
      <c r="EUD243" s="7"/>
      <c r="EUE243" s="7"/>
      <c r="EUF243" s="7"/>
      <c r="EUG243" s="7"/>
      <c r="EUH243" s="7"/>
      <c r="EUI243" s="7"/>
      <c r="EUJ243" s="7"/>
      <c r="EUK243" s="7"/>
      <c r="EUL243" s="7"/>
      <c r="EUM243" s="7"/>
      <c r="EUN243" s="7"/>
      <c r="EUO243" s="7"/>
      <c r="EUP243" s="7"/>
      <c r="EUQ243" s="7"/>
      <c r="EUR243" s="7"/>
      <c r="EUS243" s="7"/>
      <c r="EUT243" s="7"/>
      <c r="EUU243" s="7"/>
      <c r="EUV243" s="7"/>
      <c r="EUW243" s="7"/>
      <c r="EUX243" s="7"/>
      <c r="EUY243" s="7"/>
      <c r="EUZ243" s="7"/>
      <c r="EVA243" s="7"/>
      <c r="EVB243" s="7"/>
      <c r="EVC243" s="7"/>
      <c r="EVD243" s="7"/>
      <c r="EVE243" s="7"/>
      <c r="EVF243" s="7"/>
      <c r="EVG243" s="7"/>
      <c r="EVH243" s="7"/>
      <c r="EVI243" s="7"/>
      <c r="EVJ243" s="7"/>
      <c r="EVK243" s="7"/>
      <c r="EVL243" s="7"/>
      <c r="EVM243" s="7"/>
      <c r="EVN243" s="7"/>
      <c r="EVO243" s="7"/>
      <c r="EVP243" s="7"/>
      <c r="EVQ243" s="7"/>
      <c r="EVR243" s="7"/>
      <c r="EVS243" s="7"/>
      <c r="EVT243" s="7"/>
      <c r="EVU243" s="7"/>
      <c r="EVV243" s="7"/>
      <c r="EVW243" s="7"/>
      <c r="EVX243" s="7"/>
      <c r="EVY243" s="7"/>
      <c r="EVZ243" s="7"/>
      <c r="EWA243" s="7"/>
      <c r="EWB243" s="7"/>
      <c r="EWC243" s="7"/>
      <c r="EWD243" s="7"/>
      <c r="EWE243" s="7"/>
      <c r="EWF243" s="7"/>
      <c r="EWG243" s="7"/>
      <c r="EWH243" s="7"/>
      <c r="EWI243" s="7"/>
      <c r="EWJ243" s="7"/>
      <c r="EWK243" s="7"/>
      <c r="EWL243" s="7"/>
      <c r="EWM243" s="7"/>
      <c r="EWN243" s="7"/>
      <c r="EWO243" s="7"/>
      <c r="EWP243" s="7"/>
      <c r="EWQ243" s="7"/>
      <c r="EWR243" s="7"/>
      <c r="EWS243" s="7"/>
      <c r="EWT243" s="7"/>
      <c r="EWU243" s="7"/>
      <c r="EWV243" s="7"/>
      <c r="EWW243" s="7"/>
      <c r="EWX243" s="7"/>
      <c r="EWY243" s="7"/>
      <c r="EWZ243" s="7"/>
      <c r="EXA243" s="7"/>
      <c r="EXB243" s="7"/>
      <c r="EXC243" s="7"/>
      <c r="EXD243" s="7"/>
      <c r="EXE243" s="7"/>
      <c r="EXF243" s="7"/>
      <c r="EXG243" s="7"/>
      <c r="EXH243" s="7"/>
      <c r="EXI243" s="7"/>
      <c r="EXJ243" s="7"/>
      <c r="EXK243" s="7"/>
      <c r="EXL243" s="7"/>
      <c r="EXM243" s="7"/>
      <c r="EXN243" s="7"/>
      <c r="EXO243" s="7"/>
      <c r="EXP243" s="7"/>
      <c r="EXQ243" s="7"/>
      <c r="EXR243" s="7"/>
      <c r="EXS243" s="7"/>
      <c r="EXT243" s="7"/>
      <c r="EXU243" s="7"/>
      <c r="EXV243" s="7"/>
      <c r="EXW243" s="7"/>
      <c r="EXX243" s="7"/>
      <c r="EXY243" s="7"/>
      <c r="EXZ243" s="7"/>
      <c r="EYA243" s="7"/>
      <c r="EYB243" s="7"/>
      <c r="EYC243" s="7"/>
      <c r="EYD243" s="7"/>
      <c r="EYE243" s="7"/>
      <c r="EYF243" s="7"/>
      <c r="EYG243" s="7"/>
      <c r="EYH243" s="7"/>
      <c r="EYI243" s="7"/>
      <c r="EYJ243" s="7"/>
      <c r="EYK243" s="7"/>
      <c r="EYL243" s="7"/>
      <c r="EYM243" s="7"/>
      <c r="EYN243" s="7"/>
      <c r="EYO243" s="7"/>
      <c r="EYP243" s="7"/>
      <c r="EYQ243" s="7"/>
      <c r="EYR243" s="7"/>
      <c r="EYS243" s="7"/>
      <c r="EYT243" s="7"/>
      <c r="EYU243" s="7"/>
      <c r="EYV243" s="7"/>
      <c r="EYW243" s="7"/>
      <c r="EYX243" s="7"/>
      <c r="EYY243" s="7"/>
      <c r="EYZ243" s="7"/>
      <c r="EZA243" s="7"/>
      <c r="EZB243" s="7"/>
      <c r="EZC243" s="7"/>
      <c r="EZD243" s="7"/>
      <c r="EZE243" s="7"/>
      <c r="EZF243" s="7"/>
      <c r="EZG243" s="7"/>
      <c r="EZH243" s="7"/>
      <c r="EZI243" s="7"/>
      <c r="EZJ243" s="7"/>
      <c r="EZK243" s="7"/>
      <c r="EZL243" s="7"/>
      <c r="EZM243" s="7"/>
      <c r="EZN243" s="7"/>
      <c r="EZO243" s="7"/>
      <c r="EZP243" s="7"/>
      <c r="EZQ243" s="7"/>
      <c r="EZR243" s="7"/>
      <c r="EZS243" s="7"/>
      <c r="EZT243" s="7"/>
      <c r="EZU243" s="7"/>
      <c r="EZV243" s="7"/>
      <c r="EZW243" s="7"/>
      <c r="EZX243" s="7"/>
      <c r="EZY243" s="7"/>
      <c r="EZZ243" s="7"/>
      <c r="FAA243" s="7"/>
      <c r="FAB243" s="7"/>
      <c r="FAC243" s="7"/>
      <c r="FAD243" s="7"/>
      <c r="FAE243" s="7"/>
      <c r="FAF243" s="7"/>
      <c r="FAG243" s="7"/>
      <c r="FAH243" s="7"/>
      <c r="FAI243" s="7"/>
      <c r="FAJ243" s="7"/>
      <c r="FAK243" s="7"/>
      <c r="FAL243" s="7"/>
      <c r="FAM243" s="7"/>
      <c r="FAN243" s="7"/>
      <c r="FAO243" s="7"/>
      <c r="FAP243" s="7"/>
      <c r="FAQ243" s="7"/>
      <c r="FAR243" s="7"/>
      <c r="FAS243" s="7"/>
      <c r="FAT243" s="7"/>
      <c r="FAU243" s="7"/>
      <c r="FAV243" s="7"/>
      <c r="FAW243" s="7"/>
      <c r="FAX243" s="7"/>
      <c r="FAY243" s="7"/>
      <c r="FAZ243" s="7"/>
      <c r="FBA243" s="7"/>
      <c r="FBB243" s="7"/>
      <c r="FBC243" s="7"/>
      <c r="FBD243" s="7"/>
      <c r="FBE243" s="7"/>
      <c r="FBF243" s="7"/>
      <c r="FBG243" s="7"/>
      <c r="FBH243" s="7"/>
      <c r="FBI243" s="7"/>
      <c r="FBJ243" s="7"/>
      <c r="FBK243" s="7"/>
      <c r="FBL243" s="7"/>
      <c r="FBM243" s="7"/>
      <c r="FBN243" s="7"/>
      <c r="FBO243" s="7"/>
      <c r="FBP243" s="7"/>
      <c r="FBQ243" s="7"/>
      <c r="FBR243" s="7"/>
      <c r="FBS243" s="7"/>
      <c r="FBT243" s="7"/>
      <c r="FBU243" s="7"/>
      <c r="FBV243" s="7"/>
      <c r="FBW243" s="7"/>
      <c r="FBX243" s="7"/>
      <c r="FBY243" s="7"/>
      <c r="FBZ243" s="7"/>
      <c r="FCA243" s="7"/>
      <c r="FCB243" s="7"/>
      <c r="FCC243" s="7"/>
      <c r="FCD243" s="7"/>
      <c r="FCE243" s="7"/>
      <c r="FCF243" s="7"/>
      <c r="FCG243" s="7"/>
      <c r="FCH243" s="7"/>
      <c r="FCI243" s="7"/>
      <c r="FCJ243" s="7"/>
      <c r="FCK243" s="7"/>
      <c r="FCL243" s="7"/>
      <c r="FCM243" s="7"/>
      <c r="FCN243" s="7"/>
      <c r="FCO243" s="7"/>
      <c r="FCP243" s="7"/>
      <c r="FCQ243" s="7"/>
      <c r="FCR243" s="7"/>
      <c r="FCS243" s="7"/>
      <c r="FCT243" s="7"/>
      <c r="FCU243" s="7"/>
      <c r="FCV243" s="7"/>
      <c r="FCW243" s="7"/>
      <c r="FCX243" s="7"/>
      <c r="FCY243" s="7"/>
      <c r="FCZ243" s="7"/>
      <c r="FDA243" s="7"/>
      <c r="FDB243" s="7"/>
      <c r="FDC243" s="7"/>
      <c r="FDD243" s="7"/>
      <c r="FDE243" s="7"/>
      <c r="FDF243" s="7"/>
      <c r="FDG243" s="7"/>
      <c r="FDH243" s="7"/>
      <c r="FDI243" s="7"/>
      <c r="FDJ243" s="7"/>
      <c r="FDK243" s="7"/>
      <c r="FDL243" s="7"/>
      <c r="FDM243" s="7"/>
      <c r="FDN243" s="7"/>
      <c r="FDO243" s="7"/>
      <c r="FDP243" s="7"/>
      <c r="FDQ243" s="7"/>
      <c r="FDR243" s="7"/>
      <c r="FDS243" s="7"/>
      <c r="FDT243" s="7"/>
      <c r="FDU243" s="7"/>
      <c r="FDV243" s="7"/>
      <c r="FDW243" s="7"/>
      <c r="FDX243" s="7"/>
      <c r="FDY243" s="7"/>
      <c r="FDZ243" s="7"/>
      <c r="FEA243" s="7"/>
      <c r="FEB243" s="7"/>
      <c r="FEC243" s="7"/>
      <c r="FED243" s="7"/>
      <c r="FEE243" s="7"/>
      <c r="FEF243" s="7"/>
      <c r="FEG243" s="7"/>
      <c r="FEH243" s="7"/>
      <c r="FEI243" s="7"/>
      <c r="FEJ243" s="7"/>
      <c r="FEK243" s="7"/>
      <c r="FEL243" s="7"/>
      <c r="FEM243" s="7"/>
      <c r="FEN243" s="7"/>
      <c r="FEO243" s="7"/>
      <c r="FEP243" s="7"/>
      <c r="FEQ243" s="7"/>
      <c r="FER243" s="7"/>
      <c r="FES243" s="7"/>
      <c r="FET243" s="7"/>
      <c r="FEU243" s="7"/>
      <c r="FEV243" s="7"/>
      <c r="FEW243" s="7"/>
      <c r="FEX243" s="7"/>
      <c r="FEY243" s="7"/>
      <c r="FEZ243" s="7"/>
      <c r="FFA243" s="7"/>
      <c r="FFB243" s="7"/>
      <c r="FFC243" s="7"/>
      <c r="FFD243" s="7"/>
      <c r="FFE243" s="7"/>
      <c r="FFF243" s="7"/>
      <c r="FFG243" s="7"/>
      <c r="FFH243" s="7"/>
      <c r="FFI243" s="7"/>
      <c r="FFJ243" s="7"/>
      <c r="FFK243" s="7"/>
      <c r="FFL243" s="7"/>
      <c r="FFM243" s="7"/>
      <c r="FFN243" s="7"/>
      <c r="FFO243" s="7"/>
      <c r="FFP243" s="7"/>
      <c r="FFQ243" s="7"/>
      <c r="FFR243" s="7"/>
      <c r="FFS243" s="7"/>
      <c r="FFT243" s="7"/>
      <c r="FFU243" s="7"/>
      <c r="FFV243" s="7"/>
      <c r="FFW243" s="7"/>
      <c r="FFX243" s="7"/>
      <c r="FFY243" s="7"/>
      <c r="FFZ243" s="7"/>
      <c r="FGA243" s="7"/>
      <c r="FGB243" s="7"/>
      <c r="FGC243" s="7"/>
      <c r="FGD243" s="7"/>
      <c r="FGE243" s="7"/>
      <c r="FGF243" s="7"/>
      <c r="FGG243" s="7"/>
      <c r="FGH243" s="7"/>
      <c r="FGI243" s="7"/>
      <c r="FGJ243" s="7"/>
      <c r="FGK243" s="7"/>
      <c r="FGL243" s="7"/>
      <c r="FGM243" s="7"/>
      <c r="FGN243" s="7"/>
      <c r="FGO243" s="7"/>
      <c r="FGP243" s="7"/>
      <c r="FGQ243" s="7"/>
      <c r="FGR243" s="7"/>
      <c r="FGS243" s="7"/>
      <c r="FGT243" s="7"/>
      <c r="FGU243" s="7"/>
      <c r="FGV243" s="7"/>
      <c r="FGW243" s="7"/>
      <c r="FGX243" s="7"/>
      <c r="FGY243" s="7"/>
      <c r="FGZ243" s="7"/>
      <c r="FHA243" s="7"/>
      <c r="FHB243" s="7"/>
      <c r="FHC243" s="7"/>
      <c r="FHD243" s="7"/>
      <c r="FHE243" s="7"/>
      <c r="FHF243" s="7"/>
      <c r="FHG243" s="7"/>
      <c r="FHH243" s="7"/>
      <c r="FHI243" s="7"/>
      <c r="FHJ243" s="7"/>
      <c r="FHK243" s="7"/>
      <c r="FHL243" s="7"/>
      <c r="FHM243" s="7"/>
      <c r="FHN243" s="7"/>
      <c r="FHO243" s="7"/>
      <c r="FHP243" s="7"/>
      <c r="FHQ243" s="7"/>
      <c r="FHR243" s="7"/>
      <c r="FHS243" s="7"/>
      <c r="FHT243" s="7"/>
      <c r="FHU243" s="7"/>
      <c r="FHV243" s="7"/>
      <c r="FHW243" s="7"/>
      <c r="FHX243" s="7"/>
      <c r="FHY243" s="7"/>
      <c r="FHZ243" s="7"/>
      <c r="FIA243" s="7"/>
      <c r="FIB243" s="7"/>
      <c r="FIC243" s="7"/>
      <c r="FID243" s="7"/>
      <c r="FIE243" s="7"/>
      <c r="FIF243" s="7"/>
      <c r="FIG243" s="7"/>
      <c r="FIH243" s="7"/>
      <c r="FII243" s="7"/>
      <c r="FIJ243" s="7"/>
      <c r="FIK243" s="7"/>
      <c r="FIL243" s="7"/>
      <c r="FIM243" s="7"/>
      <c r="FIN243" s="7"/>
      <c r="FIO243" s="7"/>
      <c r="FIP243" s="7"/>
      <c r="FIQ243" s="7"/>
      <c r="FIR243" s="7"/>
      <c r="FIS243" s="7"/>
      <c r="FIT243" s="7"/>
      <c r="FIU243" s="7"/>
      <c r="FIV243" s="7"/>
      <c r="FIW243" s="7"/>
      <c r="FIX243" s="7"/>
      <c r="FIY243" s="7"/>
      <c r="FIZ243" s="7"/>
      <c r="FJA243" s="7"/>
      <c r="FJB243" s="7"/>
      <c r="FJC243" s="7"/>
      <c r="FJD243" s="7"/>
      <c r="FJE243" s="7"/>
      <c r="FJF243" s="7"/>
      <c r="FJG243" s="7"/>
      <c r="FJH243" s="7"/>
      <c r="FJI243" s="7"/>
      <c r="FJJ243" s="7"/>
      <c r="FJK243" s="7"/>
      <c r="FJL243" s="7"/>
      <c r="FJM243" s="7"/>
      <c r="FJN243" s="7"/>
      <c r="FJO243" s="7"/>
      <c r="FJP243" s="7"/>
      <c r="FJQ243" s="7"/>
      <c r="FJR243" s="7"/>
      <c r="FJS243" s="7"/>
      <c r="FJT243" s="7"/>
      <c r="FJU243" s="7"/>
      <c r="FJV243" s="7"/>
      <c r="FJW243" s="7"/>
      <c r="FJX243" s="7"/>
      <c r="FJY243" s="7"/>
      <c r="FJZ243" s="7"/>
      <c r="FKA243" s="7"/>
      <c r="FKB243" s="7"/>
      <c r="FKC243" s="7"/>
      <c r="FKD243" s="7"/>
      <c r="FKE243" s="7"/>
      <c r="FKF243" s="7"/>
      <c r="FKG243" s="7"/>
      <c r="FKH243" s="7"/>
      <c r="FKI243" s="7"/>
      <c r="FKJ243" s="7"/>
      <c r="FKK243" s="7"/>
      <c r="FKL243" s="7"/>
      <c r="FKM243" s="7"/>
      <c r="FKN243" s="7"/>
      <c r="FKO243" s="7"/>
      <c r="FKP243" s="7"/>
      <c r="FKQ243" s="7"/>
      <c r="FKR243" s="7"/>
      <c r="FKS243" s="7"/>
      <c r="FKT243" s="7"/>
      <c r="FKU243" s="7"/>
      <c r="FKV243" s="7"/>
      <c r="FKW243" s="7"/>
      <c r="FKX243" s="7"/>
      <c r="FKY243" s="7"/>
      <c r="FKZ243" s="7"/>
      <c r="FLA243" s="7"/>
      <c r="FLB243" s="7"/>
      <c r="FLC243" s="7"/>
      <c r="FLD243" s="7"/>
      <c r="FLE243" s="7"/>
      <c r="FLF243" s="7"/>
      <c r="FLG243" s="7"/>
      <c r="FLH243" s="7"/>
      <c r="FLI243" s="7"/>
      <c r="FLJ243" s="7"/>
      <c r="FLK243" s="7"/>
      <c r="FLL243" s="7"/>
      <c r="FLM243" s="7"/>
      <c r="FLN243" s="7"/>
      <c r="FLO243" s="7"/>
      <c r="FLP243" s="7"/>
      <c r="FLQ243" s="7"/>
      <c r="FLR243" s="7"/>
      <c r="FLS243" s="7"/>
      <c r="FLT243" s="7"/>
      <c r="FLU243" s="7"/>
      <c r="FLV243" s="7"/>
      <c r="FLW243" s="7"/>
      <c r="FLX243" s="7"/>
      <c r="FLY243" s="7"/>
      <c r="FLZ243" s="7"/>
      <c r="FMA243" s="7"/>
      <c r="FMB243" s="7"/>
      <c r="FMC243" s="7"/>
      <c r="FMD243" s="7"/>
      <c r="FME243" s="7"/>
      <c r="FMF243" s="7"/>
      <c r="FMG243" s="7"/>
      <c r="FMH243" s="7"/>
      <c r="FMI243" s="7"/>
      <c r="FMJ243" s="7"/>
      <c r="FMK243" s="7"/>
      <c r="FML243" s="7"/>
      <c r="FMM243" s="7"/>
      <c r="FMN243" s="7"/>
      <c r="FMO243" s="7"/>
      <c r="FMP243" s="7"/>
      <c r="FMQ243" s="7"/>
      <c r="FMR243" s="7"/>
      <c r="FMS243" s="7"/>
      <c r="FMT243" s="7"/>
      <c r="FMU243" s="7"/>
      <c r="FMV243" s="7"/>
      <c r="FMW243" s="7"/>
      <c r="FMX243" s="7"/>
      <c r="FMY243" s="7"/>
      <c r="FMZ243" s="7"/>
      <c r="FNA243" s="7"/>
      <c r="FNB243" s="7"/>
      <c r="FNC243" s="7"/>
      <c r="FND243" s="7"/>
      <c r="FNE243" s="7"/>
      <c r="FNF243" s="7"/>
      <c r="FNG243" s="7"/>
      <c r="FNH243" s="7"/>
      <c r="FNI243" s="7"/>
      <c r="FNJ243" s="7"/>
      <c r="FNK243" s="7"/>
      <c r="FNL243" s="7"/>
      <c r="FNM243" s="7"/>
      <c r="FNN243" s="7"/>
      <c r="FNO243" s="7"/>
      <c r="FNP243" s="7"/>
      <c r="FNQ243" s="7"/>
      <c r="FNR243" s="7"/>
      <c r="FNS243" s="7"/>
      <c r="FNT243" s="7"/>
      <c r="FNU243" s="7"/>
      <c r="FNV243" s="7"/>
      <c r="FNW243" s="7"/>
      <c r="FNX243" s="7"/>
      <c r="FNY243" s="7"/>
      <c r="FNZ243" s="7"/>
      <c r="FOA243" s="7"/>
      <c r="FOB243" s="7"/>
      <c r="FOC243" s="7"/>
      <c r="FOD243" s="7"/>
      <c r="FOE243" s="7"/>
      <c r="FOF243" s="7"/>
      <c r="FOG243" s="7"/>
      <c r="FOH243" s="7"/>
      <c r="FOI243" s="7"/>
      <c r="FOJ243" s="7"/>
      <c r="FOK243" s="7"/>
      <c r="FOL243" s="7"/>
      <c r="FOM243" s="7"/>
      <c r="FON243" s="7"/>
      <c r="FOO243" s="7"/>
      <c r="FOP243" s="7"/>
      <c r="FOQ243" s="7"/>
      <c r="FOR243" s="7"/>
      <c r="FOS243" s="7"/>
      <c r="FOT243" s="7"/>
      <c r="FOU243" s="7"/>
      <c r="FOV243" s="7"/>
      <c r="FOW243" s="7"/>
      <c r="FOX243" s="7"/>
      <c r="FOY243" s="7"/>
      <c r="FOZ243" s="7"/>
      <c r="FPA243" s="7"/>
      <c r="FPB243" s="7"/>
      <c r="FPC243" s="7"/>
      <c r="FPD243" s="7"/>
      <c r="FPE243" s="7"/>
      <c r="FPF243" s="7"/>
      <c r="FPG243" s="7"/>
      <c r="FPH243" s="7"/>
      <c r="FPI243" s="7"/>
      <c r="FPJ243" s="7"/>
      <c r="FPK243" s="7"/>
      <c r="FPL243" s="7"/>
      <c r="FPM243" s="7"/>
      <c r="FPN243" s="7"/>
      <c r="FPO243" s="7"/>
      <c r="FPP243" s="7"/>
      <c r="FPQ243" s="7"/>
      <c r="FPR243" s="7"/>
      <c r="FPS243" s="7"/>
      <c r="FPT243" s="7"/>
      <c r="FPU243" s="7"/>
      <c r="FPV243" s="7"/>
      <c r="FPW243" s="7"/>
      <c r="FPX243" s="7"/>
      <c r="FPY243" s="7"/>
      <c r="FPZ243" s="7"/>
      <c r="FQA243" s="7"/>
      <c r="FQB243" s="7"/>
      <c r="FQC243" s="7"/>
      <c r="FQD243" s="7"/>
      <c r="FQE243" s="7"/>
      <c r="FQF243" s="7"/>
      <c r="FQG243" s="7"/>
      <c r="FQH243" s="7"/>
      <c r="FQI243" s="7"/>
      <c r="FQJ243" s="7"/>
      <c r="FQK243" s="7"/>
      <c r="FQL243" s="7"/>
      <c r="FQM243" s="7"/>
      <c r="FQN243" s="7"/>
      <c r="FQO243" s="7"/>
      <c r="FQP243" s="7"/>
      <c r="FQQ243" s="7"/>
      <c r="FQR243" s="7"/>
      <c r="FQS243" s="7"/>
      <c r="FQT243" s="7"/>
      <c r="FQU243" s="7"/>
      <c r="FQV243" s="7"/>
      <c r="FQW243" s="7"/>
      <c r="FQX243" s="7"/>
      <c r="FQY243" s="7"/>
      <c r="FQZ243" s="7"/>
      <c r="FRA243" s="7"/>
      <c r="FRB243" s="7"/>
      <c r="FRC243" s="7"/>
      <c r="FRD243" s="7"/>
      <c r="FRE243" s="7"/>
      <c r="FRF243" s="7"/>
      <c r="FRG243" s="7"/>
      <c r="FRH243" s="7"/>
      <c r="FRI243" s="7"/>
      <c r="FRJ243" s="7"/>
      <c r="FRK243" s="7"/>
      <c r="FRL243" s="7"/>
      <c r="FRM243" s="7"/>
      <c r="FRN243" s="7"/>
      <c r="FRO243" s="7"/>
      <c r="FRP243" s="7"/>
      <c r="FRQ243" s="7"/>
      <c r="FRR243" s="7"/>
      <c r="FRS243" s="7"/>
      <c r="FRT243" s="7"/>
      <c r="FRU243" s="7"/>
      <c r="FRV243" s="7"/>
      <c r="FRW243" s="7"/>
      <c r="FRX243" s="7"/>
      <c r="FRY243" s="7"/>
      <c r="FRZ243" s="7"/>
      <c r="FSA243" s="7"/>
      <c r="FSB243" s="7"/>
      <c r="FSC243" s="7"/>
      <c r="FSD243" s="7"/>
      <c r="FSE243" s="7"/>
      <c r="FSF243" s="7"/>
      <c r="FSG243" s="7"/>
      <c r="FSH243" s="7"/>
      <c r="FSI243" s="7"/>
      <c r="FSJ243" s="7"/>
      <c r="FSK243" s="7"/>
      <c r="FSL243" s="7"/>
      <c r="FSM243" s="7"/>
      <c r="FSN243" s="7"/>
      <c r="FSO243" s="7"/>
      <c r="FSP243" s="7"/>
      <c r="FSQ243" s="7"/>
      <c r="FSR243" s="7"/>
      <c r="FSS243" s="7"/>
      <c r="FST243" s="7"/>
      <c r="FSU243" s="7"/>
      <c r="FSV243" s="7"/>
      <c r="FSW243" s="7"/>
      <c r="FSX243" s="7"/>
      <c r="FSY243" s="7"/>
      <c r="FSZ243" s="7"/>
      <c r="FTA243" s="7"/>
      <c r="FTB243" s="7"/>
      <c r="FTC243" s="7"/>
      <c r="FTD243" s="7"/>
      <c r="FTE243" s="7"/>
      <c r="FTF243" s="7"/>
      <c r="FTG243" s="7"/>
      <c r="FTH243" s="7"/>
      <c r="FTI243" s="7"/>
      <c r="FTJ243" s="7"/>
      <c r="FTK243" s="7"/>
      <c r="FTL243" s="7"/>
      <c r="FTM243" s="7"/>
      <c r="FTN243" s="7"/>
      <c r="FTO243" s="7"/>
      <c r="FTP243" s="7"/>
      <c r="FTQ243" s="7"/>
      <c r="FTR243" s="7"/>
      <c r="FTS243" s="7"/>
      <c r="FTT243" s="7"/>
      <c r="FTU243" s="7"/>
      <c r="FTV243" s="7"/>
      <c r="FTW243" s="7"/>
      <c r="FTX243" s="7"/>
      <c r="FTY243" s="7"/>
      <c r="FTZ243" s="7"/>
      <c r="FUA243" s="7"/>
      <c r="FUB243" s="7"/>
      <c r="FUC243" s="7"/>
      <c r="FUD243" s="7"/>
      <c r="FUE243" s="7"/>
      <c r="FUF243" s="7"/>
      <c r="FUG243" s="7"/>
      <c r="FUH243" s="7"/>
      <c r="FUI243" s="7"/>
      <c r="FUJ243" s="7"/>
      <c r="FUK243" s="7"/>
      <c r="FUL243" s="7"/>
      <c r="FUM243" s="7"/>
      <c r="FUN243" s="7"/>
      <c r="FUO243" s="7"/>
      <c r="FUP243" s="7"/>
      <c r="FUQ243" s="7"/>
      <c r="FUR243" s="7"/>
      <c r="FUS243" s="7"/>
      <c r="FUT243" s="7"/>
      <c r="FUU243" s="7"/>
      <c r="FUV243" s="7"/>
      <c r="FUW243" s="7"/>
      <c r="FUX243" s="7"/>
      <c r="FUY243" s="7"/>
      <c r="FUZ243" s="7"/>
      <c r="FVA243" s="7"/>
      <c r="FVB243" s="7"/>
      <c r="FVC243" s="7"/>
      <c r="FVD243" s="7"/>
      <c r="FVE243" s="7"/>
      <c r="FVF243" s="7"/>
      <c r="FVG243" s="7"/>
      <c r="FVH243" s="7"/>
      <c r="FVI243" s="7"/>
      <c r="FVJ243" s="7"/>
      <c r="FVK243" s="7"/>
      <c r="FVL243" s="7"/>
      <c r="FVM243" s="7"/>
      <c r="FVN243" s="7"/>
      <c r="FVO243" s="7"/>
      <c r="FVP243" s="7"/>
      <c r="FVQ243" s="7"/>
      <c r="FVR243" s="7"/>
      <c r="FVS243" s="7"/>
      <c r="FVT243" s="7"/>
      <c r="FVU243" s="7"/>
      <c r="FVV243" s="7"/>
      <c r="FVW243" s="7"/>
      <c r="FVX243" s="7"/>
      <c r="FVY243" s="7"/>
      <c r="FVZ243" s="7"/>
      <c r="FWA243" s="7"/>
      <c r="FWB243" s="7"/>
      <c r="FWC243" s="7"/>
      <c r="FWD243" s="7"/>
      <c r="FWE243" s="7"/>
      <c r="FWF243" s="7"/>
      <c r="FWG243" s="7"/>
      <c r="FWH243" s="7"/>
      <c r="FWI243" s="7"/>
      <c r="FWJ243" s="7"/>
      <c r="FWK243" s="7"/>
      <c r="FWL243" s="7"/>
      <c r="FWM243" s="7"/>
      <c r="FWN243" s="7"/>
      <c r="FWO243" s="7"/>
      <c r="FWP243" s="7"/>
      <c r="FWQ243" s="7"/>
      <c r="FWR243" s="7"/>
      <c r="FWS243" s="7"/>
      <c r="FWT243" s="7"/>
      <c r="FWU243" s="7"/>
      <c r="FWV243" s="7"/>
      <c r="FWW243" s="7"/>
      <c r="FWX243" s="7"/>
      <c r="FWY243" s="7"/>
      <c r="FWZ243" s="7"/>
      <c r="FXA243" s="7"/>
      <c r="FXB243" s="7"/>
      <c r="FXC243" s="7"/>
      <c r="FXD243" s="7"/>
      <c r="FXE243" s="7"/>
      <c r="FXF243" s="7"/>
      <c r="FXG243" s="7"/>
      <c r="FXH243" s="7"/>
      <c r="FXI243" s="7"/>
      <c r="FXJ243" s="7"/>
      <c r="FXK243" s="7"/>
      <c r="FXL243" s="7"/>
      <c r="FXM243" s="7"/>
      <c r="FXN243" s="7"/>
      <c r="FXO243" s="7"/>
      <c r="FXP243" s="7"/>
      <c r="FXQ243" s="7"/>
      <c r="FXR243" s="7"/>
      <c r="FXS243" s="7"/>
      <c r="FXT243" s="7"/>
      <c r="FXU243" s="7"/>
      <c r="FXV243" s="7"/>
      <c r="FXW243" s="7"/>
      <c r="FXX243" s="7"/>
      <c r="FXY243" s="7"/>
      <c r="FXZ243" s="7"/>
      <c r="FYA243" s="7"/>
      <c r="FYB243" s="7"/>
      <c r="FYC243" s="7"/>
      <c r="FYD243" s="7"/>
      <c r="FYE243" s="7"/>
      <c r="FYF243" s="7"/>
      <c r="FYG243" s="7"/>
      <c r="FYH243" s="7"/>
      <c r="FYI243" s="7"/>
      <c r="FYJ243" s="7"/>
      <c r="FYK243" s="7"/>
      <c r="FYL243" s="7"/>
      <c r="FYM243" s="7"/>
      <c r="FYN243" s="7"/>
      <c r="FYO243" s="7"/>
      <c r="FYP243" s="7"/>
      <c r="FYQ243" s="7"/>
      <c r="FYR243" s="7"/>
      <c r="FYS243" s="7"/>
      <c r="FYT243" s="7"/>
      <c r="FYU243" s="7"/>
      <c r="FYV243" s="7"/>
      <c r="FYW243" s="7"/>
      <c r="FYX243" s="7"/>
      <c r="FYY243" s="7"/>
      <c r="FYZ243" s="7"/>
      <c r="FZA243" s="7"/>
      <c r="FZB243" s="7"/>
      <c r="FZC243" s="7"/>
      <c r="FZD243" s="7"/>
      <c r="FZE243" s="7"/>
      <c r="FZF243" s="7"/>
      <c r="FZG243" s="7"/>
      <c r="FZH243" s="7"/>
      <c r="FZI243" s="7"/>
      <c r="FZJ243" s="7"/>
      <c r="FZK243" s="7"/>
      <c r="FZL243" s="7"/>
      <c r="FZM243" s="7"/>
      <c r="FZN243" s="7"/>
      <c r="FZO243" s="7"/>
      <c r="FZP243" s="7"/>
      <c r="FZQ243" s="7"/>
      <c r="FZR243" s="7"/>
      <c r="FZS243" s="7"/>
      <c r="FZT243" s="7"/>
      <c r="FZU243" s="7"/>
      <c r="FZV243" s="7"/>
      <c r="FZW243" s="7"/>
      <c r="FZX243" s="7"/>
      <c r="FZY243" s="7"/>
      <c r="FZZ243" s="7"/>
      <c r="GAA243" s="7"/>
      <c r="GAB243" s="7"/>
      <c r="GAC243" s="7"/>
      <c r="GAD243" s="7"/>
      <c r="GAE243" s="7"/>
      <c r="GAF243" s="7"/>
      <c r="GAG243" s="7"/>
      <c r="GAH243" s="7"/>
      <c r="GAI243" s="7"/>
      <c r="GAJ243" s="7"/>
      <c r="GAK243" s="7"/>
      <c r="GAL243" s="7"/>
      <c r="GAM243" s="7"/>
      <c r="GAN243" s="7"/>
      <c r="GAO243" s="7"/>
      <c r="GAP243" s="7"/>
      <c r="GAQ243" s="7"/>
      <c r="GAR243" s="7"/>
      <c r="GAS243" s="7"/>
      <c r="GAT243" s="7"/>
      <c r="GAU243" s="7"/>
      <c r="GAV243" s="7"/>
      <c r="GAW243" s="7"/>
      <c r="GAX243" s="7"/>
      <c r="GAY243" s="7"/>
      <c r="GAZ243" s="7"/>
      <c r="GBA243" s="7"/>
      <c r="GBB243" s="7"/>
      <c r="GBC243" s="7"/>
      <c r="GBD243" s="7"/>
      <c r="GBE243" s="7"/>
      <c r="GBF243" s="7"/>
      <c r="GBG243" s="7"/>
      <c r="GBH243" s="7"/>
      <c r="GBI243" s="7"/>
      <c r="GBJ243" s="7"/>
      <c r="GBK243" s="7"/>
      <c r="GBL243" s="7"/>
      <c r="GBM243" s="7"/>
      <c r="GBN243" s="7"/>
      <c r="GBO243" s="7"/>
      <c r="GBP243" s="7"/>
      <c r="GBQ243" s="7"/>
      <c r="GBR243" s="7"/>
      <c r="GBS243" s="7"/>
      <c r="GBT243" s="7"/>
      <c r="GBU243" s="7"/>
      <c r="GBV243" s="7"/>
      <c r="GBW243" s="7"/>
      <c r="GBX243" s="7"/>
      <c r="GBY243" s="7"/>
      <c r="GBZ243" s="7"/>
      <c r="GCA243" s="7"/>
      <c r="GCB243" s="7"/>
      <c r="GCC243" s="7"/>
      <c r="GCD243" s="7"/>
      <c r="GCE243" s="7"/>
      <c r="GCF243" s="7"/>
      <c r="GCG243" s="7"/>
      <c r="GCH243" s="7"/>
      <c r="GCI243" s="7"/>
      <c r="GCJ243" s="7"/>
      <c r="GCK243" s="7"/>
      <c r="GCL243" s="7"/>
      <c r="GCM243" s="7"/>
      <c r="GCN243" s="7"/>
      <c r="GCO243" s="7"/>
      <c r="GCP243" s="7"/>
      <c r="GCQ243" s="7"/>
      <c r="GCR243" s="7"/>
      <c r="GCS243" s="7"/>
      <c r="GCT243" s="7"/>
      <c r="GCU243" s="7"/>
      <c r="GCV243" s="7"/>
      <c r="GCW243" s="7"/>
      <c r="GCX243" s="7"/>
      <c r="GCY243" s="7"/>
      <c r="GCZ243" s="7"/>
      <c r="GDA243" s="7"/>
      <c r="GDB243" s="7"/>
      <c r="GDC243" s="7"/>
      <c r="GDD243" s="7"/>
      <c r="GDE243" s="7"/>
      <c r="GDF243" s="7"/>
      <c r="GDG243" s="7"/>
      <c r="GDH243" s="7"/>
      <c r="GDI243" s="7"/>
      <c r="GDJ243" s="7"/>
      <c r="GDK243" s="7"/>
      <c r="GDL243" s="7"/>
      <c r="GDM243" s="7"/>
      <c r="GDN243" s="7"/>
      <c r="GDO243" s="7"/>
      <c r="GDP243" s="7"/>
      <c r="GDQ243" s="7"/>
      <c r="GDR243" s="7"/>
      <c r="GDS243" s="7"/>
      <c r="GDT243" s="7"/>
      <c r="GDU243" s="7"/>
      <c r="GDV243" s="7"/>
      <c r="GDW243" s="7"/>
      <c r="GDX243" s="7"/>
      <c r="GDY243" s="7"/>
      <c r="GDZ243" s="7"/>
      <c r="GEA243" s="7"/>
      <c r="GEB243" s="7"/>
      <c r="GEC243" s="7"/>
      <c r="GED243" s="7"/>
      <c r="GEE243" s="7"/>
      <c r="GEF243" s="7"/>
      <c r="GEG243" s="7"/>
      <c r="GEH243" s="7"/>
      <c r="GEI243" s="7"/>
      <c r="GEJ243" s="7"/>
      <c r="GEK243" s="7"/>
      <c r="GEL243" s="7"/>
      <c r="GEM243" s="7"/>
      <c r="GEN243" s="7"/>
      <c r="GEO243" s="7"/>
      <c r="GEP243" s="7"/>
      <c r="GEQ243" s="7"/>
      <c r="GER243" s="7"/>
      <c r="GES243" s="7"/>
      <c r="GET243" s="7"/>
      <c r="GEU243" s="7"/>
      <c r="GEV243" s="7"/>
      <c r="GEW243" s="7"/>
      <c r="GEX243" s="7"/>
      <c r="GEY243" s="7"/>
      <c r="GEZ243" s="7"/>
      <c r="GFA243" s="7"/>
      <c r="GFB243" s="7"/>
      <c r="GFC243" s="7"/>
      <c r="GFD243" s="7"/>
      <c r="GFE243" s="7"/>
      <c r="GFF243" s="7"/>
      <c r="GFG243" s="7"/>
      <c r="GFH243" s="7"/>
      <c r="GFI243" s="7"/>
      <c r="GFJ243" s="7"/>
      <c r="GFK243" s="7"/>
      <c r="GFL243" s="7"/>
      <c r="GFM243" s="7"/>
      <c r="GFN243" s="7"/>
      <c r="GFO243" s="7"/>
      <c r="GFP243" s="7"/>
      <c r="GFQ243" s="7"/>
      <c r="GFR243" s="7"/>
      <c r="GFS243" s="7"/>
      <c r="GFT243" s="7"/>
      <c r="GFU243" s="7"/>
      <c r="GFV243" s="7"/>
      <c r="GFW243" s="7"/>
      <c r="GFX243" s="7"/>
      <c r="GFY243" s="7"/>
      <c r="GFZ243" s="7"/>
      <c r="GGA243" s="7"/>
      <c r="GGB243" s="7"/>
      <c r="GGC243" s="7"/>
      <c r="GGD243" s="7"/>
      <c r="GGE243" s="7"/>
      <c r="GGF243" s="7"/>
      <c r="GGG243" s="7"/>
      <c r="GGH243" s="7"/>
      <c r="GGI243" s="7"/>
      <c r="GGJ243" s="7"/>
      <c r="GGK243" s="7"/>
      <c r="GGL243" s="7"/>
      <c r="GGM243" s="7"/>
      <c r="GGN243" s="7"/>
      <c r="GGO243" s="7"/>
      <c r="GGP243" s="7"/>
      <c r="GGQ243" s="7"/>
      <c r="GGR243" s="7"/>
      <c r="GGS243" s="7"/>
      <c r="GGT243" s="7"/>
      <c r="GGU243" s="7"/>
      <c r="GGV243" s="7"/>
      <c r="GGW243" s="7"/>
      <c r="GGX243" s="7"/>
      <c r="GGY243" s="7"/>
      <c r="GGZ243" s="7"/>
      <c r="GHA243" s="7"/>
      <c r="GHB243" s="7"/>
      <c r="GHC243" s="7"/>
      <c r="GHD243" s="7"/>
      <c r="GHE243" s="7"/>
      <c r="GHF243" s="7"/>
      <c r="GHG243" s="7"/>
      <c r="GHH243" s="7"/>
      <c r="GHI243" s="7"/>
      <c r="GHJ243" s="7"/>
      <c r="GHK243" s="7"/>
      <c r="GHL243" s="7"/>
      <c r="GHM243" s="7"/>
      <c r="GHN243" s="7"/>
      <c r="GHO243" s="7"/>
      <c r="GHP243" s="7"/>
      <c r="GHQ243" s="7"/>
      <c r="GHR243" s="7"/>
      <c r="GHS243" s="7"/>
      <c r="GHT243" s="7"/>
      <c r="GHU243" s="7"/>
      <c r="GHV243" s="7"/>
      <c r="GHW243" s="7"/>
      <c r="GHX243" s="7"/>
      <c r="GHY243" s="7"/>
      <c r="GHZ243" s="7"/>
      <c r="GIA243" s="7"/>
      <c r="GIB243" s="7"/>
      <c r="GIC243" s="7"/>
      <c r="GID243" s="7"/>
      <c r="GIE243" s="7"/>
      <c r="GIF243" s="7"/>
      <c r="GIG243" s="7"/>
      <c r="GIH243" s="7"/>
      <c r="GII243" s="7"/>
      <c r="GIJ243" s="7"/>
      <c r="GIK243" s="7"/>
      <c r="GIL243" s="7"/>
      <c r="GIM243" s="7"/>
      <c r="GIN243" s="7"/>
      <c r="GIO243" s="7"/>
      <c r="GIP243" s="7"/>
      <c r="GIQ243" s="7"/>
      <c r="GIR243" s="7"/>
      <c r="GIS243" s="7"/>
      <c r="GIT243" s="7"/>
      <c r="GIU243" s="7"/>
      <c r="GIV243" s="7"/>
      <c r="GIW243" s="7"/>
      <c r="GIX243" s="7"/>
      <c r="GIY243" s="7"/>
      <c r="GIZ243" s="7"/>
      <c r="GJA243" s="7"/>
      <c r="GJB243" s="7"/>
      <c r="GJC243" s="7"/>
      <c r="GJD243" s="7"/>
      <c r="GJE243" s="7"/>
      <c r="GJF243" s="7"/>
      <c r="GJG243" s="7"/>
      <c r="GJH243" s="7"/>
      <c r="GJI243" s="7"/>
      <c r="GJJ243" s="7"/>
      <c r="GJK243" s="7"/>
      <c r="GJL243" s="7"/>
      <c r="GJM243" s="7"/>
      <c r="GJN243" s="7"/>
      <c r="GJO243" s="7"/>
      <c r="GJP243" s="7"/>
      <c r="GJQ243" s="7"/>
      <c r="GJR243" s="7"/>
      <c r="GJS243" s="7"/>
      <c r="GJT243" s="7"/>
      <c r="GJU243" s="7"/>
      <c r="GJV243" s="7"/>
      <c r="GJW243" s="7"/>
      <c r="GJX243" s="7"/>
      <c r="GJY243" s="7"/>
      <c r="GJZ243" s="7"/>
      <c r="GKA243" s="7"/>
      <c r="GKB243" s="7"/>
      <c r="GKC243" s="7"/>
      <c r="GKD243" s="7"/>
      <c r="GKE243" s="7"/>
      <c r="GKF243" s="7"/>
      <c r="GKG243" s="7"/>
      <c r="GKH243" s="7"/>
      <c r="GKI243" s="7"/>
      <c r="GKJ243" s="7"/>
      <c r="GKK243" s="7"/>
      <c r="GKL243" s="7"/>
      <c r="GKM243" s="7"/>
      <c r="GKN243" s="7"/>
      <c r="GKO243" s="7"/>
      <c r="GKP243" s="7"/>
      <c r="GKQ243" s="7"/>
      <c r="GKR243" s="7"/>
      <c r="GKS243" s="7"/>
      <c r="GKT243" s="7"/>
      <c r="GKU243" s="7"/>
      <c r="GKV243" s="7"/>
      <c r="GKW243" s="7"/>
      <c r="GKX243" s="7"/>
      <c r="GKY243" s="7"/>
      <c r="GKZ243" s="7"/>
      <c r="GLA243" s="7"/>
      <c r="GLB243" s="7"/>
      <c r="GLC243" s="7"/>
      <c r="GLD243" s="7"/>
      <c r="GLE243" s="7"/>
      <c r="GLF243" s="7"/>
      <c r="GLG243" s="7"/>
      <c r="GLH243" s="7"/>
      <c r="GLI243" s="7"/>
      <c r="GLJ243" s="7"/>
      <c r="GLK243" s="7"/>
      <c r="GLL243" s="7"/>
      <c r="GLM243" s="7"/>
      <c r="GLN243" s="7"/>
      <c r="GLO243" s="7"/>
      <c r="GLP243" s="7"/>
      <c r="GLQ243" s="7"/>
      <c r="GLR243" s="7"/>
      <c r="GLS243" s="7"/>
      <c r="GLT243" s="7"/>
      <c r="GLU243" s="7"/>
      <c r="GLV243" s="7"/>
      <c r="GLW243" s="7"/>
      <c r="GLX243" s="7"/>
      <c r="GLY243" s="7"/>
      <c r="GLZ243" s="7"/>
      <c r="GMA243" s="7"/>
      <c r="GMB243" s="7"/>
      <c r="GMC243" s="7"/>
      <c r="GMD243" s="7"/>
      <c r="GME243" s="7"/>
      <c r="GMF243" s="7"/>
      <c r="GMG243" s="7"/>
      <c r="GMH243" s="7"/>
      <c r="GMI243" s="7"/>
      <c r="GMJ243" s="7"/>
      <c r="GMK243" s="7"/>
      <c r="GML243" s="7"/>
      <c r="GMM243" s="7"/>
      <c r="GMN243" s="7"/>
      <c r="GMO243" s="7"/>
      <c r="GMP243" s="7"/>
      <c r="GMQ243" s="7"/>
      <c r="GMR243" s="7"/>
      <c r="GMS243" s="7"/>
      <c r="GMT243" s="7"/>
      <c r="GMU243" s="7"/>
      <c r="GMV243" s="7"/>
      <c r="GMW243" s="7"/>
      <c r="GMX243" s="7"/>
      <c r="GMY243" s="7"/>
      <c r="GMZ243" s="7"/>
      <c r="GNA243" s="7"/>
      <c r="GNB243" s="7"/>
      <c r="GNC243" s="7"/>
      <c r="GND243" s="7"/>
      <c r="GNE243" s="7"/>
      <c r="GNF243" s="7"/>
      <c r="GNG243" s="7"/>
      <c r="GNH243" s="7"/>
      <c r="GNI243" s="7"/>
      <c r="GNJ243" s="7"/>
      <c r="GNK243" s="7"/>
      <c r="GNL243" s="7"/>
      <c r="GNM243" s="7"/>
      <c r="GNN243" s="7"/>
      <c r="GNO243" s="7"/>
      <c r="GNP243" s="7"/>
      <c r="GNQ243" s="7"/>
      <c r="GNR243" s="7"/>
      <c r="GNS243" s="7"/>
      <c r="GNT243" s="7"/>
      <c r="GNU243" s="7"/>
      <c r="GNV243" s="7"/>
      <c r="GNW243" s="7"/>
      <c r="GNX243" s="7"/>
      <c r="GNY243" s="7"/>
      <c r="GNZ243" s="7"/>
      <c r="GOA243" s="7"/>
      <c r="GOB243" s="7"/>
      <c r="GOC243" s="7"/>
      <c r="GOD243" s="7"/>
      <c r="GOE243" s="7"/>
      <c r="GOF243" s="7"/>
      <c r="GOG243" s="7"/>
      <c r="GOH243" s="7"/>
      <c r="GOI243" s="7"/>
      <c r="GOJ243" s="7"/>
      <c r="GOK243" s="7"/>
      <c r="GOL243" s="7"/>
      <c r="GOM243" s="7"/>
      <c r="GON243" s="7"/>
      <c r="GOO243" s="7"/>
      <c r="GOP243" s="7"/>
      <c r="GOQ243" s="7"/>
      <c r="GOR243" s="7"/>
      <c r="GOS243" s="7"/>
      <c r="GOT243" s="7"/>
      <c r="GOU243" s="7"/>
      <c r="GOV243" s="7"/>
      <c r="GOW243" s="7"/>
      <c r="GOX243" s="7"/>
      <c r="GOY243" s="7"/>
      <c r="GOZ243" s="7"/>
      <c r="GPA243" s="7"/>
      <c r="GPB243" s="7"/>
      <c r="GPC243" s="7"/>
      <c r="GPD243" s="7"/>
      <c r="GPE243" s="7"/>
      <c r="GPF243" s="7"/>
      <c r="GPG243" s="7"/>
      <c r="GPH243" s="7"/>
      <c r="GPI243" s="7"/>
      <c r="GPJ243" s="7"/>
      <c r="GPK243" s="7"/>
      <c r="GPL243" s="7"/>
      <c r="GPM243" s="7"/>
      <c r="GPN243" s="7"/>
      <c r="GPO243" s="7"/>
      <c r="GPP243" s="7"/>
      <c r="GPQ243" s="7"/>
      <c r="GPR243" s="7"/>
      <c r="GPS243" s="7"/>
      <c r="GPT243" s="7"/>
      <c r="GPU243" s="7"/>
      <c r="GPV243" s="7"/>
      <c r="GPW243" s="7"/>
      <c r="GPX243" s="7"/>
      <c r="GPY243" s="7"/>
      <c r="GPZ243" s="7"/>
      <c r="GQA243" s="7"/>
      <c r="GQB243" s="7"/>
      <c r="GQC243" s="7"/>
      <c r="GQD243" s="7"/>
      <c r="GQE243" s="7"/>
      <c r="GQF243" s="7"/>
      <c r="GQG243" s="7"/>
      <c r="GQH243" s="7"/>
      <c r="GQI243" s="7"/>
      <c r="GQJ243" s="7"/>
      <c r="GQK243" s="7"/>
      <c r="GQL243" s="7"/>
      <c r="GQM243" s="7"/>
      <c r="GQN243" s="7"/>
      <c r="GQO243" s="7"/>
      <c r="GQP243" s="7"/>
      <c r="GQQ243" s="7"/>
      <c r="GQR243" s="7"/>
      <c r="GQS243" s="7"/>
      <c r="GQT243" s="7"/>
      <c r="GQU243" s="7"/>
      <c r="GQV243" s="7"/>
      <c r="GQW243" s="7"/>
      <c r="GQX243" s="7"/>
      <c r="GQY243" s="7"/>
      <c r="GQZ243" s="7"/>
      <c r="GRA243" s="7"/>
      <c r="GRB243" s="7"/>
      <c r="GRC243" s="7"/>
      <c r="GRD243" s="7"/>
      <c r="GRE243" s="7"/>
      <c r="GRF243" s="7"/>
      <c r="GRG243" s="7"/>
      <c r="GRH243" s="7"/>
      <c r="GRI243" s="7"/>
      <c r="GRJ243" s="7"/>
      <c r="GRK243" s="7"/>
      <c r="GRL243" s="7"/>
      <c r="GRM243" s="7"/>
      <c r="GRN243" s="7"/>
      <c r="GRO243" s="7"/>
      <c r="GRP243" s="7"/>
      <c r="GRQ243" s="7"/>
      <c r="GRR243" s="7"/>
      <c r="GRS243" s="7"/>
      <c r="GRT243" s="7"/>
      <c r="GRU243" s="7"/>
      <c r="GRV243" s="7"/>
      <c r="GRW243" s="7"/>
      <c r="GRX243" s="7"/>
      <c r="GRY243" s="7"/>
      <c r="GRZ243" s="7"/>
      <c r="GSA243" s="7"/>
      <c r="GSB243" s="7"/>
      <c r="GSC243" s="7"/>
      <c r="GSD243" s="7"/>
      <c r="GSE243" s="7"/>
      <c r="GSF243" s="7"/>
      <c r="GSG243" s="7"/>
      <c r="GSH243" s="7"/>
      <c r="GSI243" s="7"/>
      <c r="GSJ243" s="7"/>
      <c r="GSK243" s="7"/>
      <c r="GSL243" s="7"/>
      <c r="GSM243" s="7"/>
      <c r="GSN243" s="7"/>
      <c r="GSO243" s="7"/>
      <c r="GSP243" s="7"/>
      <c r="GSQ243" s="7"/>
      <c r="GSR243" s="7"/>
      <c r="GSS243" s="7"/>
      <c r="GST243" s="7"/>
      <c r="GSU243" s="7"/>
      <c r="GSV243" s="7"/>
      <c r="GSW243" s="7"/>
      <c r="GSX243" s="7"/>
      <c r="GSY243" s="7"/>
      <c r="GSZ243" s="7"/>
      <c r="GTA243" s="7"/>
      <c r="GTB243" s="7"/>
      <c r="GTC243" s="7"/>
      <c r="GTD243" s="7"/>
      <c r="GTE243" s="7"/>
      <c r="GTF243" s="7"/>
      <c r="GTG243" s="7"/>
      <c r="GTH243" s="7"/>
      <c r="GTI243" s="7"/>
      <c r="GTJ243" s="7"/>
      <c r="GTK243" s="7"/>
      <c r="GTL243" s="7"/>
      <c r="GTM243" s="7"/>
      <c r="GTN243" s="7"/>
      <c r="GTO243" s="7"/>
      <c r="GTP243" s="7"/>
      <c r="GTQ243" s="7"/>
      <c r="GTR243" s="7"/>
      <c r="GTS243" s="7"/>
      <c r="GTT243" s="7"/>
      <c r="GTU243" s="7"/>
      <c r="GTV243" s="7"/>
      <c r="GTW243" s="7"/>
      <c r="GTX243" s="7"/>
      <c r="GTY243" s="7"/>
      <c r="GTZ243" s="7"/>
      <c r="GUA243" s="7"/>
      <c r="GUB243" s="7"/>
      <c r="GUC243" s="7"/>
      <c r="GUD243" s="7"/>
      <c r="GUE243" s="7"/>
      <c r="GUF243" s="7"/>
      <c r="GUG243" s="7"/>
      <c r="GUH243" s="7"/>
      <c r="GUI243" s="7"/>
      <c r="GUJ243" s="7"/>
      <c r="GUK243" s="7"/>
      <c r="GUL243" s="7"/>
      <c r="GUM243" s="7"/>
      <c r="GUN243" s="7"/>
      <c r="GUO243" s="7"/>
      <c r="GUP243" s="7"/>
      <c r="GUQ243" s="7"/>
      <c r="GUR243" s="7"/>
      <c r="GUS243" s="7"/>
      <c r="GUT243" s="7"/>
      <c r="GUU243" s="7"/>
      <c r="GUV243" s="7"/>
      <c r="GUW243" s="7"/>
      <c r="GUX243" s="7"/>
      <c r="GUY243" s="7"/>
      <c r="GUZ243" s="7"/>
      <c r="GVA243" s="7"/>
      <c r="GVB243" s="7"/>
      <c r="GVC243" s="7"/>
      <c r="GVD243" s="7"/>
      <c r="GVE243" s="7"/>
      <c r="GVF243" s="7"/>
      <c r="GVG243" s="7"/>
      <c r="GVH243" s="7"/>
      <c r="GVI243" s="7"/>
      <c r="GVJ243" s="7"/>
      <c r="GVK243" s="7"/>
      <c r="GVL243" s="7"/>
      <c r="GVM243" s="7"/>
      <c r="GVN243" s="7"/>
      <c r="GVO243" s="7"/>
      <c r="GVP243" s="7"/>
      <c r="GVQ243" s="7"/>
      <c r="GVR243" s="7"/>
      <c r="GVS243" s="7"/>
      <c r="GVT243" s="7"/>
      <c r="GVU243" s="7"/>
      <c r="GVV243" s="7"/>
      <c r="GVW243" s="7"/>
      <c r="GVX243" s="7"/>
      <c r="GVY243" s="7"/>
      <c r="GVZ243" s="7"/>
      <c r="GWA243" s="7"/>
      <c r="GWB243" s="7"/>
      <c r="GWC243" s="7"/>
      <c r="GWD243" s="7"/>
      <c r="GWE243" s="7"/>
      <c r="GWF243" s="7"/>
      <c r="GWG243" s="7"/>
      <c r="GWH243" s="7"/>
      <c r="GWI243" s="7"/>
      <c r="GWJ243" s="7"/>
      <c r="GWK243" s="7"/>
      <c r="GWL243" s="7"/>
      <c r="GWM243" s="7"/>
      <c r="GWN243" s="7"/>
      <c r="GWO243" s="7"/>
      <c r="GWP243" s="7"/>
      <c r="GWQ243" s="7"/>
      <c r="GWR243" s="7"/>
      <c r="GWS243" s="7"/>
      <c r="GWT243" s="7"/>
      <c r="GWU243" s="7"/>
      <c r="GWV243" s="7"/>
      <c r="GWW243" s="7"/>
      <c r="GWX243" s="7"/>
      <c r="GWY243" s="7"/>
      <c r="GWZ243" s="7"/>
      <c r="GXA243" s="7"/>
      <c r="GXB243" s="7"/>
      <c r="GXC243" s="7"/>
      <c r="GXD243" s="7"/>
      <c r="GXE243" s="7"/>
      <c r="GXF243" s="7"/>
      <c r="GXG243" s="7"/>
      <c r="GXH243" s="7"/>
      <c r="GXI243" s="7"/>
      <c r="GXJ243" s="7"/>
      <c r="GXK243" s="7"/>
      <c r="GXL243" s="7"/>
      <c r="GXM243" s="7"/>
      <c r="GXN243" s="7"/>
      <c r="GXO243" s="7"/>
      <c r="GXP243" s="7"/>
      <c r="GXQ243" s="7"/>
      <c r="GXR243" s="7"/>
      <c r="GXS243" s="7"/>
      <c r="GXT243" s="7"/>
      <c r="GXU243" s="7"/>
      <c r="GXV243" s="7"/>
      <c r="GXW243" s="7"/>
      <c r="GXX243" s="7"/>
      <c r="GXY243" s="7"/>
      <c r="GXZ243" s="7"/>
      <c r="GYA243" s="7"/>
      <c r="GYB243" s="7"/>
      <c r="GYC243" s="7"/>
      <c r="GYD243" s="7"/>
      <c r="GYE243" s="7"/>
      <c r="GYF243" s="7"/>
      <c r="GYG243" s="7"/>
      <c r="GYH243" s="7"/>
      <c r="GYI243" s="7"/>
      <c r="GYJ243" s="7"/>
      <c r="GYK243" s="7"/>
      <c r="GYL243" s="7"/>
      <c r="GYM243" s="7"/>
      <c r="GYN243" s="7"/>
      <c r="GYO243" s="7"/>
      <c r="GYP243" s="7"/>
      <c r="GYQ243" s="7"/>
      <c r="GYR243" s="7"/>
      <c r="GYS243" s="7"/>
      <c r="GYT243" s="7"/>
      <c r="GYU243" s="7"/>
      <c r="GYV243" s="7"/>
      <c r="GYW243" s="7"/>
      <c r="GYX243" s="7"/>
      <c r="GYY243" s="7"/>
      <c r="GYZ243" s="7"/>
      <c r="GZA243" s="7"/>
      <c r="GZB243" s="7"/>
      <c r="GZC243" s="7"/>
      <c r="GZD243" s="7"/>
      <c r="GZE243" s="7"/>
      <c r="GZF243" s="7"/>
      <c r="GZG243" s="7"/>
      <c r="GZH243" s="7"/>
      <c r="GZI243" s="7"/>
      <c r="GZJ243" s="7"/>
      <c r="GZK243" s="7"/>
      <c r="GZL243" s="7"/>
      <c r="GZM243" s="7"/>
      <c r="GZN243" s="7"/>
      <c r="GZO243" s="7"/>
      <c r="GZP243" s="7"/>
      <c r="GZQ243" s="7"/>
      <c r="GZR243" s="7"/>
      <c r="GZS243" s="7"/>
      <c r="GZT243" s="7"/>
      <c r="GZU243" s="7"/>
      <c r="GZV243" s="7"/>
      <c r="GZW243" s="7"/>
      <c r="GZX243" s="7"/>
      <c r="GZY243" s="7"/>
      <c r="GZZ243" s="7"/>
      <c r="HAA243" s="7"/>
      <c r="HAB243" s="7"/>
      <c r="HAC243" s="7"/>
      <c r="HAD243" s="7"/>
      <c r="HAE243" s="7"/>
      <c r="HAF243" s="7"/>
      <c r="HAG243" s="7"/>
      <c r="HAH243" s="7"/>
      <c r="HAI243" s="7"/>
      <c r="HAJ243" s="7"/>
      <c r="HAK243" s="7"/>
      <c r="HAL243" s="7"/>
      <c r="HAM243" s="7"/>
      <c r="HAN243" s="7"/>
      <c r="HAO243" s="7"/>
      <c r="HAP243" s="7"/>
      <c r="HAQ243" s="7"/>
      <c r="HAR243" s="7"/>
      <c r="HAS243" s="7"/>
      <c r="HAT243" s="7"/>
      <c r="HAU243" s="7"/>
      <c r="HAV243" s="7"/>
      <c r="HAW243" s="7"/>
      <c r="HAX243" s="7"/>
      <c r="HAY243" s="7"/>
      <c r="HAZ243" s="7"/>
      <c r="HBA243" s="7"/>
      <c r="HBB243" s="7"/>
      <c r="HBC243" s="7"/>
      <c r="HBD243" s="7"/>
      <c r="HBE243" s="7"/>
      <c r="HBF243" s="7"/>
      <c r="HBG243" s="7"/>
      <c r="HBH243" s="7"/>
      <c r="HBI243" s="7"/>
      <c r="HBJ243" s="7"/>
      <c r="HBK243" s="7"/>
      <c r="HBL243" s="7"/>
      <c r="HBM243" s="7"/>
      <c r="HBN243" s="7"/>
      <c r="HBO243" s="7"/>
      <c r="HBP243" s="7"/>
      <c r="HBQ243" s="7"/>
      <c r="HBR243" s="7"/>
      <c r="HBS243" s="7"/>
      <c r="HBT243" s="7"/>
      <c r="HBU243" s="7"/>
      <c r="HBV243" s="7"/>
      <c r="HBW243" s="7"/>
      <c r="HBX243" s="7"/>
      <c r="HBY243" s="7"/>
      <c r="HBZ243" s="7"/>
      <c r="HCA243" s="7"/>
      <c r="HCB243" s="7"/>
      <c r="HCC243" s="7"/>
      <c r="HCD243" s="7"/>
      <c r="HCE243" s="7"/>
      <c r="HCF243" s="7"/>
      <c r="HCG243" s="7"/>
      <c r="HCH243" s="7"/>
      <c r="HCI243" s="7"/>
      <c r="HCJ243" s="7"/>
      <c r="HCK243" s="7"/>
      <c r="HCL243" s="7"/>
      <c r="HCM243" s="7"/>
      <c r="HCN243" s="7"/>
      <c r="HCO243" s="7"/>
      <c r="HCP243" s="7"/>
      <c r="HCQ243" s="7"/>
      <c r="HCR243" s="7"/>
      <c r="HCS243" s="7"/>
      <c r="HCT243" s="7"/>
      <c r="HCU243" s="7"/>
      <c r="HCV243" s="7"/>
      <c r="HCW243" s="7"/>
      <c r="HCX243" s="7"/>
      <c r="HCY243" s="7"/>
      <c r="HCZ243" s="7"/>
      <c r="HDA243" s="7"/>
      <c r="HDB243" s="7"/>
      <c r="HDC243" s="7"/>
      <c r="HDD243" s="7"/>
      <c r="HDE243" s="7"/>
      <c r="HDF243" s="7"/>
      <c r="HDG243" s="7"/>
      <c r="HDH243" s="7"/>
      <c r="HDI243" s="7"/>
      <c r="HDJ243" s="7"/>
      <c r="HDK243" s="7"/>
      <c r="HDL243" s="7"/>
      <c r="HDM243" s="7"/>
      <c r="HDN243" s="7"/>
      <c r="HDO243" s="7"/>
      <c r="HDP243" s="7"/>
      <c r="HDQ243" s="7"/>
      <c r="HDR243" s="7"/>
      <c r="HDS243" s="7"/>
      <c r="HDT243" s="7"/>
      <c r="HDU243" s="7"/>
      <c r="HDV243" s="7"/>
      <c r="HDW243" s="7"/>
      <c r="HDX243" s="7"/>
      <c r="HDY243" s="7"/>
      <c r="HDZ243" s="7"/>
      <c r="HEA243" s="7"/>
      <c r="HEB243" s="7"/>
      <c r="HEC243" s="7"/>
      <c r="HED243" s="7"/>
      <c r="HEE243" s="7"/>
      <c r="HEF243" s="7"/>
      <c r="HEG243" s="7"/>
      <c r="HEH243" s="7"/>
      <c r="HEI243" s="7"/>
      <c r="HEJ243" s="7"/>
      <c r="HEK243" s="7"/>
      <c r="HEL243" s="7"/>
      <c r="HEM243" s="7"/>
      <c r="HEN243" s="7"/>
      <c r="HEO243" s="7"/>
      <c r="HEP243" s="7"/>
      <c r="HEQ243" s="7"/>
      <c r="HER243" s="7"/>
      <c r="HES243" s="7"/>
      <c r="HET243" s="7"/>
      <c r="HEU243" s="7"/>
      <c r="HEV243" s="7"/>
      <c r="HEW243" s="7"/>
      <c r="HEX243" s="7"/>
      <c r="HEY243" s="7"/>
      <c r="HEZ243" s="7"/>
      <c r="HFA243" s="7"/>
      <c r="HFB243" s="7"/>
      <c r="HFC243" s="7"/>
      <c r="HFD243" s="7"/>
      <c r="HFE243" s="7"/>
      <c r="HFF243" s="7"/>
      <c r="HFG243" s="7"/>
      <c r="HFH243" s="7"/>
      <c r="HFI243" s="7"/>
      <c r="HFJ243" s="7"/>
      <c r="HFK243" s="7"/>
      <c r="HFL243" s="7"/>
      <c r="HFM243" s="7"/>
      <c r="HFN243" s="7"/>
      <c r="HFO243" s="7"/>
      <c r="HFP243" s="7"/>
      <c r="HFQ243" s="7"/>
      <c r="HFR243" s="7"/>
      <c r="HFS243" s="7"/>
      <c r="HFT243" s="7"/>
      <c r="HFU243" s="7"/>
      <c r="HFV243" s="7"/>
      <c r="HFW243" s="7"/>
      <c r="HFX243" s="7"/>
      <c r="HFY243" s="7"/>
      <c r="HFZ243" s="7"/>
      <c r="HGA243" s="7"/>
      <c r="HGB243" s="7"/>
      <c r="HGC243" s="7"/>
      <c r="HGD243" s="7"/>
      <c r="HGE243" s="7"/>
      <c r="HGF243" s="7"/>
      <c r="HGG243" s="7"/>
      <c r="HGH243" s="7"/>
      <c r="HGI243" s="7"/>
      <c r="HGJ243" s="7"/>
      <c r="HGK243" s="7"/>
      <c r="HGL243" s="7"/>
      <c r="HGM243" s="7"/>
      <c r="HGN243" s="7"/>
      <c r="HGO243" s="7"/>
      <c r="HGP243" s="7"/>
      <c r="HGQ243" s="7"/>
      <c r="HGR243" s="7"/>
      <c r="HGS243" s="7"/>
      <c r="HGT243" s="7"/>
      <c r="HGU243" s="7"/>
      <c r="HGV243" s="7"/>
      <c r="HGW243" s="7"/>
      <c r="HGX243" s="7"/>
      <c r="HGY243" s="7"/>
      <c r="HGZ243" s="7"/>
      <c r="HHA243" s="7"/>
      <c r="HHB243" s="7"/>
      <c r="HHC243" s="7"/>
      <c r="HHD243" s="7"/>
      <c r="HHE243" s="7"/>
      <c r="HHF243" s="7"/>
      <c r="HHG243" s="7"/>
      <c r="HHH243" s="7"/>
      <c r="HHI243" s="7"/>
      <c r="HHJ243" s="7"/>
      <c r="HHK243" s="7"/>
      <c r="HHL243" s="7"/>
      <c r="HHM243" s="7"/>
      <c r="HHN243" s="7"/>
      <c r="HHO243" s="7"/>
      <c r="HHP243" s="7"/>
      <c r="HHQ243" s="7"/>
      <c r="HHR243" s="7"/>
      <c r="HHS243" s="7"/>
      <c r="HHT243" s="7"/>
      <c r="HHU243" s="7"/>
      <c r="HHV243" s="7"/>
      <c r="HHW243" s="7"/>
      <c r="HHX243" s="7"/>
      <c r="HHY243" s="7"/>
      <c r="HHZ243" s="7"/>
      <c r="HIA243" s="7"/>
      <c r="HIB243" s="7"/>
      <c r="HIC243" s="7"/>
      <c r="HID243" s="7"/>
      <c r="HIE243" s="7"/>
      <c r="HIF243" s="7"/>
      <c r="HIG243" s="7"/>
      <c r="HIH243" s="7"/>
      <c r="HII243" s="7"/>
      <c r="HIJ243" s="7"/>
      <c r="HIK243" s="7"/>
      <c r="HIL243" s="7"/>
      <c r="HIM243" s="7"/>
      <c r="HIN243" s="7"/>
      <c r="HIO243" s="7"/>
      <c r="HIP243" s="7"/>
      <c r="HIQ243" s="7"/>
      <c r="HIR243" s="7"/>
      <c r="HIS243" s="7"/>
      <c r="HIT243" s="7"/>
      <c r="HIU243" s="7"/>
      <c r="HIV243" s="7"/>
      <c r="HIW243" s="7"/>
      <c r="HIX243" s="7"/>
      <c r="HIY243" s="7"/>
      <c r="HIZ243" s="7"/>
      <c r="HJA243" s="7"/>
      <c r="HJB243" s="7"/>
      <c r="HJC243" s="7"/>
      <c r="HJD243" s="7"/>
      <c r="HJE243" s="7"/>
      <c r="HJF243" s="7"/>
      <c r="HJG243" s="7"/>
      <c r="HJH243" s="7"/>
      <c r="HJI243" s="7"/>
      <c r="HJJ243" s="7"/>
      <c r="HJK243" s="7"/>
      <c r="HJL243" s="7"/>
      <c r="HJM243" s="7"/>
      <c r="HJN243" s="7"/>
      <c r="HJO243" s="7"/>
      <c r="HJP243" s="7"/>
      <c r="HJQ243" s="7"/>
      <c r="HJR243" s="7"/>
      <c r="HJS243" s="7"/>
      <c r="HJT243" s="7"/>
      <c r="HJU243" s="7"/>
      <c r="HJV243" s="7"/>
      <c r="HJW243" s="7"/>
      <c r="HJX243" s="7"/>
      <c r="HJY243" s="7"/>
      <c r="HJZ243" s="7"/>
      <c r="HKA243" s="7"/>
      <c r="HKB243" s="7"/>
      <c r="HKC243" s="7"/>
      <c r="HKD243" s="7"/>
      <c r="HKE243" s="7"/>
      <c r="HKF243" s="7"/>
      <c r="HKG243" s="7"/>
      <c r="HKH243" s="7"/>
      <c r="HKI243" s="7"/>
      <c r="HKJ243" s="7"/>
      <c r="HKK243" s="7"/>
      <c r="HKL243" s="7"/>
      <c r="HKM243" s="7"/>
      <c r="HKN243" s="7"/>
      <c r="HKO243" s="7"/>
      <c r="HKP243" s="7"/>
      <c r="HKQ243" s="7"/>
      <c r="HKR243" s="7"/>
      <c r="HKS243" s="7"/>
      <c r="HKT243" s="7"/>
      <c r="HKU243" s="7"/>
      <c r="HKV243" s="7"/>
      <c r="HKW243" s="7"/>
      <c r="HKX243" s="7"/>
      <c r="HKY243" s="7"/>
      <c r="HKZ243" s="7"/>
      <c r="HLA243" s="7"/>
      <c r="HLB243" s="7"/>
      <c r="HLC243" s="7"/>
      <c r="HLD243" s="7"/>
      <c r="HLE243" s="7"/>
      <c r="HLF243" s="7"/>
      <c r="HLG243" s="7"/>
      <c r="HLH243" s="7"/>
      <c r="HLI243" s="7"/>
      <c r="HLJ243" s="7"/>
      <c r="HLK243" s="7"/>
      <c r="HLL243" s="7"/>
      <c r="HLM243" s="7"/>
      <c r="HLN243" s="7"/>
      <c r="HLO243" s="7"/>
      <c r="HLP243" s="7"/>
      <c r="HLQ243" s="7"/>
      <c r="HLR243" s="7"/>
      <c r="HLS243" s="7"/>
      <c r="HLT243" s="7"/>
      <c r="HLU243" s="7"/>
      <c r="HLV243" s="7"/>
      <c r="HLW243" s="7"/>
      <c r="HLX243" s="7"/>
      <c r="HLY243" s="7"/>
      <c r="HLZ243" s="7"/>
      <c r="HMA243" s="7"/>
      <c r="HMB243" s="7"/>
      <c r="HMC243" s="7"/>
      <c r="HMD243" s="7"/>
      <c r="HME243" s="7"/>
      <c r="HMF243" s="7"/>
      <c r="HMG243" s="7"/>
      <c r="HMH243" s="7"/>
      <c r="HMI243" s="7"/>
      <c r="HMJ243" s="7"/>
      <c r="HMK243" s="7"/>
      <c r="HML243" s="7"/>
      <c r="HMM243" s="7"/>
      <c r="HMN243" s="7"/>
      <c r="HMO243" s="7"/>
      <c r="HMP243" s="7"/>
      <c r="HMQ243" s="7"/>
      <c r="HMR243" s="7"/>
      <c r="HMS243" s="7"/>
      <c r="HMT243" s="7"/>
      <c r="HMU243" s="7"/>
      <c r="HMV243" s="7"/>
      <c r="HMW243" s="7"/>
      <c r="HMX243" s="7"/>
      <c r="HMY243" s="7"/>
      <c r="HMZ243" s="7"/>
      <c r="HNA243" s="7"/>
      <c r="HNB243" s="7"/>
      <c r="HNC243" s="7"/>
      <c r="HND243" s="7"/>
      <c r="HNE243" s="7"/>
      <c r="HNF243" s="7"/>
      <c r="HNG243" s="7"/>
      <c r="HNH243" s="7"/>
      <c r="HNI243" s="7"/>
      <c r="HNJ243" s="7"/>
      <c r="HNK243" s="7"/>
      <c r="HNL243" s="7"/>
      <c r="HNM243" s="7"/>
      <c r="HNN243" s="7"/>
      <c r="HNO243" s="7"/>
      <c r="HNP243" s="7"/>
      <c r="HNQ243" s="7"/>
      <c r="HNR243" s="7"/>
      <c r="HNS243" s="7"/>
      <c r="HNT243" s="7"/>
      <c r="HNU243" s="7"/>
      <c r="HNV243" s="7"/>
      <c r="HNW243" s="7"/>
      <c r="HNX243" s="7"/>
      <c r="HNY243" s="7"/>
      <c r="HNZ243" s="7"/>
      <c r="HOA243" s="7"/>
      <c r="HOB243" s="7"/>
      <c r="HOC243" s="7"/>
      <c r="HOD243" s="7"/>
      <c r="HOE243" s="7"/>
      <c r="HOF243" s="7"/>
      <c r="HOG243" s="7"/>
      <c r="HOH243" s="7"/>
      <c r="HOI243" s="7"/>
      <c r="HOJ243" s="7"/>
      <c r="HOK243" s="7"/>
      <c r="HOL243" s="7"/>
      <c r="HOM243" s="7"/>
      <c r="HON243" s="7"/>
      <c r="HOO243" s="7"/>
      <c r="HOP243" s="7"/>
      <c r="HOQ243" s="7"/>
      <c r="HOR243" s="7"/>
      <c r="HOS243" s="7"/>
      <c r="HOT243" s="7"/>
      <c r="HOU243" s="7"/>
      <c r="HOV243" s="7"/>
      <c r="HOW243" s="7"/>
      <c r="HOX243" s="7"/>
      <c r="HOY243" s="7"/>
      <c r="HOZ243" s="7"/>
      <c r="HPA243" s="7"/>
      <c r="HPB243" s="7"/>
      <c r="HPC243" s="7"/>
      <c r="HPD243" s="7"/>
      <c r="HPE243" s="7"/>
      <c r="HPF243" s="7"/>
      <c r="HPG243" s="7"/>
      <c r="HPH243" s="7"/>
      <c r="HPI243" s="7"/>
      <c r="HPJ243" s="7"/>
      <c r="HPK243" s="7"/>
      <c r="HPL243" s="7"/>
      <c r="HPM243" s="7"/>
      <c r="HPN243" s="7"/>
      <c r="HPO243" s="7"/>
      <c r="HPP243" s="7"/>
      <c r="HPQ243" s="7"/>
      <c r="HPR243" s="7"/>
      <c r="HPS243" s="7"/>
      <c r="HPT243" s="7"/>
      <c r="HPU243" s="7"/>
      <c r="HPV243" s="7"/>
      <c r="HPW243" s="7"/>
      <c r="HPX243" s="7"/>
      <c r="HPY243" s="7"/>
      <c r="HPZ243" s="7"/>
      <c r="HQA243" s="7"/>
      <c r="HQB243" s="7"/>
      <c r="HQC243" s="7"/>
      <c r="HQD243" s="7"/>
      <c r="HQE243" s="7"/>
      <c r="HQF243" s="7"/>
      <c r="HQG243" s="7"/>
      <c r="HQH243" s="7"/>
      <c r="HQI243" s="7"/>
      <c r="HQJ243" s="7"/>
      <c r="HQK243" s="7"/>
      <c r="HQL243" s="7"/>
      <c r="HQM243" s="7"/>
      <c r="HQN243" s="7"/>
      <c r="HQO243" s="7"/>
      <c r="HQP243" s="7"/>
      <c r="HQQ243" s="7"/>
      <c r="HQR243" s="7"/>
      <c r="HQS243" s="7"/>
      <c r="HQT243" s="7"/>
      <c r="HQU243" s="7"/>
      <c r="HQV243" s="7"/>
      <c r="HQW243" s="7"/>
      <c r="HQX243" s="7"/>
      <c r="HQY243" s="7"/>
      <c r="HQZ243" s="7"/>
      <c r="HRA243" s="7"/>
      <c r="HRB243" s="7"/>
      <c r="HRC243" s="7"/>
      <c r="HRD243" s="7"/>
      <c r="HRE243" s="7"/>
      <c r="HRF243" s="7"/>
      <c r="HRG243" s="7"/>
      <c r="HRH243" s="7"/>
      <c r="HRI243" s="7"/>
      <c r="HRJ243" s="7"/>
      <c r="HRK243" s="7"/>
      <c r="HRL243" s="7"/>
      <c r="HRM243" s="7"/>
      <c r="HRN243" s="7"/>
      <c r="HRO243" s="7"/>
      <c r="HRP243" s="7"/>
      <c r="HRQ243" s="7"/>
      <c r="HRR243" s="7"/>
      <c r="HRS243" s="7"/>
      <c r="HRT243" s="7"/>
      <c r="HRU243" s="7"/>
      <c r="HRV243" s="7"/>
      <c r="HRW243" s="7"/>
      <c r="HRX243" s="7"/>
      <c r="HRY243" s="7"/>
      <c r="HRZ243" s="7"/>
      <c r="HSA243" s="7"/>
      <c r="HSB243" s="7"/>
      <c r="HSC243" s="7"/>
      <c r="HSD243" s="7"/>
      <c r="HSE243" s="7"/>
      <c r="HSF243" s="7"/>
      <c r="HSG243" s="7"/>
      <c r="HSH243" s="7"/>
      <c r="HSI243" s="7"/>
      <c r="HSJ243" s="7"/>
      <c r="HSK243" s="7"/>
      <c r="HSL243" s="7"/>
      <c r="HSM243" s="7"/>
      <c r="HSN243" s="7"/>
      <c r="HSO243" s="7"/>
      <c r="HSP243" s="7"/>
      <c r="HSQ243" s="7"/>
      <c r="HSR243" s="7"/>
      <c r="HSS243" s="7"/>
      <c r="HST243" s="7"/>
      <c r="HSU243" s="7"/>
      <c r="HSV243" s="7"/>
      <c r="HSW243" s="7"/>
      <c r="HSX243" s="7"/>
      <c r="HSY243" s="7"/>
      <c r="HSZ243" s="7"/>
      <c r="HTA243" s="7"/>
      <c r="HTB243" s="7"/>
      <c r="HTC243" s="7"/>
      <c r="HTD243" s="7"/>
      <c r="HTE243" s="7"/>
      <c r="HTF243" s="7"/>
      <c r="HTG243" s="7"/>
      <c r="HTH243" s="7"/>
      <c r="HTI243" s="7"/>
      <c r="HTJ243" s="7"/>
      <c r="HTK243" s="7"/>
      <c r="HTL243" s="7"/>
      <c r="HTM243" s="7"/>
      <c r="HTN243" s="7"/>
      <c r="HTO243" s="7"/>
      <c r="HTP243" s="7"/>
      <c r="HTQ243" s="7"/>
      <c r="HTR243" s="7"/>
      <c r="HTS243" s="7"/>
      <c r="HTT243" s="7"/>
      <c r="HTU243" s="7"/>
      <c r="HTV243" s="7"/>
      <c r="HTW243" s="7"/>
      <c r="HTX243" s="7"/>
      <c r="HTY243" s="7"/>
      <c r="HTZ243" s="7"/>
      <c r="HUA243" s="7"/>
      <c r="HUB243" s="7"/>
      <c r="HUC243" s="7"/>
      <c r="HUD243" s="7"/>
      <c r="HUE243" s="7"/>
      <c r="HUF243" s="7"/>
      <c r="HUG243" s="7"/>
      <c r="HUH243" s="7"/>
      <c r="HUI243" s="7"/>
      <c r="HUJ243" s="7"/>
      <c r="HUK243" s="7"/>
      <c r="HUL243" s="7"/>
      <c r="HUM243" s="7"/>
      <c r="HUN243" s="7"/>
      <c r="HUO243" s="7"/>
      <c r="HUP243" s="7"/>
      <c r="HUQ243" s="7"/>
      <c r="HUR243" s="7"/>
      <c r="HUS243" s="7"/>
      <c r="HUT243" s="7"/>
      <c r="HUU243" s="7"/>
      <c r="HUV243" s="7"/>
      <c r="HUW243" s="7"/>
      <c r="HUX243" s="7"/>
      <c r="HUY243" s="7"/>
      <c r="HUZ243" s="7"/>
      <c r="HVA243" s="7"/>
      <c r="HVB243" s="7"/>
      <c r="HVC243" s="7"/>
      <c r="HVD243" s="7"/>
      <c r="HVE243" s="7"/>
      <c r="HVF243" s="7"/>
      <c r="HVG243" s="7"/>
      <c r="HVH243" s="7"/>
      <c r="HVI243" s="7"/>
      <c r="HVJ243" s="7"/>
      <c r="HVK243" s="7"/>
      <c r="HVL243" s="7"/>
      <c r="HVM243" s="7"/>
      <c r="HVN243" s="7"/>
      <c r="HVO243" s="7"/>
      <c r="HVP243" s="7"/>
      <c r="HVQ243" s="7"/>
      <c r="HVR243" s="7"/>
      <c r="HVS243" s="7"/>
      <c r="HVT243" s="7"/>
      <c r="HVU243" s="7"/>
      <c r="HVV243" s="7"/>
      <c r="HVW243" s="7"/>
      <c r="HVX243" s="7"/>
      <c r="HVY243" s="7"/>
      <c r="HVZ243" s="7"/>
      <c r="HWA243" s="7"/>
      <c r="HWB243" s="7"/>
      <c r="HWC243" s="7"/>
      <c r="HWD243" s="7"/>
      <c r="HWE243" s="7"/>
      <c r="HWF243" s="7"/>
      <c r="HWG243" s="7"/>
      <c r="HWH243" s="7"/>
      <c r="HWI243" s="7"/>
      <c r="HWJ243" s="7"/>
      <c r="HWK243" s="7"/>
      <c r="HWL243" s="7"/>
      <c r="HWM243" s="7"/>
      <c r="HWN243" s="7"/>
      <c r="HWO243" s="7"/>
      <c r="HWP243" s="7"/>
      <c r="HWQ243" s="7"/>
      <c r="HWR243" s="7"/>
      <c r="HWS243" s="7"/>
      <c r="HWT243" s="7"/>
      <c r="HWU243" s="7"/>
      <c r="HWV243" s="7"/>
      <c r="HWW243" s="7"/>
      <c r="HWX243" s="7"/>
      <c r="HWY243" s="7"/>
      <c r="HWZ243" s="7"/>
      <c r="HXA243" s="7"/>
      <c r="HXB243" s="7"/>
      <c r="HXC243" s="7"/>
      <c r="HXD243" s="7"/>
      <c r="HXE243" s="7"/>
      <c r="HXF243" s="7"/>
      <c r="HXG243" s="7"/>
      <c r="HXH243" s="7"/>
      <c r="HXI243" s="7"/>
      <c r="HXJ243" s="7"/>
      <c r="HXK243" s="7"/>
      <c r="HXL243" s="7"/>
      <c r="HXM243" s="7"/>
      <c r="HXN243" s="7"/>
      <c r="HXO243" s="7"/>
      <c r="HXP243" s="7"/>
      <c r="HXQ243" s="7"/>
      <c r="HXR243" s="7"/>
      <c r="HXS243" s="7"/>
      <c r="HXT243" s="7"/>
      <c r="HXU243" s="7"/>
      <c r="HXV243" s="7"/>
      <c r="HXW243" s="7"/>
      <c r="HXX243" s="7"/>
      <c r="HXY243" s="7"/>
      <c r="HXZ243" s="7"/>
      <c r="HYA243" s="7"/>
      <c r="HYB243" s="7"/>
      <c r="HYC243" s="7"/>
      <c r="HYD243" s="7"/>
      <c r="HYE243" s="7"/>
      <c r="HYF243" s="7"/>
      <c r="HYG243" s="7"/>
      <c r="HYH243" s="7"/>
      <c r="HYI243" s="7"/>
      <c r="HYJ243" s="7"/>
      <c r="HYK243" s="7"/>
      <c r="HYL243" s="7"/>
      <c r="HYM243" s="7"/>
      <c r="HYN243" s="7"/>
      <c r="HYO243" s="7"/>
      <c r="HYP243" s="7"/>
      <c r="HYQ243" s="7"/>
      <c r="HYR243" s="7"/>
      <c r="HYS243" s="7"/>
      <c r="HYT243" s="7"/>
      <c r="HYU243" s="7"/>
      <c r="HYV243" s="7"/>
      <c r="HYW243" s="7"/>
      <c r="HYX243" s="7"/>
      <c r="HYY243" s="7"/>
      <c r="HYZ243" s="7"/>
      <c r="HZA243" s="7"/>
      <c r="HZB243" s="7"/>
      <c r="HZC243" s="7"/>
      <c r="HZD243" s="7"/>
      <c r="HZE243" s="7"/>
      <c r="HZF243" s="7"/>
      <c r="HZG243" s="7"/>
      <c r="HZH243" s="7"/>
      <c r="HZI243" s="7"/>
      <c r="HZJ243" s="7"/>
      <c r="HZK243" s="7"/>
      <c r="HZL243" s="7"/>
      <c r="HZM243" s="7"/>
      <c r="HZN243" s="7"/>
      <c r="HZO243" s="7"/>
      <c r="HZP243" s="7"/>
      <c r="HZQ243" s="7"/>
      <c r="HZR243" s="7"/>
      <c r="HZS243" s="7"/>
      <c r="HZT243" s="7"/>
      <c r="HZU243" s="7"/>
      <c r="HZV243" s="7"/>
      <c r="HZW243" s="7"/>
      <c r="HZX243" s="7"/>
      <c r="HZY243" s="7"/>
      <c r="HZZ243" s="7"/>
      <c r="IAA243" s="7"/>
      <c r="IAB243" s="7"/>
      <c r="IAC243" s="7"/>
      <c r="IAD243" s="7"/>
      <c r="IAE243" s="7"/>
      <c r="IAF243" s="7"/>
      <c r="IAG243" s="7"/>
      <c r="IAH243" s="7"/>
      <c r="IAI243" s="7"/>
      <c r="IAJ243" s="7"/>
      <c r="IAK243" s="7"/>
      <c r="IAL243" s="7"/>
      <c r="IAM243" s="7"/>
      <c r="IAN243" s="7"/>
      <c r="IAO243" s="7"/>
      <c r="IAP243" s="7"/>
      <c r="IAQ243" s="7"/>
      <c r="IAR243" s="7"/>
      <c r="IAS243" s="7"/>
      <c r="IAT243" s="7"/>
      <c r="IAU243" s="7"/>
      <c r="IAV243" s="7"/>
      <c r="IAW243" s="7"/>
      <c r="IAX243" s="7"/>
      <c r="IAY243" s="7"/>
      <c r="IAZ243" s="7"/>
      <c r="IBA243" s="7"/>
      <c r="IBB243" s="7"/>
      <c r="IBC243" s="7"/>
      <c r="IBD243" s="7"/>
      <c r="IBE243" s="7"/>
      <c r="IBF243" s="7"/>
      <c r="IBG243" s="7"/>
      <c r="IBH243" s="7"/>
      <c r="IBI243" s="7"/>
      <c r="IBJ243" s="7"/>
      <c r="IBK243" s="7"/>
      <c r="IBL243" s="7"/>
      <c r="IBM243" s="7"/>
      <c r="IBN243" s="7"/>
      <c r="IBO243" s="7"/>
      <c r="IBP243" s="7"/>
      <c r="IBQ243" s="7"/>
      <c r="IBR243" s="7"/>
      <c r="IBS243" s="7"/>
      <c r="IBT243" s="7"/>
      <c r="IBU243" s="7"/>
      <c r="IBV243" s="7"/>
      <c r="IBW243" s="7"/>
      <c r="IBX243" s="7"/>
      <c r="IBY243" s="7"/>
      <c r="IBZ243" s="7"/>
      <c r="ICA243" s="7"/>
      <c r="ICB243" s="7"/>
      <c r="ICC243" s="7"/>
      <c r="ICD243" s="7"/>
      <c r="ICE243" s="7"/>
      <c r="ICF243" s="7"/>
      <c r="ICG243" s="7"/>
      <c r="ICH243" s="7"/>
      <c r="ICI243" s="7"/>
      <c r="ICJ243" s="7"/>
      <c r="ICK243" s="7"/>
      <c r="ICL243" s="7"/>
      <c r="ICM243" s="7"/>
      <c r="ICN243" s="7"/>
      <c r="ICO243" s="7"/>
      <c r="ICP243" s="7"/>
      <c r="ICQ243" s="7"/>
      <c r="ICR243" s="7"/>
      <c r="ICS243" s="7"/>
      <c r="ICT243" s="7"/>
      <c r="ICU243" s="7"/>
      <c r="ICV243" s="7"/>
      <c r="ICW243" s="7"/>
      <c r="ICX243" s="7"/>
      <c r="ICY243" s="7"/>
      <c r="ICZ243" s="7"/>
      <c r="IDA243" s="7"/>
      <c r="IDB243" s="7"/>
      <c r="IDC243" s="7"/>
      <c r="IDD243" s="7"/>
      <c r="IDE243" s="7"/>
      <c r="IDF243" s="7"/>
      <c r="IDG243" s="7"/>
      <c r="IDH243" s="7"/>
      <c r="IDI243" s="7"/>
      <c r="IDJ243" s="7"/>
      <c r="IDK243" s="7"/>
      <c r="IDL243" s="7"/>
      <c r="IDM243" s="7"/>
      <c r="IDN243" s="7"/>
      <c r="IDO243" s="7"/>
      <c r="IDP243" s="7"/>
      <c r="IDQ243" s="7"/>
      <c r="IDR243" s="7"/>
      <c r="IDS243" s="7"/>
      <c r="IDT243" s="7"/>
      <c r="IDU243" s="7"/>
      <c r="IDV243" s="7"/>
      <c r="IDW243" s="7"/>
      <c r="IDX243" s="7"/>
      <c r="IDY243" s="7"/>
      <c r="IDZ243" s="7"/>
      <c r="IEA243" s="7"/>
      <c r="IEB243" s="7"/>
      <c r="IEC243" s="7"/>
      <c r="IED243" s="7"/>
      <c r="IEE243" s="7"/>
      <c r="IEF243" s="7"/>
      <c r="IEG243" s="7"/>
      <c r="IEH243" s="7"/>
      <c r="IEI243" s="7"/>
      <c r="IEJ243" s="7"/>
      <c r="IEK243" s="7"/>
      <c r="IEL243" s="7"/>
      <c r="IEM243" s="7"/>
      <c r="IEN243" s="7"/>
      <c r="IEO243" s="7"/>
      <c r="IEP243" s="7"/>
      <c r="IEQ243" s="7"/>
      <c r="IER243" s="7"/>
      <c r="IES243" s="7"/>
      <c r="IET243" s="7"/>
      <c r="IEU243" s="7"/>
      <c r="IEV243" s="7"/>
      <c r="IEW243" s="7"/>
      <c r="IEX243" s="7"/>
      <c r="IEY243" s="7"/>
      <c r="IEZ243" s="7"/>
      <c r="IFA243" s="7"/>
      <c r="IFB243" s="7"/>
      <c r="IFC243" s="7"/>
      <c r="IFD243" s="7"/>
      <c r="IFE243" s="7"/>
      <c r="IFF243" s="7"/>
      <c r="IFG243" s="7"/>
      <c r="IFH243" s="7"/>
      <c r="IFI243" s="7"/>
      <c r="IFJ243" s="7"/>
      <c r="IFK243" s="7"/>
      <c r="IFL243" s="7"/>
      <c r="IFM243" s="7"/>
      <c r="IFN243" s="7"/>
      <c r="IFO243" s="7"/>
      <c r="IFP243" s="7"/>
      <c r="IFQ243" s="7"/>
      <c r="IFR243" s="7"/>
      <c r="IFS243" s="7"/>
      <c r="IFT243" s="7"/>
      <c r="IFU243" s="7"/>
      <c r="IFV243" s="7"/>
      <c r="IFW243" s="7"/>
      <c r="IFX243" s="7"/>
      <c r="IFY243" s="7"/>
      <c r="IFZ243" s="7"/>
      <c r="IGA243" s="7"/>
      <c r="IGB243" s="7"/>
      <c r="IGC243" s="7"/>
      <c r="IGD243" s="7"/>
      <c r="IGE243" s="7"/>
      <c r="IGF243" s="7"/>
      <c r="IGG243" s="7"/>
      <c r="IGH243" s="7"/>
      <c r="IGI243" s="7"/>
      <c r="IGJ243" s="7"/>
      <c r="IGK243" s="7"/>
      <c r="IGL243" s="7"/>
      <c r="IGM243" s="7"/>
      <c r="IGN243" s="7"/>
      <c r="IGO243" s="7"/>
      <c r="IGP243" s="7"/>
      <c r="IGQ243" s="7"/>
      <c r="IGR243" s="7"/>
      <c r="IGS243" s="7"/>
      <c r="IGT243" s="7"/>
      <c r="IGU243" s="7"/>
      <c r="IGV243" s="7"/>
      <c r="IGW243" s="7"/>
      <c r="IGX243" s="7"/>
      <c r="IGY243" s="7"/>
      <c r="IGZ243" s="7"/>
      <c r="IHA243" s="7"/>
      <c r="IHB243" s="7"/>
      <c r="IHC243" s="7"/>
      <c r="IHD243" s="7"/>
      <c r="IHE243" s="7"/>
      <c r="IHF243" s="7"/>
      <c r="IHG243" s="7"/>
      <c r="IHH243" s="7"/>
      <c r="IHI243" s="7"/>
      <c r="IHJ243" s="7"/>
      <c r="IHK243" s="7"/>
      <c r="IHL243" s="7"/>
      <c r="IHM243" s="7"/>
      <c r="IHN243" s="7"/>
      <c r="IHO243" s="7"/>
      <c r="IHP243" s="7"/>
      <c r="IHQ243" s="7"/>
      <c r="IHR243" s="7"/>
      <c r="IHS243" s="7"/>
      <c r="IHT243" s="7"/>
      <c r="IHU243" s="7"/>
      <c r="IHV243" s="7"/>
      <c r="IHW243" s="7"/>
      <c r="IHX243" s="7"/>
      <c r="IHY243" s="7"/>
      <c r="IHZ243" s="7"/>
      <c r="IIA243" s="7"/>
      <c r="IIB243" s="7"/>
      <c r="IIC243" s="7"/>
      <c r="IID243" s="7"/>
      <c r="IIE243" s="7"/>
      <c r="IIF243" s="7"/>
      <c r="IIG243" s="7"/>
      <c r="IIH243" s="7"/>
      <c r="III243" s="7"/>
      <c r="IIJ243" s="7"/>
      <c r="IIK243" s="7"/>
      <c r="IIL243" s="7"/>
      <c r="IIM243" s="7"/>
      <c r="IIN243" s="7"/>
      <c r="IIO243" s="7"/>
      <c r="IIP243" s="7"/>
      <c r="IIQ243" s="7"/>
      <c r="IIR243" s="7"/>
      <c r="IIS243" s="7"/>
      <c r="IIT243" s="7"/>
      <c r="IIU243" s="7"/>
      <c r="IIV243" s="7"/>
      <c r="IIW243" s="7"/>
      <c r="IIX243" s="7"/>
      <c r="IIY243" s="7"/>
      <c r="IIZ243" s="7"/>
      <c r="IJA243" s="7"/>
      <c r="IJB243" s="7"/>
      <c r="IJC243" s="7"/>
      <c r="IJD243" s="7"/>
      <c r="IJE243" s="7"/>
      <c r="IJF243" s="7"/>
      <c r="IJG243" s="7"/>
      <c r="IJH243" s="7"/>
      <c r="IJI243" s="7"/>
      <c r="IJJ243" s="7"/>
      <c r="IJK243" s="7"/>
      <c r="IJL243" s="7"/>
      <c r="IJM243" s="7"/>
      <c r="IJN243" s="7"/>
      <c r="IJO243" s="7"/>
      <c r="IJP243" s="7"/>
      <c r="IJQ243" s="7"/>
      <c r="IJR243" s="7"/>
      <c r="IJS243" s="7"/>
      <c r="IJT243" s="7"/>
      <c r="IJU243" s="7"/>
      <c r="IJV243" s="7"/>
      <c r="IJW243" s="7"/>
      <c r="IJX243" s="7"/>
      <c r="IJY243" s="7"/>
      <c r="IJZ243" s="7"/>
      <c r="IKA243" s="7"/>
      <c r="IKB243" s="7"/>
      <c r="IKC243" s="7"/>
      <c r="IKD243" s="7"/>
      <c r="IKE243" s="7"/>
      <c r="IKF243" s="7"/>
      <c r="IKG243" s="7"/>
      <c r="IKH243" s="7"/>
      <c r="IKI243" s="7"/>
      <c r="IKJ243" s="7"/>
      <c r="IKK243" s="7"/>
      <c r="IKL243" s="7"/>
      <c r="IKM243" s="7"/>
      <c r="IKN243" s="7"/>
      <c r="IKO243" s="7"/>
      <c r="IKP243" s="7"/>
      <c r="IKQ243" s="7"/>
      <c r="IKR243" s="7"/>
      <c r="IKS243" s="7"/>
      <c r="IKT243" s="7"/>
      <c r="IKU243" s="7"/>
      <c r="IKV243" s="7"/>
      <c r="IKW243" s="7"/>
      <c r="IKX243" s="7"/>
      <c r="IKY243" s="7"/>
      <c r="IKZ243" s="7"/>
      <c r="ILA243" s="7"/>
      <c r="ILB243" s="7"/>
      <c r="ILC243" s="7"/>
      <c r="ILD243" s="7"/>
      <c r="ILE243" s="7"/>
      <c r="ILF243" s="7"/>
      <c r="ILG243" s="7"/>
      <c r="ILH243" s="7"/>
      <c r="ILI243" s="7"/>
      <c r="ILJ243" s="7"/>
      <c r="ILK243" s="7"/>
      <c r="ILL243" s="7"/>
      <c r="ILM243" s="7"/>
      <c r="ILN243" s="7"/>
      <c r="ILO243" s="7"/>
      <c r="ILP243" s="7"/>
      <c r="ILQ243" s="7"/>
      <c r="ILR243" s="7"/>
      <c r="ILS243" s="7"/>
      <c r="ILT243" s="7"/>
      <c r="ILU243" s="7"/>
      <c r="ILV243" s="7"/>
      <c r="ILW243" s="7"/>
      <c r="ILX243" s="7"/>
      <c r="ILY243" s="7"/>
      <c r="ILZ243" s="7"/>
      <c r="IMA243" s="7"/>
      <c r="IMB243" s="7"/>
      <c r="IMC243" s="7"/>
      <c r="IMD243" s="7"/>
      <c r="IME243" s="7"/>
      <c r="IMF243" s="7"/>
      <c r="IMG243" s="7"/>
      <c r="IMH243" s="7"/>
      <c r="IMI243" s="7"/>
      <c r="IMJ243" s="7"/>
      <c r="IMK243" s="7"/>
      <c r="IML243" s="7"/>
      <c r="IMM243" s="7"/>
      <c r="IMN243" s="7"/>
      <c r="IMO243" s="7"/>
      <c r="IMP243" s="7"/>
      <c r="IMQ243" s="7"/>
      <c r="IMR243" s="7"/>
      <c r="IMS243" s="7"/>
      <c r="IMT243" s="7"/>
      <c r="IMU243" s="7"/>
      <c r="IMV243" s="7"/>
      <c r="IMW243" s="7"/>
      <c r="IMX243" s="7"/>
      <c r="IMY243" s="7"/>
      <c r="IMZ243" s="7"/>
      <c r="INA243" s="7"/>
      <c r="INB243" s="7"/>
      <c r="INC243" s="7"/>
      <c r="IND243" s="7"/>
      <c r="INE243" s="7"/>
      <c r="INF243" s="7"/>
      <c r="ING243" s="7"/>
      <c r="INH243" s="7"/>
      <c r="INI243" s="7"/>
      <c r="INJ243" s="7"/>
      <c r="INK243" s="7"/>
      <c r="INL243" s="7"/>
      <c r="INM243" s="7"/>
      <c r="INN243" s="7"/>
      <c r="INO243" s="7"/>
      <c r="INP243" s="7"/>
      <c r="INQ243" s="7"/>
      <c r="INR243" s="7"/>
      <c r="INS243" s="7"/>
      <c r="INT243" s="7"/>
      <c r="INU243" s="7"/>
      <c r="INV243" s="7"/>
      <c r="INW243" s="7"/>
      <c r="INX243" s="7"/>
      <c r="INY243" s="7"/>
      <c r="INZ243" s="7"/>
      <c r="IOA243" s="7"/>
      <c r="IOB243" s="7"/>
      <c r="IOC243" s="7"/>
      <c r="IOD243" s="7"/>
      <c r="IOE243" s="7"/>
      <c r="IOF243" s="7"/>
      <c r="IOG243" s="7"/>
      <c r="IOH243" s="7"/>
      <c r="IOI243" s="7"/>
      <c r="IOJ243" s="7"/>
      <c r="IOK243" s="7"/>
      <c r="IOL243" s="7"/>
      <c r="IOM243" s="7"/>
      <c r="ION243" s="7"/>
      <c r="IOO243" s="7"/>
      <c r="IOP243" s="7"/>
      <c r="IOQ243" s="7"/>
      <c r="IOR243" s="7"/>
      <c r="IOS243" s="7"/>
      <c r="IOT243" s="7"/>
      <c r="IOU243" s="7"/>
      <c r="IOV243" s="7"/>
      <c r="IOW243" s="7"/>
      <c r="IOX243" s="7"/>
      <c r="IOY243" s="7"/>
      <c r="IOZ243" s="7"/>
      <c r="IPA243" s="7"/>
      <c r="IPB243" s="7"/>
      <c r="IPC243" s="7"/>
      <c r="IPD243" s="7"/>
      <c r="IPE243" s="7"/>
      <c r="IPF243" s="7"/>
      <c r="IPG243" s="7"/>
      <c r="IPH243" s="7"/>
      <c r="IPI243" s="7"/>
      <c r="IPJ243" s="7"/>
      <c r="IPK243" s="7"/>
      <c r="IPL243" s="7"/>
      <c r="IPM243" s="7"/>
      <c r="IPN243" s="7"/>
      <c r="IPO243" s="7"/>
      <c r="IPP243" s="7"/>
      <c r="IPQ243" s="7"/>
      <c r="IPR243" s="7"/>
      <c r="IPS243" s="7"/>
      <c r="IPT243" s="7"/>
      <c r="IPU243" s="7"/>
      <c r="IPV243" s="7"/>
      <c r="IPW243" s="7"/>
      <c r="IPX243" s="7"/>
      <c r="IPY243" s="7"/>
      <c r="IPZ243" s="7"/>
      <c r="IQA243" s="7"/>
      <c r="IQB243" s="7"/>
      <c r="IQC243" s="7"/>
      <c r="IQD243" s="7"/>
      <c r="IQE243" s="7"/>
      <c r="IQF243" s="7"/>
      <c r="IQG243" s="7"/>
      <c r="IQH243" s="7"/>
      <c r="IQI243" s="7"/>
      <c r="IQJ243" s="7"/>
      <c r="IQK243" s="7"/>
      <c r="IQL243" s="7"/>
      <c r="IQM243" s="7"/>
      <c r="IQN243" s="7"/>
      <c r="IQO243" s="7"/>
      <c r="IQP243" s="7"/>
      <c r="IQQ243" s="7"/>
      <c r="IQR243" s="7"/>
      <c r="IQS243" s="7"/>
      <c r="IQT243" s="7"/>
      <c r="IQU243" s="7"/>
      <c r="IQV243" s="7"/>
      <c r="IQW243" s="7"/>
      <c r="IQX243" s="7"/>
      <c r="IQY243" s="7"/>
      <c r="IQZ243" s="7"/>
      <c r="IRA243" s="7"/>
      <c r="IRB243" s="7"/>
      <c r="IRC243" s="7"/>
      <c r="IRD243" s="7"/>
      <c r="IRE243" s="7"/>
      <c r="IRF243" s="7"/>
      <c r="IRG243" s="7"/>
      <c r="IRH243" s="7"/>
      <c r="IRI243" s="7"/>
      <c r="IRJ243" s="7"/>
      <c r="IRK243" s="7"/>
      <c r="IRL243" s="7"/>
      <c r="IRM243" s="7"/>
      <c r="IRN243" s="7"/>
      <c r="IRO243" s="7"/>
      <c r="IRP243" s="7"/>
      <c r="IRQ243" s="7"/>
      <c r="IRR243" s="7"/>
      <c r="IRS243" s="7"/>
      <c r="IRT243" s="7"/>
      <c r="IRU243" s="7"/>
      <c r="IRV243" s="7"/>
      <c r="IRW243" s="7"/>
      <c r="IRX243" s="7"/>
      <c r="IRY243" s="7"/>
      <c r="IRZ243" s="7"/>
      <c r="ISA243" s="7"/>
      <c r="ISB243" s="7"/>
      <c r="ISC243" s="7"/>
      <c r="ISD243" s="7"/>
      <c r="ISE243" s="7"/>
      <c r="ISF243" s="7"/>
      <c r="ISG243" s="7"/>
      <c r="ISH243" s="7"/>
      <c r="ISI243" s="7"/>
      <c r="ISJ243" s="7"/>
      <c r="ISK243" s="7"/>
      <c r="ISL243" s="7"/>
      <c r="ISM243" s="7"/>
      <c r="ISN243" s="7"/>
      <c r="ISO243" s="7"/>
      <c r="ISP243" s="7"/>
      <c r="ISQ243" s="7"/>
      <c r="ISR243" s="7"/>
      <c r="ISS243" s="7"/>
      <c r="IST243" s="7"/>
      <c r="ISU243" s="7"/>
      <c r="ISV243" s="7"/>
      <c r="ISW243" s="7"/>
      <c r="ISX243" s="7"/>
      <c r="ISY243" s="7"/>
      <c r="ISZ243" s="7"/>
      <c r="ITA243" s="7"/>
      <c r="ITB243" s="7"/>
      <c r="ITC243" s="7"/>
      <c r="ITD243" s="7"/>
      <c r="ITE243" s="7"/>
      <c r="ITF243" s="7"/>
      <c r="ITG243" s="7"/>
      <c r="ITH243" s="7"/>
      <c r="ITI243" s="7"/>
      <c r="ITJ243" s="7"/>
      <c r="ITK243" s="7"/>
      <c r="ITL243" s="7"/>
      <c r="ITM243" s="7"/>
      <c r="ITN243" s="7"/>
      <c r="ITO243" s="7"/>
      <c r="ITP243" s="7"/>
      <c r="ITQ243" s="7"/>
      <c r="ITR243" s="7"/>
      <c r="ITS243" s="7"/>
      <c r="ITT243" s="7"/>
      <c r="ITU243" s="7"/>
      <c r="ITV243" s="7"/>
      <c r="ITW243" s="7"/>
      <c r="ITX243" s="7"/>
      <c r="ITY243" s="7"/>
      <c r="ITZ243" s="7"/>
      <c r="IUA243" s="7"/>
      <c r="IUB243" s="7"/>
      <c r="IUC243" s="7"/>
      <c r="IUD243" s="7"/>
      <c r="IUE243" s="7"/>
      <c r="IUF243" s="7"/>
      <c r="IUG243" s="7"/>
      <c r="IUH243" s="7"/>
      <c r="IUI243" s="7"/>
      <c r="IUJ243" s="7"/>
      <c r="IUK243" s="7"/>
      <c r="IUL243" s="7"/>
      <c r="IUM243" s="7"/>
      <c r="IUN243" s="7"/>
      <c r="IUO243" s="7"/>
      <c r="IUP243" s="7"/>
      <c r="IUQ243" s="7"/>
      <c r="IUR243" s="7"/>
      <c r="IUS243" s="7"/>
      <c r="IUT243" s="7"/>
      <c r="IUU243" s="7"/>
      <c r="IUV243" s="7"/>
      <c r="IUW243" s="7"/>
      <c r="IUX243" s="7"/>
      <c r="IUY243" s="7"/>
      <c r="IUZ243" s="7"/>
      <c r="IVA243" s="7"/>
      <c r="IVB243" s="7"/>
      <c r="IVC243" s="7"/>
      <c r="IVD243" s="7"/>
      <c r="IVE243" s="7"/>
      <c r="IVF243" s="7"/>
      <c r="IVG243" s="7"/>
      <c r="IVH243" s="7"/>
      <c r="IVI243" s="7"/>
      <c r="IVJ243" s="7"/>
      <c r="IVK243" s="7"/>
      <c r="IVL243" s="7"/>
      <c r="IVM243" s="7"/>
      <c r="IVN243" s="7"/>
      <c r="IVO243" s="7"/>
      <c r="IVP243" s="7"/>
      <c r="IVQ243" s="7"/>
      <c r="IVR243" s="7"/>
      <c r="IVS243" s="7"/>
      <c r="IVT243" s="7"/>
      <c r="IVU243" s="7"/>
      <c r="IVV243" s="7"/>
      <c r="IVW243" s="7"/>
      <c r="IVX243" s="7"/>
      <c r="IVY243" s="7"/>
      <c r="IVZ243" s="7"/>
      <c r="IWA243" s="7"/>
      <c r="IWB243" s="7"/>
      <c r="IWC243" s="7"/>
      <c r="IWD243" s="7"/>
      <c r="IWE243" s="7"/>
      <c r="IWF243" s="7"/>
      <c r="IWG243" s="7"/>
      <c r="IWH243" s="7"/>
      <c r="IWI243" s="7"/>
      <c r="IWJ243" s="7"/>
      <c r="IWK243" s="7"/>
      <c r="IWL243" s="7"/>
      <c r="IWM243" s="7"/>
      <c r="IWN243" s="7"/>
      <c r="IWO243" s="7"/>
      <c r="IWP243" s="7"/>
      <c r="IWQ243" s="7"/>
      <c r="IWR243" s="7"/>
      <c r="IWS243" s="7"/>
      <c r="IWT243" s="7"/>
      <c r="IWU243" s="7"/>
      <c r="IWV243" s="7"/>
      <c r="IWW243" s="7"/>
      <c r="IWX243" s="7"/>
      <c r="IWY243" s="7"/>
      <c r="IWZ243" s="7"/>
      <c r="IXA243" s="7"/>
      <c r="IXB243" s="7"/>
      <c r="IXC243" s="7"/>
      <c r="IXD243" s="7"/>
      <c r="IXE243" s="7"/>
      <c r="IXF243" s="7"/>
      <c r="IXG243" s="7"/>
      <c r="IXH243" s="7"/>
      <c r="IXI243" s="7"/>
      <c r="IXJ243" s="7"/>
      <c r="IXK243" s="7"/>
      <c r="IXL243" s="7"/>
      <c r="IXM243" s="7"/>
      <c r="IXN243" s="7"/>
      <c r="IXO243" s="7"/>
      <c r="IXP243" s="7"/>
      <c r="IXQ243" s="7"/>
      <c r="IXR243" s="7"/>
      <c r="IXS243" s="7"/>
      <c r="IXT243" s="7"/>
      <c r="IXU243" s="7"/>
      <c r="IXV243" s="7"/>
      <c r="IXW243" s="7"/>
      <c r="IXX243" s="7"/>
      <c r="IXY243" s="7"/>
      <c r="IXZ243" s="7"/>
      <c r="IYA243" s="7"/>
      <c r="IYB243" s="7"/>
      <c r="IYC243" s="7"/>
      <c r="IYD243" s="7"/>
      <c r="IYE243" s="7"/>
      <c r="IYF243" s="7"/>
      <c r="IYG243" s="7"/>
      <c r="IYH243" s="7"/>
      <c r="IYI243" s="7"/>
      <c r="IYJ243" s="7"/>
      <c r="IYK243" s="7"/>
      <c r="IYL243" s="7"/>
      <c r="IYM243" s="7"/>
      <c r="IYN243" s="7"/>
      <c r="IYO243" s="7"/>
      <c r="IYP243" s="7"/>
      <c r="IYQ243" s="7"/>
      <c r="IYR243" s="7"/>
      <c r="IYS243" s="7"/>
      <c r="IYT243" s="7"/>
      <c r="IYU243" s="7"/>
      <c r="IYV243" s="7"/>
      <c r="IYW243" s="7"/>
      <c r="IYX243" s="7"/>
      <c r="IYY243" s="7"/>
      <c r="IYZ243" s="7"/>
      <c r="IZA243" s="7"/>
      <c r="IZB243" s="7"/>
      <c r="IZC243" s="7"/>
      <c r="IZD243" s="7"/>
      <c r="IZE243" s="7"/>
      <c r="IZF243" s="7"/>
      <c r="IZG243" s="7"/>
      <c r="IZH243" s="7"/>
      <c r="IZI243" s="7"/>
      <c r="IZJ243" s="7"/>
      <c r="IZK243" s="7"/>
      <c r="IZL243" s="7"/>
      <c r="IZM243" s="7"/>
      <c r="IZN243" s="7"/>
      <c r="IZO243" s="7"/>
      <c r="IZP243" s="7"/>
      <c r="IZQ243" s="7"/>
      <c r="IZR243" s="7"/>
      <c r="IZS243" s="7"/>
      <c r="IZT243" s="7"/>
      <c r="IZU243" s="7"/>
      <c r="IZV243" s="7"/>
      <c r="IZW243" s="7"/>
      <c r="IZX243" s="7"/>
      <c r="IZY243" s="7"/>
      <c r="IZZ243" s="7"/>
      <c r="JAA243" s="7"/>
      <c r="JAB243" s="7"/>
      <c r="JAC243" s="7"/>
      <c r="JAD243" s="7"/>
      <c r="JAE243" s="7"/>
      <c r="JAF243" s="7"/>
      <c r="JAG243" s="7"/>
      <c r="JAH243" s="7"/>
      <c r="JAI243" s="7"/>
      <c r="JAJ243" s="7"/>
      <c r="JAK243" s="7"/>
      <c r="JAL243" s="7"/>
      <c r="JAM243" s="7"/>
      <c r="JAN243" s="7"/>
      <c r="JAO243" s="7"/>
      <c r="JAP243" s="7"/>
      <c r="JAQ243" s="7"/>
      <c r="JAR243" s="7"/>
      <c r="JAS243" s="7"/>
      <c r="JAT243" s="7"/>
      <c r="JAU243" s="7"/>
      <c r="JAV243" s="7"/>
      <c r="JAW243" s="7"/>
      <c r="JAX243" s="7"/>
      <c r="JAY243" s="7"/>
      <c r="JAZ243" s="7"/>
      <c r="JBA243" s="7"/>
      <c r="JBB243" s="7"/>
      <c r="JBC243" s="7"/>
      <c r="JBD243" s="7"/>
      <c r="JBE243" s="7"/>
      <c r="JBF243" s="7"/>
      <c r="JBG243" s="7"/>
      <c r="JBH243" s="7"/>
      <c r="JBI243" s="7"/>
      <c r="JBJ243" s="7"/>
      <c r="JBK243" s="7"/>
      <c r="JBL243" s="7"/>
      <c r="JBM243" s="7"/>
      <c r="JBN243" s="7"/>
      <c r="JBO243" s="7"/>
      <c r="JBP243" s="7"/>
      <c r="JBQ243" s="7"/>
      <c r="JBR243" s="7"/>
      <c r="JBS243" s="7"/>
      <c r="JBT243" s="7"/>
      <c r="JBU243" s="7"/>
      <c r="JBV243" s="7"/>
      <c r="JBW243" s="7"/>
      <c r="JBX243" s="7"/>
      <c r="JBY243" s="7"/>
      <c r="JBZ243" s="7"/>
      <c r="JCA243" s="7"/>
      <c r="JCB243" s="7"/>
      <c r="JCC243" s="7"/>
      <c r="JCD243" s="7"/>
      <c r="JCE243" s="7"/>
      <c r="JCF243" s="7"/>
      <c r="JCG243" s="7"/>
      <c r="JCH243" s="7"/>
      <c r="JCI243" s="7"/>
      <c r="JCJ243" s="7"/>
      <c r="JCK243" s="7"/>
      <c r="JCL243" s="7"/>
      <c r="JCM243" s="7"/>
      <c r="JCN243" s="7"/>
      <c r="JCO243" s="7"/>
      <c r="JCP243" s="7"/>
      <c r="JCQ243" s="7"/>
      <c r="JCR243" s="7"/>
      <c r="JCS243" s="7"/>
      <c r="JCT243" s="7"/>
      <c r="JCU243" s="7"/>
      <c r="JCV243" s="7"/>
      <c r="JCW243" s="7"/>
      <c r="JCX243" s="7"/>
      <c r="JCY243" s="7"/>
      <c r="JCZ243" s="7"/>
      <c r="JDA243" s="7"/>
      <c r="JDB243" s="7"/>
      <c r="JDC243" s="7"/>
      <c r="JDD243" s="7"/>
      <c r="JDE243" s="7"/>
      <c r="JDF243" s="7"/>
      <c r="JDG243" s="7"/>
      <c r="JDH243" s="7"/>
      <c r="JDI243" s="7"/>
      <c r="JDJ243" s="7"/>
      <c r="JDK243" s="7"/>
      <c r="JDL243" s="7"/>
      <c r="JDM243" s="7"/>
      <c r="JDN243" s="7"/>
      <c r="JDO243" s="7"/>
      <c r="JDP243" s="7"/>
      <c r="JDQ243" s="7"/>
      <c r="JDR243" s="7"/>
      <c r="JDS243" s="7"/>
      <c r="JDT243" s="7"/>
      <c r="JDU243" s="7"/>
      <c r="JDV243" s="7"/>
      <c r="JDW243" s="7"/>
      <c r="JDX243" s="7"/>
      <c r="JDY243" s="7"/>
      <c r="JDZ243" s="7"/>
      <c r="JEA243" s="7"/>
      <c r="JEB243" s="7"/>
      <c r="JEC243" s="7"/>
      <c r="JED243" s="7"/>
      <c r="JEE243" s="7"/>
      <c r="JEF243" s="7"/>
      <c r="JEG243" s="7"/>
      <c r="JEH243" s="7"/>
      <c r="JEI243" s="7"/>
      <c r="JEJ243" s="7"/>
      <c r="JEK243" s="7"/>
      <c r="JEL243" s="7"/>
      <c r="JEM243" s="7"/>
      <c r="JEN243" s="7"/>
      <c r="JEO243" s="7"/>
      <c r="JEP243" s="7"/>
      <c r="JEQ243" s="7"/>
      <c r="JER243" s="7"/>
      <c r="JES243" s="7"/>
      <c r="JET243" s="7"/>
      <c r="JEU243" s="7"/>
      <c r="JEV243" s="7"/>
      <c r="JEW243" s="7"/>
      <c r="JEX243" s="7"/>
      <c r="JEY243" s="7"/>
      <c r="JEZ243" s="7"/>
      <c r="JFA243" s="7"/>
      <c r="JFB243" s="7"/>
      <c r="JFC243" s="7"/>
      <c r="JFD243" s="7"/>
      <c r="JFE243" s="7"/>
      <c r="JFF243" s="7"/>
      <c r="JFG243" s="7"/>
      <c r="JFH243" s="7"/>
      <c r="JFI243" s="7"/>
      <c r="JFJ243" s="7"/>
      <c r="JFK243" s="7"/>
      <c r="JFL243" s="7"/>
      <c r="JFM243" s="7"/>
      <c r="JFN243" s="7"/>
      <c r="JFO243" s="7"/>
      <c r="JFP243" s="7"/>
      <c r="JFQ243" s="7"/>
      <c r="JFR243" s="7"/>
      <c r="JFS243" s="7"/>
      <c r="JFT243" s="7"/>
      <c r="JFU243" s="7"/>
      <c r="JFV243" s="7"/>
      <c r="JFW243" s="7"/>
      <c r="JFX243" s="7"/>
      <c r="JFY243" s="7"/>
      <c r="JFZ243" s="7"/>
      <c r="JGA243" s="7"/>
      <c r="JGB243" s="7"/>
      <c r="JGC243" s="7"/>
      <c r="JGD243" s="7"/>
      <c r="JGE243" s="7"/>
      <c r="JGF243" s="7"/>
      <c r="JGG243" s="7"/>
      <c r="JGH243" s="7"/>
      <c r="JGI243" s="7"/>
      <c r="JGJ243" s="7"/>
      <c r="JGK243" s="7"/>
      <c r="JGL243" s="7"/>
      <c r="JGM243" s="7"/>
      <c r="JGN243" s="7"/>
      <c r="JGO243" s="7"/>
      <c r="JGP243" s="7"/>
      <c r="JGQ243" s="7"/>
      <c r="JGR243" s="7"/>
      <c r="JGS243" s="7"/>
      <c r="JGT243" s="7"/>
      <c r="JGU243" s="7"/>
      <c r="JGV243" s="7"/>
      <c r="JGW243" s="7"/>
      <c r="JGX243" s="7"/>
      <c r="JGY243" s="7"/>
      <c r="JGZ243" s="7"/>
      <c r="JHA243" s="7"/>
      <c r="JHB243" s="7"/>
      <c r="JHC243" s="7"/>
      <c r="JHD243" s="7"/>
      <c r="JHE243" s="7"/>
      <c r="JHF243" s="7"/>
      <c r="JHG243" s="7"/>
      <c r="JHH243" s="7"/>
      <c r="JHI243" s="7"/>
      <c r="JHJ243" s="7"/>
      <c r="JHK243" s="7"/>
      <c r="JHL243" s="7"/>
      <c r="JHM243" s="7"/>
      <c r="JHN243" s="7"/>
      <c r="JHO243" s="7"/>
      <c r="JHP243" s="7"/>
      <c r="JHQ243" s="7"/>
      <c r="JHR243" s="7"/>
      <c r="JHS243" s="7"/>
      <c r="JHT243" s="7"/>
      <c r="JHU243" s="7"/>
      <c r="JHV243" s="7"/>
      <c r="JHW243" s="7"/>
      <c r="JHX243" s="7"/>
      <c r="JHY243" s="7"/>
      <c r="JHZ243" s="7"/>
      <c r="JIA243" s="7"/>
      <c r="JIB243" s="7"/>
      <c r="JIC243" s="7"/>
      <c r="JID243" s="7"/>
      <c r="JIE243" s="7"/>
      <c r="JIF243" s="7"/>
      <c r="JIG243" s="7"/>
      <c r="JIH243" s="7"/>
      <c r="JII243" s="7"/>
      <c r="JIJ243" s="7"/>
      <c r="JIK243" s="7"/>
      <c r="JIL243" s="7"/>
      <c r="JIM243" s="7"/>
      <c r="JIN243" s="7"/>
      <c r="JIO243" s="7"/>
      <c r="JIP243" s="7"/>
      <c r="JIQ243" s="7"/>
      <c r="JIR243" s="7"/>
      <c r="JIS243" s="7"/>
      <c r="JIT243" s="7"/>
      <c r="JIU243" s="7"/>
      <c r="JIV243" s="7"/>
      <c r="JIW243" s="7"/>
      <c r="JIX243" s="7"/>
      <c r="JIY243" s="7"/>
      <c r="JIZ243" s="7"/>
      <c r="JJA243" s="7"/>
      <c r="JJB243" s="7"/>
      <c r="JJC243" s="7"/>
      <c r="JJD243" s="7"/>
      <c r="JJE243" s="7"/>
      <c r="JJF243" s="7"/>
      <c r="JJG243" s="7"/>
      <c r="JJH243" s="7"/>
      <c r="JJI243" s="7"/>
      <c r="JJJ243" s="7"/>
      <c r="JJK243" s="7"/>
      <c r="JJL243" s="7"/>
      <c r="JJM243" s="7"/>
      <c r="JJN243" s="7"/>
      <c r="JJO243" s="7"/>
      <c r="JJP243" s="7"/>
      <c r="JJQ243" s="7"/>
      <c r="JJR243" s="7"/>
      <c r="JJS243" s="7"/>
      <c r="JJT243" s="7"/>
      <c r="JJU243" s="7"/>
      <c r="JJV243" s="7"/>
      <c r="JJW243" s="7"/>
      <c r="JJX243" s="7"/>
      <c r="JJY243" s="7"/>
      <c r="JJZ243" s="7"/>
      <c r="JKA243" s="7"/>
      <c r="JKB243" s="7"/>
      <c r="JKC243" s="7"/>
      <c r="JKD243" s="7"/>
      <c r="JKE243" s="7"/>
      <c r="JKF243" s="7"/>
      <c r="JKG243" s="7"/>
      <c r="JKH243" s="7"/>
      <c r="JKI243" s="7"/>
      <c r="JKJ243" s="7"/>
      <c r="JKK243" s="7"/>
      <c r="JKL243" s="7"/>
      <c r="JKM243" s="7"/>
      <c r="JKN243" s="7"/>
      <c r="JKO243" s="7"/>
      <c r="JKP243" s="7"/>
      <c r="JKQ243" s="7"/>
      <c r="JKR243" s="7"/>
      <c r="JKS243" s="7"/>
      <c r="JKT243" s="7"/>
      <c r="JKU243" s="7"/>
      <c r="JKV243" s="7"/>
      <c r="JKW243" s="7"/>
      <c r="JKX243" s="7"/>
      <c r="JKY243" s="7"/>
      <c r="JKZ243" s="7"/>
      <c r="JLA243" s="7"/>
      <c r="JLB243" s="7"/>
      <c r="JLC243" s="7"/>
      <c r="JLD243" s="7"/>
      <c r="JLE243" s="7"/>
      <c r="JLF243" s="7"/>
      <c r="JLG243" s="7"/>
      <c r="JLH243" s="7"/>
      <c r="JLI243" s="7"/>
      <c r="JLJ243" s="7"/>
      <c r="JLK243" s="7"/>
      <c r="JLL243" s="7"/>
      <c r="JLM243" s="7"/>
      <c r="JLN243" s="7"/>
      <c r="JLO243" s="7"/>
      <c r="JLP243" s="7"/>
      <c r="JLQ243" s="7"/>
      <c r="JLR243" s="7"/>
      <c r="JLS243" s="7"/>
      <c r="JLT243" s="7"/>
      <c r="JLU243" s="7"/>
      <c r="JLV243" s="7"/>
      <c r="JLW243" s="7"/>
      <c r="JLX243" s="7"/>
      <c r="JLY243" s="7"/>
      <c r="JLZ243" s="7"/>
      <c r="JMA243" s="7"/>
      <c r="JMB243" s="7"/>
      <c r="JMC243" s="7"/>
      <c r="JMD243" s="7"/>
      <c r="JME243" s="7"/>
      <c r="JMF243" s="7"/>
      <c r="JMG243" s="7"/>
      <c r="JMH243" s="7"/>
      <c r="JMI243" s="7"/>
      <c r="JMJ243" s="7"/>
      <c r="JMK243" s="7"/>
      <c r="JML243" s="7"/>
      <c r="JMM243" s="7"/>
      <c r="JMN243" s="7"/>
      <c r="JMO243" s="7"/>
      <c r="JMP243" s="7"/>
      <c r="JMQ243" s="7"/>
      <c r="JMR243" s="7"/>
      <c r="JMS243" s="7"/>
      <c r="JMT243" s="7"/>
      <c r="JMU243" s="7"/>
      <c r="JMV243" s="7"/>
      <c r="JMW243" s="7"/>
      <c r="JMX243" s="7"/>
      <c r="JMY243" s="7"/>
      <c r="JMZ243" s="7"/>
      <c r="JNA243" s="7"/>
      <c r="JNB243" s="7"/>
      <c r="JNC243" s="7"/>
      <c r="JND243" s="7"/>
      <c r="JNE243" s="7"/>
      <c r="JNF243" s="7"/>
      <c r="JNG243" s="7"/>
      <c r="JNH243" s="7"/>
      <c r="JNI243" s="7"/>
      <c r="JNJ243" s="7"/>
      <c r="JNK243" s="7"/>
      <c r="JNL243" s="7"/>
      <c r="JNM243" s="7"/>
      <c r="JNN243" s="7"/>
      <c r="JNO243" s="7"/>
      <c r="JNP243" s="7"/>
      <c r="JNQ243" s="7"/>
      <c r="JNR243" s="7"/>
      <c r="JNS243" s="7"/>
      <c r="JNT243" s="7"/>
      <c r="JNU243" s="7"/>
      <c r="JNV243" s="7"/>
      <c r="JNW243" s="7"/>
      <c r="JNX243" s="7"/>
      <c r="JNY243" s="7"/>
      <c r="JNZ243" s="7"/>
      <c r="JOA243" s="7"/>
      <c r="JOB243" s="7"/>
      <c r="JOC243" s="7"/>
      <c r="JOD243" s="7"/>
      <c r="JOE243" s="7"/>
      <c r="JOF243" s="7"/>
      <c r="JOG243" s="7"/>
      <c r="JOH243" s="7"/>
      <c r="JOI243" s="7"/>
      <c r="JOJ243" s="7"/>
      <c r="JOK243" s="7"/>
      <c r="JOL243" s="7"/>
      <c r="JOM243" s="7"/>
      <c r="JON243" s="7"/>
      <c r="JOO243" s="7"/>
      <c r="JOP243" s="7"/>
      <c r="JOQ243" s="7"/>
      <c r="JOR243" s="7"/>
      <c r="JOS243" s="7"/>
      <c r="JOT243" s="7"/>
      <c r="JOU243" s="7"/>
      <c r="JOV243" s="7"/>
      <c r="JOW243" s="7"/>
      <c r="JOX243" s="7"/>
      <c r="JOY243" s="7"/>
      <c r="JOZ243" s="7"/>
      <c r="JPA243" s="7"/>
      <c r="JPB243" s="7"/>
      <c r="JPC243" s="7"/>
      <c r="JPD243" s="7"/>
      <c r="JPE243" s="7"/>
      <c r="JPF243" s="7"/>
      <c r="JPG243" s="7"/>
      <c r="JPH243" s="7"/>
      <c r="JPI243" s="7"/>
      <c r="JPJ243" s="7"/>
      <c r="JPK243" s="7"/>
      <c r="JPL243" s="7"/>
      <c r="JPM243" s="7"/>
      <c r="JPN243" s="7"/>
      <c r="JPO243" s="7"/>
      <c r="JPP243" s="7"/>
      <c r="JPQ243" s="7"/>
      <c r="JPR243" s="7"/>
      <c r="JPS243" s="7"/>
      <c r="JPT243" s="7"/>
      <c r="JPU243" s="7"/>
      <c r="JPV243" s="7"/>
      <c r="JPW243" s="7"/>
      <c r="JPX243" s="7"/>
      <c r="JPY243" s="7"/>
      <c r="JPZ243" s="7"/>
      <c r="JQA243" s="7"/>
      <c r="JQB243" s="7"/>
      <c r="JQC243" s="7"/>
      <c r="JQD243" s="7"/>
      <c r="JQE243" s="7"/>
      <c r="JQF243" s="7"/>
      <c r="JQG243" s="7"/>
      <c r="JQH243" s="7"/>
      <c r="JQI243" s="7"/>
      <c r="JQJ243" s="7"/>
      <c r="JQK243" s="7"/>
      <c r="JQL243" s="7"/>
      <c r="JQM243" s="7"/>
      <c r="JQN243" s="7"/>
      <c r="JQO243" s="7"/>
      <c r="JQP243" s="7"/>
      <c r="JQQ243" s="7"/>
      <c r="JQR243" s="7"/>
      <c r="JQS243" s="7"/>
      <c r="JQT243" s="7"/>
      <c r="JQU243" s="7"/>
      <c r="JQV243" s="7"/>
      <c r="JQW243" s="7"/>
      <c r="JQX243" s="7"/>
      <c r="JQY243" s="7"/>
      <c r="JQZ243" s="7"/>
      <c r="JRA243" s="7"/>
      <c r="JRB243" s="7"/>
      <c r="JRC243" s="7"/>
      <c r="JRD243" s="7"/>
      <c r="JRE243" s="7"/>
      <c r="JRF243" s="7"/>
      <c r="JRG243" s="7"/>
      <c r="JRH243" s="7"/>
      <c r="JRI243" s="7"/>
      <c r="JRJ243" s="7"/>
      <c r="JRK243" s="7"/>
      <c r="JRL243" s="7"/>
      <c r="JRM243" s="7"/>
      <c r="JRN243" s="7"/>
      <c r="JRO243" s="7"/>
      <c r="JRP243" s="7"/>
      <c r="JRQ243" s="7"/>
      <c r="JRR243" s="7"/>
      <c r="JRS243" s="7"/>
      <c r="JRT243" s="7"/>
      <c r="JRU243" s="7"/>
      <c r="JRV243" s="7"/>
      <c r="JRW243" s="7"/>
      <c r="JRX243" s="7"/>
      <c r="JRY243" s="7"/>
      <c r="JRZ243" s="7"/>
      <c r="JSA243" s="7"/>
      <c r="JSB243" s="7"/>
      <c r="JSC243" s="7"/>
      <c r="JSD243" s="7"/>
      <c r="JSE243" s="7"/>
      <c r="JSF243" s="7"/>
      <c r="JSG243" s="7"/>
      <c r="JSH243" s="7"/>
      <c r="JSI243" s="7"/>
      <c r="JSJ243" s="7"/>
      <c r="JSK243" s="7"/>
      <c r="JSL243" s="7"/>
      <c r="JSM243" s="7"/>
      <c r="JSN243" s="7"/>
      <c r="JSO243" s="7"/>
      <c r="JSP243" s="7"/>
      <c r="JSQ243" s="7"/>
      <c r="JSR243" s="7"/>
      <c r="JSS243" s="7"/>
      <c r="JST243" s="7"/>
      <c r="JSU243" s="7"/>
      <c r="JSV243" s="7"/>
      <c r="JSW243" s="7"/>
      <c r="JSX243" s="7"/>
      <c r="JSY243" s="7"/>
      <c r="JSZ243" s="7"/>
      <c r="JTA243" s="7"/>
      <c r="JTB243" s="7"/>
      <c r="JTC243" s="7"/>
      <c r="JTD243" s="7"/>
      <c r="JTE243" s="7"/>
      <c r="JTF243" s="7"/>
      <c r="JTG243" s="7"/>
      <c r="JTH243" s="7"/>
      <c r="JTI243" s="7"/>
      <c r="JTJ243" s="7"/>
      <c r="JTK243" s="7"/>
      <c r="JTL243" s="7"/>
      <c r="JTM243" s="7"/>
      <c r="JTN243" s="7"/>
      <c r="JTO243" s="7"/>
      <c r="JTP243" s="7"/>
      <c r="JTQ243" s="7"/>
      <c r="JTR243" s="7"/>
      <c r="JTS243" s="7"/>
      <c r="JTT243" s="7"/>
      <c r="JTU243" s="7"/>
      <c r="JTV243" s="7"/>
      <c r="JTW243" s="7"/>
      <c r="JTX243" s="7"/>
      <c r="JTY243" s="7"/>
      <c r="JTZ243" s="7"/>
      <c r="JUA243" s="7"/>
      <c r="JUB243" s="7"/>
      <c r="JUC243" s="7"/>
      <c r="JUD243" s="7"/>
      <c r="JUE243" s="7"/>
      <c r="JUF243" s="7"/>
      <c r="JUG243" s="7"/>
      <c r="JUH243" s="7"/>
      <c r="JUI243" s="7"/>
      <c r="JUJ243" s="7"/>
      <c r="JUK243" s="7"/>
      <c r="JUL243" s="7"/>
      <c r="JUM243" s="7"/>
      <c r="JUN243" s="7"/>
      <c r="JUO243" s="7"/>
      <c r="JUP243" s="7"/>
      <c r="JUQ243" s="7"/>
      <c r="JUR243" s="7"/>
      <c r="JUS243" s="7"/>
      <c r="JUT243" s="7"/>
      <c r="JUU243" s="7"/>
      <c r="JUV243" s="7"/>
      <c r="JUW243" s="7"/>
      <c r="JUX243" s="7"/>
      <c r="JUY243" s="7"/>
      <c r="JUZ243" s="7"/>
      <c r="JVA243" s="7"/>
      <c r="JVB243" s="7"/>
      <c r="JVC243" s="7"/>
      <c r="JVD243" s="7"/>
      <c r="JVE243" s="7"/>
      <c r="JVF243" s="7"/>
      <c r="JVG243" s="7"/>
      <c r="JVH243" s="7"/>
      <c r="JVI243" s="7"/>
      <c r="JVJ243" s="7"/>
      <c r="JVK243" s="7"/>
      <c r="JVL243" s="7"/>
      <c r="JVM243" s="7"/>
      <c r="JVN243" s="7"/>
      <c r="JVO243" s="7"/>
      <c r="JVP243" s="7"/>
      <c r="JVQ243" s="7"/>
      <c r="JVR243" s="7"/>
      <c r="JVS243" s="7"/>
      <c r="JVT243" s="7"/>
      <c r="JVU243" s="7"/>
      <c r="JVV243" s="7"/>
      <c r="JVW243" s="7"/>
      <c r="JVX243" s="7"/>
      <c r="JVY243" s="7"/>
      <c r="JVZ243" s="7"/>
      <c r="JWA243" s="7"/>
      <c r="JWB243" s="7"/>
      <c r="JWC243" s="7"/>
      <c r="JWD243" s="7"/>
      <c r="JWE243" s="7"/>
      <c r="JWF243" s="7"/>
      <c r="JWG243" s="7"/>
      <c r="JWH243" s="7"/>
      <c r="JWI243" s="7"/>
      <c r="JWJ243" s="7"/>
      <c r="JWK243" s="7"/>
      <c r="JWL243" s="7"/>
      <c r="JWM243" s="7"/>
      <c r="JWN243" s="7"/>
      <c r="JWO243" s="7"/>
      <c r="JWP243" s="7"/>
      <c r="JWQ243" s="7"/>
      <c r="JWR243" s="7"/>
      <c r="JWS243" s="7"/>
      <c r="JWT243" s="7"/>
      <c r="JWU243" s="7"/>
      <c r="JWV243" s="7"/>
      <c r="JWW243" s="7"/>
      <c r="JWX243" s="7"/>
      <c r="JWY243" s="7"/>
      <c r="JWZ243" s="7"/>
      <c r="JXA243" s="7"/>
      <c r="JXB243" s="7"/>
      <c r="JXC243" s="7"/>
      <c r="JXD243" s="7"/>
      <c r="JXE243" s="7"/>
      <c r="JXF243" s="7"/>
      <c r="JXG243" s="7"/>
      <c r="JXH243" s="7"/>
      <c r="JXI243" s="7"/>
      <c r="JXJ243" s="7"/>
      <c r="JXK243" s="7"/>
      <c r="JXL243" s="7"/>
      <c r="JXM243" s="7"/>
      <c r="JXN243" s="7"/>
      <c r="JXO243" s="7"/>
      <c r="JXP243" s="7"/>
      <c r="JXQ243" s="7"/>
      <c r="JXR243" s="7"/>
      <c r="JXS243" s="7"/>
      <c r="JXT243" s="7"/>
      <c r="JXU243" s="7"/>
      <c r="JXV243" s="7"/>
      <c r="JXW243" s="7"/>
      <c r="JXX243" s="7"/>
      <c r="JXY243" s="7"/>
      <c r="JXZ243" s="7"/>
      <c r="JYA243" s="7"/>
      <c r="JYB243" s="7"/>
      <c r="JYC243" s="7"/>
      <c r="JYD243" s="7"/>
      <c r="JYE243" s="7"/>
      <c r="JYF243" s="7"/>
      <c r="JYG243" s="7"/>
      <c r="JYH243" s="7"/>
      <c r="JYI243" s="7"/>
      <c r="JYJ243" s="7"/>
      <c r="JYK243" s="7"/>
      <c r="JYL243" s="7"/>
      <c r="JYM243" s="7"/>
      <c r="JYN243" s="7"/>
      <c r="JYO243" s="7"/>
      <c r="JYP243" s="7"/>
      <c r="JYQ243" s="7"/>
      <c r="JYR243" s="7"/>
      <c r="JYS243" s="7"/>
      <c r="JYT243" s="7"/>
      <c r="JYU243" s="7"/>
      <c r="JYV243" s="7"/>
      <c r="JYW243" s="7"/>
      <c r="JYX243" s="7"/>
      <c r="JYY243" s="7"/>
      <c r="JYZ243" s="7"/>
      <c r="JZA243" s="7"/>
      <c r="JZB243" s="7"/>
      <c r="JZC243" s="7"/>
      <c r="JZD243" s="7"/>
      <c r="JZE243" s="7"/>
      <c r="JZF243" s="7"/>
      <c r="JZG243" s="7"/>
      <c r="JZH243" s="7"/>
      <c r="JZI243" s="7"/>
      <c r="JZJ243" s="7"/>
      <c r="JZK243" s="7"/>
      <c r="JZL243" s="7"/>
      <c r="JZM243" s="7"/>
      <c r="JZN243" s="7"/>
      <c r="JZO243" s="7"/>
      <c r="JZP243" s="7"/>
      <c r="JZQ243" s="7"/>
      <c r="JZR243" s="7"/>
      <c r="JZS243" s="7"/>
      <c r="JZT243" s="7"/>
      <c r="JZU243" s="7"/>
      <c r="JZV243" s="7"/>
      <c r="JZW243" s="7"/>
      <c r="JZX243" s="7"/>
      <c r="JZY243" s="7"/>
      <c r="JZZ243" s="7"/>
      <c r="KAA243" s="7"/>
      <c r="KAB243" s="7"/>
      <c r="KAC243" s="7"/>
      <c r="KAD243" s="7"/>
      <c r="KAE243" s="7"/>
      <c r="KAF243" s="7"/>
      <c r="KAG243" s="7"/>
      <c r="KAH243" s="7"/>
      <c r="KAI243" s="7"/>
      <c r="KAJ243" s="7"/>
      <c r="KAK243" s="7"/>
      <c r="KAL243" s="7"/>
      <c r="KAM243" s="7"/>
      <c r="KAN243" s="7"/>
      <c r="KAO243" s="7"/>
      <c r="KAP243" s="7"/>
      <c r="KAQ243" s="7"/>
      <c r="KAR243" s="7"/>
      <c r="KAS243" s="7"/>
      <c r="KAT243" s="7"/>
      <c r="KAU243" s="7"/>
      <c r="KAV243" s="7"/>
      <c r="KAW243" s="7"/>
      <c r="KAX243" s="7"/>
      <c r="KAY243" s="7"/>
      <c r="KAZ243" s="7"/>
      <c r="KBA243" s="7"/>
      <c r="KBB243" s="7"/>
      <c r="KBC243" s="7"/>
      <c r="KBD243" s="7"/>
      <c r="KBE243" s="7"/>
      <c r="KBF243" s="7"/>
      <c r="KBG243" s="7"/>
      <c r="KBH243" s="7"/>
      <c r="KBI243" s="7"/>
      <c r="KBJ243" s="7"/>
      <c r="KBK243" s="7"/>
      <c r="KBL243" s="7"/>
      <c r="KBM243" s="7"/>
      <c r="KBN243" s="7"/>
      <c r="KBO243" s="7"/>
      <c r="KBP243" s="7"/>
      <c r="KBQ243" s="7"/>
      <c r="KBR243" s="7"/>
      <c r="KBS243" s="7"/>
      <c r="KBT243" s="7"/>
      <c r="KBU243" s="7"/>
      <c r="KBV243" s="7"/>
      <c r="KBW243" s="7"/>
      <c r="KBX243" s="7"/>
      <c r="KBY243" s="7"/>
      <c r="KBZ243" s="7"/>
      <c r="KCA243" s="7"/>
      <c r="KCB243" s="7"/>
      <c r="KCC243" s="7"/>
      <c r="KCD243" s="7"/>
      <c r="KCE243" s="7"/>
      <c r="KCF243" s="7"/>
      <c r="KCG243" s="7"/>
      <c r="KCH243" s="7"/>
      <c r="KCI243" s="7"/>
      <c r="KCJ243" s="7"/>
      <c r="KCK243" s="7"/>
      <c r="KCL243" s="7"/>
      <c r="KCM243" s="7"/>
      <c r="KCN243" s="7"/>
      <c r="KCO243" s="7"/>
      <c r="KCP243" s="7"/>
      <c r="KCQ243" s="7"/>
      <c r="KCR243" s="7"/>
      <c r="KCS243" s="7"/>
      <c r="KCT243" s="7"/>
      <c r="KCU243" s="7"/>
      <c r="KCV243" s="7"/>
      <c r="KCW243" s="7"/>
      <c r="KCX243" s="7"/>
      <c r="KCY243" s="7"/>
      <c r="KCZ243" s="7"/>
      <c r="KDA243" s="7"/>
      <c r="KDB243" s="7"/>
      <c r="KDC243" s="7"/>
      <c r="KDD243" s="7"/>
      <c r="KDE243" s="7"/>
      <c r="KDF243" s="7"/>
      <c r="KDG243" s="7"/>
      <c r="KDH243" s="7"/>
      <c r="KDI243" s="7"/>
      <c r="KDJ243" s="7"/>
      <c r="KDK243" s="7"/>
      <c r="KDL243" s="7"/>
      <c r="KDM243" s="7"/>
      <c r="KDN243" s="7"/>
      <c r="KDO243" s="7"/>
      <c r="KDP243" s="7"/>
      <c r="KDQ243" s="7"/>
      <c r="KDR243" s="7"/>
      <c r="KDS243" s="7"/>
      <c r="KDT243" s="7"/>
      <c r="KDU243" s="7"/>
      <c r="KDV243" s="7"/>
      <c r="KDW243" s="7"/>
      <c r="KDX243" s="7"/>
      <c r="KDY243" s="7"/>
      <c r="KDZ243" s="7"/>
      <c r="KEA243" s="7"/>
      <c r="KEB243" s="7"/>
      <c r="KEC243" s="7"/>
      <c r="KED243" s="7"/>
      <c r="KEE243" s="7"/>
      <c r="KEF243" s="7"/>
      <c r="KEG243" s="7"/>
      <c r="KEH243" s="7"/>
      <c r="KEI243" s="7"/>
      <c r="KEJ243" s="7"/>
      <c r="KEK243" s="7"/>
      <c r="KEL243" s="7"/>
      <c r="KEM243" s="7"/>
      <c r="KEN243" s="7"/>
      <c r="KEO243" s="7"/>
      <c r="KEP243" s="7"/>
      <c r="KEQ243" s="7"/>
      <c r="KER243" s="7"/>
      <c r="KES243" s="7"/>
      <c r="KET243" s="7"/>
      <c r="KEU243" s="7"/>
      <c r="KEV243" s="7"/>
      <c r="KEW243" s="7"/>
      <c r="KEX243" s="7"/>
      <c r="KEY243" s="7"/>
      <c r="KEZ243" s="7"/>
      <c r="KFA243" s="7"/>
      <c r="KFB243" s="7"/>
      <c r="KFC243" s="7"/>
      <c r="KFD243" s="7"/>
      <c r="KFE243" s="7"/>
      <c r="KFF243" s="7"/>
      <c r="KFG243" s="7"/>
      <c r="KFH243" s="7"/>
      <c r="KFI243" s="7"/>
      <c r="KFJ243" s="7"/>
      <c r="KFK243" s="7"/>
      <c r="KFL243" s="7"/>
      <c r="KFM243" s="7"/>
      <c r="KFN243" s="7"/>
      <c r="KFO243" s="7"/>
      <c r="KFP243" s="7"/>
      <c r="KFQ243" s="7"/>
      <c r="KFR243" s="7"/>
      <c r="KFS243" s="7"/>
      <c r="KFT243" s="7"/>
      <c r="KFU243" s="7"/>
      <c r="KFV243" s="7"/>
      <c r="KFW243" s="7"/>
      <c r="KFX243" s="7"/>
      <c r="KFY243" s="7"/>
      <c r="KFZ243" s="7"/>
      <c r="KGA243" s="7"/>
      <c r="KGB243" s="7"/>
      <c r="KGC243" s="7"/>
      <c r="KGD243" s="7"/>
      <c r="KGE243" s="7"/>
      <c r="KGF243" s="7"/>
      <c r="KGG243" s="7"/>
      <c r="KGH243" s="7"/>
      <c r="KGI243" s="7"/>
      <c r="KGJ243" s="7"/>
      <c r="KGK243" s="7"/>
      <c r="KGL243" s="7"/>
      <c r="KGM243" s="7"/>
      <c r="KGN243" s="7"/>
      <c r="KGO243" s="7"/>
      <c r="KGP243" s="7"/>
      <c r="KGQ243" s="7"/>
      <c r="KGR243" s="7"/>
      <c r="KGS243" s="7"/>
      <c r="KGT243" s="7"/>
      <c r="KGU243" s="7"/>
      <c r="KGV243" s="7"/>
      <c r="KGW243" s="7"/>
      <c r="KGX243" s="7"/>
      <c r="KGY243" s="7"/>
      <c r="KGZ243" s="7"/>
      <c r="KHA243" s="7"/>
      <c r="KHB243" s="7"/>
      <c r="KHC243" s="7"/>
      <c r="KHD243" s="7"/>
      <c r="KHE243" s="7"/>
      <c r="KHF243" s="7"/>
      <c r="KHG243" s="7"/>
      <c r="KHH243" s="7"/>
      <c r="KHI243" s="7"/>
      <c r="KHJ243" s="7"/>
      <c r="KHK243" s="7"/>
      <c r="KHL243" s="7"/>
      <c r="KHM243" s="7"/>
      <c r="KHN243" s="7"/>
      <c r="KHO243" s="7"/>
      <c r="KHP243" s="7"/>
      <c r="KHQ243" s="7"/>
      <c r="KHR243" s="7"/>
      <c r="KHS243" s="7"/>
      <c r="KHT243" s="7"/>
      <c r="KHU243" s="7"/>
      <c r="KHV243" s="7"/>
      <c r="KHW243" s="7"/>
      <c r="KHX243" s="7"/>
      <c r="KHY243" s="7"/>
      <c r="KHZ243" s="7"/>
      <c r="KIA243" s="7"/>
      <c r="KIB243" s="7"/>
      <c r="KIC243" s="7"/>
      <c r="KID243" s="7"/>
      <c r="KIE243" s="7"/>
      <c r="KIF243" s="7"/>
      <c r="KIG243" s="7"/>
      <c r="KIH243" s="7"/>
      <c r="KII243" s="7"/>
      <c r="KIJ243" s="7"/>
      <c r="KIK243" s="7"/>
      <c r="KIL243" s="7"/>
      <c r="KIM243" s="7"/>
      <c r="KIN243" s="7"/>
      <c r="KIO243" s="7"/>
      <c r="KIP243" s="7"/>
      <c r="KIQ243" s="7"/>
      <c r="KIR243" s="7"/>
      <c r="KIS243" s="7"/>
      <c r="KIT243" s="7"/>
      <c r="KIU243" s="7"/>
      <c r="KIV243" s="7"/>
      <c r="KIW243" s="7"/>
      <c r="KIX243" s="7"/>
      <c r="KIY243" s="7"/>
      <c r="KIZ243" s="7"/>
      <c r="KJA243" s="7"/>
      <c r="KJB243" s="7"/>
      <c r="KJC243" s="7"/>
      <c r="KJD243" s="7"/>
      <c r="KJE243" s="7"/>
      <c r="KJF243" s="7"/>
      <c r="KJG243" s="7"/>
      <c r="KJH243" s="7"/>
      <c r="KJI243" s="7"/>
      <c r="KJJ243" s="7"/>
      <c r="KJK243" s="7"/>
      <c r="KJL243" s="7"/>
      <c r="KJM243" s="7"/>
      <c r="KJN243" s="7"/>
      <c r="KJO243" s="7"/>
      <c r="KJP243" s="7"/>
      <c r="KJQ243" s="7"/>
      <c r="KJR243" s="7"/>
      <c r="KJS243" s="7"/>
      <c r="KJT243" s="7"/>
      <c r="KJU243" s="7"/>
      <c r="KJV243" s="7"/>
      <c r="KJW243" s="7"/>
      <c r="KJX243" s="7"/>
      <c r="KJY243" s="7"/>
      <c r="KJZ243" s="7"/>
      <c r="KKA243" s="7"/>
      <c r="KKB243" s="7"/>
      <c r="KKC243" s="7"/>
      <c r="KKD243" s="7"/>
      <c r="KKE243" s="7"/>
      <c r="KKF243" s="7"/>
      <c r="KKG243" s="7"/>
      <c r="KKH243" s="7"/>
      <c r="KKI243" s="7"/>
      <c r="KKJ243" s="7"/>
      <c r="KKK243" s="7"/>
      <c r="KKL243" s="7"/>
      <c r="KKM243" s="7"/>
      <c r="KKN243" s="7"/>
      <c r="KKO243" s="7"/>
      <c r="KKP243" s="7"/>
      <c r="KKQ243" s="7"/>
      <c r="KKR243" s="7"/>
      <c r="KKS243" s="7"/>
      <c r="KKT243" s="7"/>
      <c r="KKU243" s="7"/>
      <c r="KKV243" s="7"/>
      <c r="KKW243" s="7"/>
      <c r="KKX243" s="7"/>
      <c r="KKY243" s="7"/>
      <c r="KKZ243" s="7"/>
      <c r="KLA243" s="7"/>
      <c r="KLB243" s="7"/>
      <c r="KLC243" s="7"/>
      <c r="KLD243" s="7"/>
      <c r="KLE243" s="7"/>
      <c r="KLF243" s="7"/>
      <c r="KLG243" s="7"/>
      <c r="KLH243" s="7"/>
      <c r="KLI243" s="7"/>
      <c r="KLJ243" s="7"/>
      <c r="KLK243" s="7"/>
      <c r="KLL243" s="7"/>
      <c r="KLM243" s="7"/>
      <c r="KLN243" s="7"/>
      <c r="KLO243" s="7"/>
      <c r="KLP243" s="7"/>
      <c r="KLQ243" s="7"/>
      <c r="KLR243" s="7"/>
      <c r="KLS243" s="7"/>
      <c r="KLT243" s="7"/>
      <c r="KLU243" s="7"/>
      <c r="KLV243" s="7"/>
      <c r="KLW243" s="7"/>
      <c r="KLX243" s="7"/>
      <c r="KLY243" s="7"/>
      <c r="KLZ243" s="7"/>
      <c r="KMA243" s="7"/>
      <c r="KMB243" s="7"/>
      <c r="KMC243" s="7"/>
      <c r="KMD243" s="7"/>
      <c r="KME243" s="7"/>
      <c r="KMF243" s="7"/>
      <c r="KMG243" s="7"/>
      <c r="KMH243" s="7"/>
      <c r="KMI243" s="7"/>
      <c r="KMJ243" s="7"/>
      <c r="KMK243" s="7"/>
      <c r="KML243" s="7"/>
      <c r="KMM243" s="7"/>
      <c r="KMN243" s="7"/>
      <c r="KMO243" s="7"/>
      <c r="KMP243" s="7"/>
      <c r="KMQ243" s="7"/>
      <c r="KMR243" s="7"/>
      <c r="KMS243" s="7"/>
      <c r="KMT243" s="7"/>
      <c r="KMU243" s="7"/>
      <c r="KMV243" s="7"/>
      <c r="KMW243" s="7"/>
      <c r="KMX243" s="7"/>
      <c r="KMY243" s="7"/>
      <c r="KMZ243" s="7"/>
      <c r="KNA243" s="7"/>
      <c r="KNB243" s="7"/>
      <c r="KNC243" s="7"/>
      <c r="KND243" s="7"/>
      <c r="KNE243" s="7"/>
      <c r="KNF243" s="7"/>
      <c r="KNG243" s="7"/>
      <c r="KNH243" s="7"/>
      <c r="KNI243" s="7"/>
      <c r="KNJ243" s="7"/>
      <c r="KNK243" s="7"/>
      <c r="KNL243" s="7"/>
      <c r="KNM243" s="7"/>
      <c r="KNN243" s="7"/>
      <c r="KNO243" s="7"/>
      <c r="KNP243" s="7"/>
      <c r="KNQ243" s="7"/>
      <c r="KNR243" s="7"/>
      <c r="KNS243" s="7"/>
      <c r="KNT243" s="7"/>
      <c r="KNU243" s="7"/>
      <c r="KNV243" s="7"/>
      <c r="KNW243" s="7"/>
      <c r="KNX243" s="7"/>
      <c r="KNY243" s="7"/>
      <c r="KNZ243" s="7"/>
      <c r="KOA243" s="7"/>
      <c r="KOB243" s="7"/>
      <c r="KOC243" s="7"/>
      <c r="KOD243" s="7"/>
      <c r="KOE243" s="7"/>
      <c r="KOF243" s="7"/>
      <c r="KOG243" s="7"/>
      <c r="KOH243" s="7"/>
      <c r="KOI243" s="7"/>
      <c r="KOJ243" s="7"/>
      <c r="KOK243" s="7"/>
      <c r="KOL243" s="7"/>
      <c r="KOM243" s="7"/>
      <c r="KON243" s="7"/>
      <c r="KOO243" s="7"/>
      <c r="KOP243" s="7"/>
      <c r="KOQ243" s="7"/>
      <c r="KOR243" s="7"/>
      <c r="KOS243" s="7"/>
      <c r="KOT243" s="7"/>
      <c r="KOU243" s="7"/>
      <c r="KOV243" s="7"/>
      <c r="KOW243" s="7"/>
      <c r="KOX243" s="7"/>
      <c r="KOY243" s="7"/>
      <c r="KOZ243" s="7"/>
      <c r="KPA243" s="7"/>
      <c r="KPB243" s="7"/>
      <c r="KPC243" s="7"/>
      <c r="KPD243" s="7"/>
      <c r="KPE243" s="7"/>
      <c r="KPF243" s="7"/>
      <c r="KPG243" s="7"/>
      <c r="KPH243" s="7"/>
      <c r="KPI243" s="7"/>
      <c r="KPJ243" s="7"/>
      <c r="KPK243" s="7"/>
      <c r="KPL243" s="7"/>
      <c r="KPM243" s="7"/>
      <c r="KPN243" s="7"/>
      <c r="KPO243" s="7"/>
      <c r="KPP243" s="7"/>
      <c r="KPQ243" s="7"/>
      <c r="KPR243" s="7"/>
      <c r="KPS243" s="7"/>
      <c r="KPT243" s="7"/>
      <c r="KPU243" s="7"/>
      <c r="KPV243" s="7"/>
      <c r="KPW243" s="7"/>
      <c r="KPX243" s="7"/>
      <c r="KPY243" s="7"/>
      <c r="KPZ243" s="7"/>
      <c r="KQA243" s="7"/>
      <c r="KQB243" s="7"/>
      <c r="KQC243" s="7"/>
      <c r="KQD243" s="7"/>
      <c r="KQE243" s="7"/>
      <c r="KQF243" s="7"/>
      <c r="KQG243" s="7"/>
      <c r="KQH243" s="7"/>
      <c r="KQI243" s="7"/>
      <c r="KQJ243" s="7"/>
      <c r="KQK243" s="7"/>
      <c r="KQL243" s="7"/>
      <c r="KQM243" s="7"/>
      <c r="KQN243" s="7"/>
      <c r="KQO243" s="7"/>
      <c r="KQP243" s="7"/>
      <c r="KQQ243" s="7"/>
      <c r="KQR243" s="7"/>
      <c r="KQS243" s="7"/>
      <c r="KQT243" s="7"/>
      <c r="KQU243" s="7"/>
      <c r="KQV243" s="7"/>
      <c r="KQW243" s="7"/>
      <c r="KQX243" s="7"/>
      <c r="KQY243" s="7"/>
      <c r="KQZ243" s="7"/>
      <c r="KRA243" s="7"/>
      <c r="KRB243" s="7"/>
      <c r="KRC243" s="7"/>
      <c r="KRD243" s="7"/>
      <c r="KRE243" s="7"/>
      <c r="KRF243" s="7"/>
      <c r="KRG243" s="7"/>
      <c r="KRH243" s="7"/>
      <c r="KRI243" s="7"/>
      <c r="KRJ243" s="7"/>
      <c r="KRK243" s="7"/>
      <c r="KRL243" s="7"/>
      <c r="KRM243" s="7"/>
      <c r="KRN243" s="7"/>
      <c r="KRO243" s="7"/>
      <c r="KRP243" s="7"/>
      <c r="KRQ243" s="7"/>
      <c r="KRR243" s="7"/>
      <c r="KRS243" s="7"/>
      <c r="KRT243" s="7"/>
      <c r="KRU243" s="7"/>
      <c r="KRV243" s="7"/>
      <c r="KRW243" s="7"/>
      <c r="KRX243" s="7"/>
      <c r="KRY243" s="7"/>
      <c r="KRZ243" s="7"/>
      <c r="KSA243" s="7"/>
      <c r="KSB243" s="7"/>
      <c r="KSC243" s="7"/>
      <c r="KSD243" s="7"/>
      <c r="KSE243" s="7"/>
      <c r="KSF243" s="7"/>
      <c r="KSG243" s="7"/>
      <c r="KSH243" s="7"/>
      <c r="KSI243" s="7"/>
      <c r="KSJ243" s="7"/>
      <c r="KSK243" s="7"/>
      <c r="KSL243" s="7"/>
      <c r="KSM243" s="7"/>
      <c r="KSN243" s="7"/>
      <c r="KSO243" s="7"/>
      <c r="KSP243" s="7"/>
      <c r="KSQ243" s="7"/>
      <c r="KSR243" s="7"/>
      <c r="KSS243" s="7"/>
      <c r="KST243" s="7"/>
      <c r="KSU243" s="7"/>
      <c r="KSV243" s="7"/>
      <c r="KSW243" s="7"/>
      <c r="KSX243" s="7"/>
      <c r="KSY243" s="7"/>
      <c r="KSZ243" s="7"/>
      <c r="KTA243" s="7"/>
      <c r="KTB243" s="7"/>
      <c r="KTC243" s="7"/>
      <c r="KTD243" s="7"/>
      <c r="KTE243" s="7"/>
      <c r="KTF243" s="7"/>
      <c r="KTG243" s="7"/>
      <c r="KTH243" s="7"/>
      <c r="KTI243" s="7"/>
      <c r="KTJ243" s="7"/>
      <c r="KTK243" s="7"/>
      <c r="KTL243" s="7"/>
      <c r="KTM243" s="7"/>
      <c r="KTN243" s="7"/>
      <c r="KTO243" s="7"/>
      <c r="KTP243" s="7"/>
      <c r="KTQ243" s="7"/>
      <c r="KTR243" s="7"/>
      <c r="KTS243" s="7"/>
      <c r="KTT243" s="7"/>
      <c r="KTU243" s="7"/>
      <c r="KTV243" s="7"/>
      <c r="KTW243" s="7"/>
      <c r="KTX243" s="7"/>
      <c r="KTY243" s="7"/>
      <c r="KTZ243" s="7"/>
      <c r="KUA243" s="7"/>
      <c r="KUB243" s="7"/>
      <c r="KUC243" s="7"/>
      <c r="KUD243" s="7"/>
      <c r="KUE243" s="7"/>
      <c r="KUF243" s="7"/>
      <c r="KUG243" s="7"/>
      <c r="KUH243" s="7"/>
      <c r="KUI243" s="7"/>
      <c r="KUJ243" s="7"/>
      <c r="KUK243" s="7"/>
      <c r="KUL243" s="7"/>
      <c r="KUM243" s="7"/>
      <c r="KUN243" s="7"/>
      <c r="KUO243" s="7"/>
      <c r="KUP243" s="7"/>
      <c r="KUQ243" s="7"/>
      <c r="KUR243" s="7"/>
      <c r="KUS243" s="7"/>
      <c r="KUT243" s="7"/>
      <c r="KUU243" s="7"/>
      <c r="KUV243" s="7"/>
      <c r="KUW243" s="7"/>
      <c r="KUX243" s="7"/>
      <c r="KUY243" s="7"/>
      <c r="KUZ243" s="7"/>
      <c r="KVA243" s="7"/>
      <c r="KVB243" s="7"/>
      <c r="KVC243" s="7"/>
      <c r="KVD243" s="7"/>
      <c r="KVE243" s="7"/>
      <c r="KVF243" s="7"/>
      <c r="KVG243" s="7"/>
      <c r="KVH243" s="7"/>
      <c r="KVI243" s="7"/>
      <c r="KVJ243" s="7"/>
      <c r="KVK243" s="7"/>
      <c r="KVL243" s="7"/>
      <c r="KVM243" s="7"/>
      <c r="KVN243" s="7"/>
      <c r="KVO243" s="7"/>
      <c r="KVP243" s="7"/>
      <c r="KVQ243" s="7"/>
      <c r="KVR243" s="7"/>
      <c r="KVS243" s="7"/>
      <c r="KVT243" s="7"/>
      <c r="KVU243" s="7"/>
      <c r="KVV243" s="7"/>
      <c r="KVW243" s="7"/>
      <c r="KVX243" s="7"/>
      <c r="KVY243" s="7"/>
      <c r="KVZ243" s="7"/>
      <c r="KWA243" s="7"/>
      <c r="KWB243" s="7"/>
      <c r="KWC243" s="7"/>
      <c r="KWD243" s="7"/>
      <c r="KWE243" s="7"/>
      <c r="KWF243" s="7"/>
      <c r="KWG243" s="7"/>
      <c r="KWH243" s="7"/>
      <c r="KWI243" s="7"/>
      <c r="KWJ243" s="7"/>
      <c r="KWK243" s="7"/>
      <c r="KWL243" s="7"/>
      <c r="KWM243" s="7"/>
      <c r="KWN243" s="7"/>
      <c r="KWO243" s="7"/>
      <c r="KWP243" s="7"/>
      <c r="KWQ243" s="7"/>
      <c r="KWR243" s="7"/>
      <c r="KWS243" s="7"/>
      <c r="KWT243" s="7"/>
      <c r="KWU243" s="7"/>
      <c r="KWV243" s="7"/>
      <c r="KWW243" s="7"/>
      <c r="KWX243" s="7"/>
      <c r="KWY243" s="7"/>
      <c r="KWZ243" s="7"/>
      <c r="KXA243" s="7"/>
      <c r="KXB243" s="7"/>
      <c r="KXC243" s="7"/>
      <c r="KXD243" s="7"/>
      <c r="KXE243" s="7"/>
      <c r="KXF243" s="7"/>
      <c r="KXG243" s="7"/>
      <c r="KXH243" s="7"/>
      <c r="KXI243" s="7"/>
      <c r="KXJ243" s="7"/>
      <c r="KXK243" s="7"/>
      <c r="KXL243" s="7"/>
      <c r="KXM243" s="7"/>
      <c r="KXN243" s="7"/>
      <c r="KXO243" s="7"/>
      <c r="KXP243" s="7"/>
      <c r="KXQ243" s="7"/>
      <c r="KXR243" s="7"/>
      <c r="KXS243" s="7"/>
      <c r="KXT243" s="7"/>
      <c r="KXU243" s="7"/>
      <c r="KXV243" s="7"/>
      <c r="KXW243" s="7"/>
      <c r="KXX243" s="7"/>
      <c r="KXY243" s="7"/>
      <c r="KXZ243" s="7"/>
      <c r="KYA243" s="7"/>
      <c r="KYB243" s="7"/>
      <c r="KYC243" s="7"/>
      <c r="KYD243" s="7"/>
      <c r="KYE243" s="7"/>
      <c r="KYF243" s="7"/>
      <c r="KYG243" s="7"/>
      <c r="KYH243" s="7"/>
      <c r="KYI243" s="7"/>
      <c r="KYJ243" s="7"/>
      <c r="KYK243" s="7"/>
      <c r="KYL243" s="7"/>
      <c r="KYM243" s="7"/>
      <c r="KYN243" s="7"/>
      <c r="KYO243" s="7"/>
      <c r="KYP243" s="7"/>
      <c r="KYQ243" s="7"/>
      <c r="KYR243" s="7"/>
      <c r="KYS243" s="7"/>
      <c r="KYT243" s="7"/>
      <c r="KYU243" s="7"/>
      <c r="KYV243" s="7"/>
      <c r="KYW243" s="7"/>
      <c r="KYX243" s="7"/>
      <c r="KYY243" s="7"/>
      <c r="KYZ243" s="7"/>
      <c r="KZA243" s="7"/>
      <c r="KZB243" s="7"/>
      <c r="KZC243" s="7"/>
      <c r="KZD243" s="7"/>
      <c r="KZE243" s="7"/>
      <c r="KZF243" s="7"/>
      <c r="KZG243" s="7"/>
      <c r="KZH243" s="7"/>
      <c r="KZI243" s="7"/>
      <c r="KZJ243" s="7"/>
      <c r="KZK243" s="7"/>
      <c r="KZL243" s="7"/>
      <c r="KZM243" s="7"/>
      <c r="KZN243" s="7"/>
      <c r="KZO243" s="7"/>
      <c r="KZP243" s="7"/>
      <c r="KZQ243" s="7"/>
      <c r="KZR243" s="7"/>
      <c r="KZS243" s="7"/>
      <c r="KZT243" s="7"/>
      <c r="KZU243" s="7"/>
      <c r="KZV243" s="7"/>
      <c r="KZW243" s="7"/>
      <c r="KZX243" s="7"/>
      <c r="KZY243" s="7"/>
      <c r="KZZ243" s="7"/>
      <c r="LAA243" s="7"/>
      <c r="LAB243" s="7"/>
      <c r="LAC243" s="7"/>
      <c r="LAD243" s="7"/>
      <c r="LAE243" s="7"/>
      <c r="LAF243" s="7"/>
      <c r="LAG243" s="7"/>
      <c r="LAH243" s="7"/>
      <c r="LAI243" s="7"/>
      <c r="LAJ243" s="7"/>
      <c r="LAK243" s="7"/>
      <c r="LAL243" s="7"/>
      <c r="LAM243" s="7"/>
      <c r="LAN243" s="7"/>
      <c r="LAO243" s="7"/>
      <c r="LAP243" s="7"/>
      <c r="LAQ243" s="7"/>
      <c r="LAR243" s="7"/>
      <c r="LAS243" s="7"/>
      <c r="LAT243" s="7"/>
      <c r="LAU243" s="7"/>
      <c r="LAV243" s="7"/>
      <c r="LAW243" s="7"/>
      <c r="LAX243" s="7"/>
      <c r="LAY243" s="7"/>
      <c r="LAZ243" s="7"/>
      <c r="LBA243" s="7"/>
      <c r="LBB243" s="7"/>
      <c r="LBC243" s="7"/>
      <c r="LBD243" s="7"/>
      <c r="LBE243" s="7"/>
      <c r="LBF243" s="7"/>
      <c r="LBG243" s="7"/>
      <c r="LBH243" s="7"/>
      <c r="LBI243" s="7"/>
      <c r="LBJ243" s="7"/>
      <c r="LBK243" s="7"/>
      <c r="LBL243" s="7"/>
      <c r="LBM243" s="7"/>
      <c r="LBN243" s="7"/>
      <c r="LBO243" s="7"/>
      <c r="LBP243" s="7"/>
      <c r="LBQ243" s="7"/>
      <c r="LBR243" s="7"/>
      <c r="LBS243" s="7"/>
      <c r="LBT243" s="7"/>
      <c r="LBU243" s="7"/>
      <c r="LBV243" s="7"/>
      <c r="LBW243" s="7"/>
      <c r="LBX243" s="7"/>
      <c r="LBY243" s="7"/>
      <c r="LBZ243" s="7"/>
      <c r="LCA243" s="7"/>
      <c r="LCB243" s="7"/>
      <c r="LCC243" s="7"/>
      <c r="LCD243" s="7"/>
      <c r="LCE243" s="7"/>
      <c r="LCF243" s="7"/>
      <c r="LCG243" s="7"/>
      <c r="LCH243" s="7"/>
      <c r="LCI243" s="7"/>
      <c r="LCJ243" s="7"/>
      <c r="LCK243" s="7"/>
      <c r="LCL243" s="7"/>
      <c r="LCM243" s="7"/>
      <c r="LCN243" s="7"/>
      <c r="LCO243" s="7"/>
      <c r="LCP243" s="7"/>
      <c r="LCQ243" s="7"/>
      <c r="LCR243" s="7"/>
      <c r="LCS243" s="7"/>
      <c r="LCT243" s="7"/>
      <c r="LCU243" s="7"/>
      <c r="LCV243" s="7"/>
      <c r="LCW243" s="7"/>
      <c r="LCX243" s="7"/>
      <c r="LCY243" s="7"/>
      <c r="LCZ243" s="7"/>
      <c r="LDA243" s="7"/>
      <c r="LDB243" s="7"/>
      <c r="LDC243" s="7"/>
      <c r="LDD243" s="7"/>
      <c r="LDE243" s="7"/>
      <c r="LDF243" s="7"/>
      <c r="LDG243" s="7"/>
      <c r="LDH243" s="7"/>
      <c r="LDI243" s="7"/>
      <c r="LDJ243" s="7"/>
      <c r="LDK243" s="7"/>
      <c r="LDL243" s="7"/>
      <c r="LDM243" s="7"/>
      <c r="LDN243" s="7"/>
      <c r="LDO243" s="7"/>
      <c r="LDP243" s="7"/>
      <c r="LDQ243" s="7"/>
      <c r="LDR243" s="7"/>
      <c r="LDS243" s="7"/>
      <c r="LDT243" s="7"/>
      <c r="LDU243" s="7"/>
      <c r="LDV243" s="7"/>
      <c r="LDW243" s="7"/>
      <c r="LDX243" s="7"/>
      <c r="LDY243" s="7"/>
      <c r="LDZ243" s="7"/>
      <c r="LEA243" s="7"/>
      <c r="LEB243" s="7"/>
      <c r="LEC243" s="7"/>
      <c r="LED243" s="7"/>
      <c r="LEE243" s="7"/>
      <c r="LEF243" s="7"/>
      <c r="LEG243" s="7"/>
      <c r="LEH243" s="7"/>
      <c r="LEI243" s="7"/>
      <c r="LEJ243" s="7"/>
      <c r="LEK243" s="7"/>
      <c r="LEL243" s="7"/>
      <c r="LEM243" s="7"/>
      <c r="LEN243" s="7"/>
      <c r="LEO243" s="7"/>
      <c r="LEP243" s="7"/>
      <c r="LEQ243" s="7"/>
      <c r="LER243" s="7"/>
      <c r="LES243" s="7"/>
      <c r="LET243" s="7"/>
      <c r="LEU243" s="7"/>
      <c r="LEV243" s="7"/>
      <c r="LEW243" s="7"/>
      <c r="LEX243" s="7"/>
      <c r="LEY243" s="7"/>
      <c r="LEZ243" s="7"/>
      <c r="LFA243" s="7"/>
      <c r="LFB243" s="7"/>
      <c r="LFC243" s="7"/>
      <c r="LFD243" s="7"/>
      <c r="LFE243" s="7"/>
      <c r="LFF243" s="7"/>
      <c r="LFG243" s="7"/>
      <c r="LFH243" s="7"/>
      <c r="LFI243" s="7"/>
      <c r="LFJ243" s="7"/>
      <c r="LFK243" s="7"/>
      <c r="LFL243" s="7"/>
      <c r="LFM243" s="7"/>
      <c r="LFN243" s="7"/>
      <c r="LFO243" s="7"/>
      <c r="LFP243" s="7"/>
      <c r="LFQ243" s="7"/>
      <c r="LFR243" s="7"/>
      <c r="LFS243" s="7"/>
      <c r="LFT243" s="7"/>
      <c r="LFU243" s="7"/>
      <c r="LFV243" s="7"/>
      <c r="LFW243" s="7"/>
      <c r="LFX243" s="7"/>
      <c r="LFY243" s="7"/>
      <c r="LFZ243" s="7"/>
      <c r="LGA243" s="7"/>
      <c r="LGB243" s="7"/>
      <c r="LGC243" s="7"/>
      <c r="LGD243" s="7"/>
      <c r="LGE243" s="7"/>
      <c r="LGF243" s="7"/>
      <c r="LGG243" s="7"/>
      <c r="LGH243" s="7"/>
      <c r="LGI243" s="7"/>
      <c r="LGJ243" s="7"/>
      <c r="LGK243" s="7"/>
      <c r="LGL243" s="7"/>
      <c r="LGM243" s="7"/>
      <c r="LGN243" s="7"/>
      <c r="LGO243" s="7"/>
      <c r="LGP243" s="7"/>
      <c r="LGQ243" s="7"/>
      <c r="LGR243" s="7"/>
      <c r="LGS243" s="7"/>
      <c r="LGT243" s="7"/>
      <c r="LGU243" s="7"/>
      <c r="LGV243" s="7"/>
      <c r="LGW243" s="7"/>
      <c r="LGX243" s="7"/>
      <c r="LGY243" s="7"/>
      <c r="LGZ243" s="7"/>
      <c r="LHA243" s="7"/>
      <c r="LHB243" s="7"/>
      <c r="LHC243" s="7"/>
      <c r="LHD243" s="7"/>
      <c r="LHE243" s="7"/>
      <c r="LHF243" s="7"/>
      <c r="LHG243" s="7"/>
      <c r="LHH243" s="7"/>
      <c r="LHI243" s="7"/>
      <c r="LHJ243" s="7"/>
      <c r="LHK243" s="7"/>
      <c r="LHL243" s="7"/>
      <c r="LHM243" s="7"/>
      <c r="LHN243" s="7"/>
      <c r="LHO243" s="7"/>
      <c r="LHP243" s="7"/>
      <c r="LHQ243" s="7"/>
      <c r="LHR243" s="7"/>
      <c r="LHS243" s="7"/>
      <c r="LHT243" s="7"/>
      <c r="LHU243" s="7"/>
      <c r="LHV243" s="7"/>
      <c r="LHW243" s="7"/>
      <c r="LHX243" s="7"/>
      <c r="LHY243" s="7"/>
      <c r="LHZ243" s="7"/>
      <c r="LIA243" s="7"/>
      <c r="LIB243" s="7"/>
      <c r="LIC243" s="7"/>
      <c r="LID243" s="7"/>
      <c r="LIE243" s="7"/>
      <c r="LIF243" s="7"/>
      <c r="LIG243" s="7"/>
      <c r="LIH243" s="7"/>
      <c r="LII243" s="7"/>
      <c r="LIJ243" s="7"/>
      <c r="LIK243" s="7"/>
      <c r="LIL243" s="7"/>
      <c r="LIM243" s="7"/>
      <c r="LIN243" s="7"/>
      <c r="LIO243" s="7"/>
      <c r="LIP243" s="7"/>
      <c r="LIQ243" s="7"/>
      <c r="LIR243" s="7"/>
      <c r="LIS243" s="7"/>
      <c r="LIT243" s="7"/>
      <c r="LIU243" s="7"/>
      <c r="LIV243" s="7"/>
      <c r="LIW243" s="7"/>
      <c r="LIX243" s="7"/>
      <c r="LIY243" s="7"/>
      <c r="LIZ243" s="7"/>
      <c r="LJA243" s="7"/>
      <c r="LJB243" s="7"/>
      <c r="LJC243" s="7"/>
      <c r="LJD243" s="7"/>
      <c r="LJE243" s="7"/>
      <c r="LJF243" s="7"/>
      <c r="LJG243" s="7"/>
      <c r="LJH243" s="7"/>
      <c r="LJI243" s="7"/>
      <c r="LJJ243" s="7"/>
      <c r="LJK243" s="7"/>
      <c r="LJL243" s="7"/>
      <c r="LJM243" s="7"/>
      <c r="LJN243" s="7"/>
      <c r="LJO243" s="7"/>
      <c r="LJP243" s="7"/>
      <c r="LJQ243" s="7"/>
      <c r="LJR243" s="7"/>
      <c r="LJS243" s="7"/>
      <c r="LJT243" s="7"/>
      <c r="LJU243" s="7"/>
      <c r="LJV243" s="7"/>
      <c r="LJW243" s="7"/>
      <c r="LJX243" s="7"/>
      <c r="LJY243" s="7"/>
      <c r="LJZ243" s="7"/>
      <c r="LKA243" s="7"/>
      <c r="LKB243" s="7"/>
      <c r="LKC243" s="7"/>
      <c r="LKD243" s="7"/>
      <c r="LKE243" s="7"/>
      <c r="LKF243" s="7"/>
      <c r="LKG243" s="7"/>
      <c r="LKH243" s="7"/>
      <c r="LKI243" s="7"/>
      <c r="LKJ243" s="7"/>
      <c r="LKK243" s="7"/>
      <c r="LKL243" s="7"/>
      <c r="LKM243" s="7"/>
      <c r="LKN243" s="7"/>
      <c r="LKO243" s="7"/>
      <c r="LKP243" s="7"/>
      <c r="LKQ243" s="7"/>
      <c r="LKR243" s="7"/>
      <c r="LKS243" s="7"/>
      <c r="LKT243" s="7"/>
      <c r="LKU243" s="7"/>
      <c r="LKV243" s="7"/>
      <c r="LKW243" s="7"/>
      <c r="LKX243" s="7"/>
      <c r="LKY243" s="7"/>
      <c r="LKZ243" s="7"/>
      <c r="LLA243" s="7"/>
      <c r="LLB243" s="7"/>
      <c r="LLC243" s="7"/>
      <c r="LLD243" s="7"/>
      <c r="LLE243" s="7"/>
      <c r="LLF243" s="7"/>
      <c r="LLG243" s="7"/>
      <c r="LLH243" s="7"/>
      <c r="LLI243" s="7"/>
      <c r="LLJ243" s="7"/>
      <c r="LLK243" s="7"/>
      <c r="LLL243" s="7"/>
      <c r="LLM243" s="7"/>
      <c r="LLN243" s="7"/>
      <c r="LLO243" s="7"/>
      <c r="LLP243" s="7"/>
      <c r="LLQ243" s="7"/>
      <c r="LLR243" s="7"/>
      <c r="LLS243" s="7"/>
      <c r="LLT243" s="7"/>
      <c r="LLU243" s="7"/>
      <c r="LLV243" s="7"/>
      <c r="LLW243" s="7"/>
      <c r="LLX243" s="7"/>
      <c r="LLY243" s="7"/>
      <c r="LLZ243" s="7"/>
      <c r="LMA243" s="7"/>
      <c r="LMB243" s="7"/>
      <c r="LMC243" s="7"/>
      <c r="LMD243" s="7"/>
      <c r="LME243" s="7"/>
      <c r="LMF243" s="7"/>
      <c r="LMG243" s="7"/>
      <c r="LMH243" s="7"/>
      <c r="LMI243" s="7"/>
      <c r="LMJ243" s="7"/>
      <c r="LMK243" s="7"/>
      <c r="LML243" s="7"/>
      <c r="LMM243" s="7"/>
      <c r="LMN243" s="7"/>
      <c r="LMO243" s="7"/>
      <c r="LMP243" s="7"/>
      <c r="LMQ243" s="7"/>
      <c r="LMR243" s="7"/>
      <c r="LMS243" s="7"/>
      <c r="LMT243" s="7"/>
      <c r="LMU243" s="7"/>
      <c r="LMV243" s="7"/>
      <c r="LMW243" s="7"/>
      <c r="LMX243" s="7"/>
      <c r="LMY243" s="7"/>
      <c r="LMZ243" s="7"/>
      <c r="LNA243" s="7"/>
      <c r="LNB243" s="7"/>
      <c r="LNC243" s="7"/>
      <c r="LND243" s="7"/>
      <c r="LNE243" s="7"/>
      <c r="LNF243" s="7"/>
      <c r="LNG243" s="7"/>
      <c r="LNH243" s="7"/>
      <c r="LNI243" s="7"/>
      <c r="LNJ243" s="7"/>
      <c r="LNK243" s="7"/>
      <c r="LNL243" s="7"/>
      <c r="LNM243" s="7"/>
      <c r="LNN243" s="7"/>
      <c r="LNO243" s="7"/>
      <c r="LNP243" s="7"/>
      <c r="LNQ243" s="7"/>
      <c r="LNR243" s="7"/>
      <c r="LNS243" s="7"/>
      <c r="LNT243" s="7"/>
      <c r="LNU243" s="7"/>
      <c r="LNV243" s="7"/>
      <c r="LNW243" s="7"/>
      <c r="LNX243" s="7"/>
      <c r="LNY243" s="7"/>
      <c r="LNZ243" s="7"/>
      <c r="LOA243" s="7"/>
      <c r="LOB243" s="7"/>
      <c r="LOC243" s="7"/>
      <c r="LOD243" s="7"/>
      <c r="LOE243" s="7"/>
      <c r="LOF243" s="7"/>
      <c r="LOG243" s="7"/>
      <c r="LOH243" s="7"/>
      <c r="LOI243" s="7"/>
      <c r="LOJ243" s="7"/>
      <c r="LOK243" s="7"/>
      <c r="LOL243" s="7"/>
      <c r="LOM243" s="7"/>
      <c r="LON243" s="7"/>
      <c r="LOO243" s="7"/>
      <c r="LOP243" s="7"/>
      <c r="LOQ243" s="7"/>
      <c r="LOR243" s="7"/>
      <c r="LOS243" s="7"/>
      <c r="LOT243" s="7"/>
      <c r="LOU243" s="7"/>
      <c r="LOV243" s="7"/>
      <c r="LOW243" s="7"/>
      <c r="LOX243" s="7"/>
      <c r="LOY243" s="7"/>
      <c r="LOZ243" s="7"/>
      <c r="LPA243" s="7"/>
      <c r="LPB243" s="7"/>
      <c r="LPC243" s="7"/>
      <c r="LPD243" s="7"/>
      <c r="LPE243" s="7"/>
      <c r="LPF243" s="7"/>
      <c r="LPG243" s="7"/>
      <c r="LPH243" s="7"/>
      <c r="LPI243" s="7"/>
      <c r="LPJ243" s="7"/>
      <c r="LPK243" s="7"/>
      <c r="LPL243" s="7"/>
      <c r="LPM243" s="7"/>
      <c r="LPN243" s="7"/>
      <c r="LPO243" s="7"/>
      <c r="LPP243" s="7"/>
      <c r="LPQ243" s="7"/>
      <c r="LPR243" s="7"/>
      <c r="LPS243" s="7"/>
      <c r="LPT243" s="7"/>
      <c r="LPU243" s="7"/>
      <c r="LPV243" s="7"/>
      <c r="LPW243" s="7"/>
      <c r="LPX243" s="7"/>
      <c r="LPY243" s="7"/>
      <c r="LPZ243" s="7"/>
      <c r="LQA243" s="7"/>
      <c r="LQB243" s="7"/>
      <c r="LQC243" s="7"/>
      <c r="LQD243" s="7"/>
      <c r="LQE243" s="7"/>
      <c r="LQF243" s="7"/>
      <c r="LQG243" s="7"/>
      <c r="LQH243" s="7"/>
      <c r="LQI243" s="7"/>
      <c r="LQJ243" s="7"/>
      <c r="LQK243" s="7"/>
      <c r="LQL243" s="7"/>
      <c r="LQM243" s="7"/>
      <c r="LQN243" s="7"/>
      <c r="LQO243" s="7"/>
      <c r="LQP243" s="7"/>
      <c r="LQQ243" s="7"/>
      <c r="LQR243" s="7"/>
      <c r="LQS243" s="7"/>
      <c r="LQT243" s="7"/>
      <c r="LQU243" s="7"/>
      <c r="LQV243" s="7"/>
      <c r="LQW243" s="7"/>
      <c r="LQX243" s="7"/>
      <c r="LQY243" s="7"/>
      <c r="LQZ243" s="7"/>
      <c r="LRA243" s="7"/>
      <c r="LRB243" s="7"/>
      <c r="LRC243" s="7"/>
      <c r="LRD243" s="7"/>
      <c r="LRE243" s="7"/>
      <c r="LRF243" s="7"/>
      <c r="LRG243" s="7"/>
      <c r="LRH243" s="7"/>
      <c r="LRI243" s="7"/>
      <c r="LRJ243" s="7"/>
      <c r="LRK243" s="7"/>
      <c r="LRL243" s="7"/>
      <c r="LRM243" s="7"/>
      <c r="LRN243" s="7"/>
      <c r="LRO243" s="7"/>
      <c r="LRP243" s="7"/>
      <c r="LRQ243" s="7"/>
      <c r="LRR243" s="7"/>
      <c r="LRS243" s="7"/>
      <c r="LRT243" s="7"/>
      <c r="LRU243" s="7"/>
      <c r="LRV243" s="7"/>
      <c r="LRW243" s="7"/>
      <c r="LRX243" s="7"/>
      <c r="LRY243" s="7"/>
      <c r="LRZ243" s="7"/>
      <c r="LSA243" s="7"/>
      <c r="LSB243" s="7"/>
      <c r="LSC243" s="7"/>
      <c r="LSD243" s="7"/>
      <c r="LSE243" s="7"/>
      <c r="LSF243" s="7"/>
      <c r="LSG243" s="7"/>
      <c r="LSH243" s="7"/>
      <c r="LSI243" s="7"/>
      <c r="LSJ243" s="7"/>
      <c r="LSK243" s="7"/>
      <c r="LSL243" s="7"/>
      <c r="LSM243" s="7"/>
      <c r="LSN243" s="7"/>
      <c r="LSO243" s="7"/>
      <c r="LSP243" s="7"/>
      <c r="LSQ243" s="7"/>
      <c r="LSR243" s="7"/>
      <c r="LSS243" s="7"/>
      <c r="LST243" s="7"/>
      <c r="LSU243" s="7"/>
      <c r="LSV243" s="7"/>
      <c r="LSW243" s="7"/>
      <c r="LSX243" s="7"/>
      <c r="LSY243" s="7"/>
      <c r="LSZ243" s="7"/>
      <c r="LTA243" s="7"/>
      <c r="LTB243" s="7"/>
      <c r="LTC243" s="7"/>
      <c r="LTD243" s="7"/>
      <c r="LTE243" s="7"/>
      <c r="LTF243" s="7"/>
      <c r="LTG243" s="7"/>
      <c r="LTH243" s="7"/>
      <c r="LTI243" s="7"/>
      <c r="LTJ243" s="7"/>
      <c r="LTK243" s="7"/>
      <c r="LTL243" s="7"/>
      <c r="LTM243" s="7"/>
      <c r="LTN243" s="7"/>
      <c r="LTO243" s="7"/>
      <c r="LTP243" s="7"/>
      <c r="LTQ243" s="7"/>
      <c r="LTR243" s="7"/>
      <c r="LTS243" s="7"/>
      <c r="LTT243" s="7"/>
      <c r="LTU243" s="7"/>
      <c r="LTV243" s="7"/>
      <c r="LTW243" s="7"/>
      <c r="LTX243" s="7"/>
      <c r="LTY243" s="7"/>
      <c r="LTZ243" s="7"/>
      <c r="LUA243" s="7"/>
      <c r="LUB243" s="7"/>
      <c r="LUC243" s="7"/>
      <c r="LUD243" s="7"/>
      <c r="LUE243" s="7"/>
      <c r="LUF243" s="7"/>
      <c r="LUG243" s="7"/>
      <c r="LUH243" s="7"/>
      <c r="LUI243" s="7"/>
      <c r="LUJ243" s="7"/>
      <c r="LUK243" s="7"/>
      <c r="LUL243" s="7"/>
      <c r="LUM243" s="7"/>
      <c r="LUN243" s="7"/>
      <c r="LUO243" s="7"/>
      <c r="LUP243" s="7"/>
      <c r="LUQ243" s="7"/>
      <c r="LUR243" s="7"/>
      <c r="LUS243" s="7"/>
      <c r="LUT243" s="7"/>
      <c r="LUU243" s="7"/>
      <c r="LUV243" s="7"/>
      <c r="LUW243" s="7"/>
      <c r="LUX243" s="7"/>
      <c r="LUY243" s="7"/>
      <c r="LUZ243" s="7"/>
      <c r="LVA243" s="7"/>
      <c r="LVB243" s="7"/>
      <c r="LVC243" s="7"/>
      <c r="LVD243" s="7"/>
      <c r="LVE243" s="7"/>
      <c r="LVF243" s="7"/>
      <c r="LVG243" s="7"/>
      <c r="LVH243" s="7"/>
      <c r="LVI243" s="7"/>
      <c r="LVJ243" s="7"/>
      <c r="LVK243" s="7"/>
      <c r="LVL243" s="7"/>
      <c r="LVM243" s="7"/>
      <c r="LVN243" s="7"/>
      <c r="LVO243" s="7"/>
      <c r="LVP243" s="7"/>
      <c r="LVQ243" s="7"/>
      <c r="LVR243" s="7"/>
      <c r="LVS243" s="7"/>
      <c r="LVT243" s="7"/>
      <c r="LVU243" s="7"/>
      <c r="LVV243" s="7"/>
      <c r="LVW243" s="7"/>
      <c r="LVX243" s="7"/>
      <c r="LVY243" s="7"/>
      <c r="LVZ243" s="7"/>
      <c r="LWA243" s="7"/>
      <c r="LWB243" s="7"/>
      <c r="LWC243" s="7"/>
      <c r="LWD243" s="7"/>
      <c r="LWE243" s="7"/>
      <c r="LWF243" s="7"/>
      <c r="LWG243" s="7"/>
      <c r="LWH243" s="7"/>
      <c r="LWI243" s="7"/>
      <c r="LWJ243" s="7"/>
      <c r="LWK243" s="7"/>
      <c r="LWL243" s="7"/>
      <c r="LWM243" s="7"/>
      <c r="LWN243" s="7"/>
      <c r="LWO243" s="7"/>
      <c r="LWP243" s="7"/>
      <c r="LWQ243" s="7"/>
      <c r="LWR243" s="7"/>
      <c r="LWS243" s="7"/>
      <c r="LWT243" s="7"/>
      <c r="LWU243" s="7"/>
      <c r="LWV243" s="7"/>
      <c r="LWW243" s="7"/>
      <c r="LWX243" s="7"/>
      <c r="LWY243" s="7"/>
      <c r="LWZ243" s="7"/>
      <c r="LXA243" s="7"/>
      <c r="LXB243" s="7"/>
      <c r="LXC243" s="7"/>
      <c r="LXD243" s="7"/>
      <c r="LXE243" s="7"/>
      <c r="LXF243" s="7"/>
      <c r="LXG243" s="7"/>
      <c r="LXH243" s="7"/>
      <c r="LXI243" s="7"/>
      <c r="LXJ243" s="7"/>
      <c r="LXK243" s="7"/>
      <c r="LXL243" s="7"/>
      <c r="LXM243" s="7"/>
      <c r="LXN243" s="7"/>
      <c r="LXO243" s="7"/>
      <c r="LXP243" s="7"/>
      <c r="LXQ243" s="7"/>
      <c r="LXR243" s="7"/>
      <c r="LXS243" s="7"/>
      <c r="LXT243" s="7"/>
      <c r="LXU243" s="7"/>
      <c r="LXV243" s="7"/>
      <c r="LXW243" s="7"/>
      <c r="LXX243" s="7"/>
      <c r="LXY243" s="7"/>
      <c r="LXZ243" s="7"/>
      <c r="LYA243" s="7"/>
      <c r="LYB243" s="7"/>
      <c r="LYC243" s="7"/>
      <c r="LYD243" s="7"/>
      <c r="LYE243" s="7"/>
      <c r="LYF243" s="7"/>
      <c r="LYG243" s="7"/>
      <c r="LYH243" s="7"/>
      <c r="LYI243" s="7"/>
      <c r="LYJ243" s="7"/>
      <c r="LYK243" s="7"/>
      <c r="LYL243" s="7"/>
      <c r="LYM243" s="7"/>
      <c r="LYN243" s="7"/>
      <c r="LYO243" s="7"/>
      <c r="LYP243" s="7"/>
      <c r="LYQ243" s="7"/>
      <c r="LYR243" s="7"/>
      <c r="LYS243" s="7"/>
      <c r="LYT243" s="7"/>
      <c r="LYU243" s="7"/>
      <c r="LYV243" s="7"/>
      <c r="LYW243" s="7"/>
      <c r="LYX243" s="7"/>
      <c r="LYY243" s="7"/>
      <c r="LYZ243" s="7"/>
      <c r="LZA243" s="7"/>
      <c r="LZB243" s="7"/>
      <c r="LZC243" s="7"/>
      <c r="LZD243" s="7"/>
      <c r="LZE243" s="7"/>
      <c r="LZF243" s="7"/>
      <c r="LZG243" s="7"/>
      <c r="LZH243" s="7"/>
      <c r="LZI243" s="7"/>
      <c r="LZJ243" s="7"/>
      <c r="LZK243" s="7"/>
      <c r="LZL243" s="7"/>
      <c r="LZM243" s="7"/>
      <c r="LZN243" s="7"/>
      <c r="LZO243" s="7"/>
      <c r="LZP243" s="7"/>
      <c r="LZQ243" s="7"/>
      <c r="LZR243" s="7"/>
      <c r="LZS243" s="7"/>
      <c r="LZT243" s="7"/>
      <c r="LZU243" s="7"/>
      <c r="LZV243" s="7"/>
      <c r="LZW243" s="7"/>
      <c r="LZX243" s="7"/>
      <c r="LZY243" s="7"/>
      <c r="LZZ243" s="7"/>
      <c r="MAA243" s="7"/>
      <c r="MAB243" s="7"/>
      <c r="MAC243" s="7"/>
      <c r="MAD243" s="7"/>
      <c r="MAE243" s="7"/>
      <c r="MAF243" s="7"/>
      <c r="MAG243" s="7"/>
      <c r="MAH243" s="7"/>
      <c r="MAI243" s="7"/>
      <c r="MAJ243" s="7"/>
      <c r="MAK243" s="7"/>
      <c r="MAL243" s="7"/>
      <c r="MAM243" s="7"/>
      <c r="MAN243" s="7"/>
      <c r="MAO243" s="7"/>
      <c r="MAP243" s="7"/>
      <c r="MAQ243" s="7"/>
      <c r="MAR243" s="7"/>
      <c r="MAS243" s="7"/>
      <c r="MAT243" s="7"/>
      <c r="MAU243" s="7"/>
      <c r="MAV243" s="7"/>
      <c r="MAW243" s="7"/>
      <c r="MAX243" s="7"/>
      <c r="MAY243" s="7"/>
      <c r="MAZ243" s="7"/>
      <c r="MBA243" s="7"/>
      <c r="MBB243" s="7"/>
      <c r="MBC243" s="7"/>
      <c r="MBD243" s="7"/>
      <c r="MBE243" s="7"/>
      <c r="MBF243" s="7"/>
      <c r="MBG243" s="7"/>
      <c r="MBH243" s="7"/>
      <c r="MBI243" s="7"/>
      <c r="MBJ243" s="7"/>
      <c r="MBK243" s="7"/>
      <c r="MBL243" s="7"/>
      <c r="MBM243" s="7"/>
      <c r="MBN243" s="7"/>
      <c r="MBO243" s="7"/>
      <c r="MBP243" s="7"/>
      <c r="MBQ243" s="7"/>
      <c r="MBR243" s="7"/>
      <c r="MBS243" s="7"/>
      <c r="MBT243" s="7"/>
      <c r="MBU243" s="7"/>
      <c r="MBV243" s="7"/>
      <c r="MBW243" s="7"/>
      <c r="MBX243" s="7"/>
      <c r="MBY243" s="7"/>
      <c r="MBZ243" s="7"/>
      <c r="MCA243" s="7"/>
      <c r="MCB243" s="7"/>
      <c r="MCC243" s="7"/>
      <c r="MCD243" s="7"/>
      <c r="MCE243" s="7"/>
      <c r="MCF243" s="7"/>
      <c r="MCG243" s="7"/>
      <c r="MCH243" s="7"/>
      <c r="MCI243" s="7"/>
      <c r="MCJ243" s="7"/>
      <c r="MCK243" s="7"/>
      <c r="MCL243" s="7"/>
      <c r="MCM243" s="7"/>
      <c r="MCN243" s="7"/>
      <c r="MCO243" s="7"/>
      <c r="MCP243" s="7"/>
      <c r="MCQ243" s="7"/>
      <c r="MCR243" s="7"/>
      <c r="MCS243" s="7"/>
      <c r="MCT243" s="7"/>
      <c r="MCU243" s="7"/>
      <c r="MCV243" s="7"/>
      <c r="MCW243" s="7"/>
      <c r="MCX243" s="7"/>
      <c r="MCY243" s="7"/>
      <c r="MCZ243" s="7"/>
      <c r="MDA243" s="7"/>
      <c r="MDB243" s="7"/>
      <c r="MDC243" s="7"/>
      <c r="MDD243" s="7"/>
      <c r="MDE243" s="7"/>
      <c r="MDF243" s="7"/>
      <c r="MDG243" s="7"/>
      <c r="MDH243" s="7"/>
      <c r="MDI243" s="7"/>
      <c r="MDJ243" s="7"/>
      <c r="MDK243" s="7"/>
      <c r="MDL243" s="7"/>
      <c r="MDM243" s="7"/>
      <c r="MDN243" s="7"/>
      <c r="MDO243" s="7"/>
      <c r="MDP243" s="7"/>
      <c r="MDQ243" s="7"/>
      <c r="MDR243" s="7"/>
      <c r="MDS243" s="7"/>
      <c r="MDT243" s="7"/>
      <c r="MDU243" s="7"/>
      <c r="MDV243" s="7"/>
      <c r="MDW243" s="7"/>
      <c r="MDX243" s="7"/>
      <c r="MDY243" s="7"/>
      <c r="MDZ243" s="7"/>
      <c r="MEA243" s="7"/>
      <c r="MEB243" s="7"/>
      <c r="MEC243" s="7"/>
      <c r="MED243" s="7"/>
      <c r="MEE243" s="7"/>
      <c r="MEF243" s="7"/>
      <c r="MEG243" s="7"/>
      <c r="MEH243" s="7"/>
      <c r="MEI243" s="7"/>
      <c r="MEJ243" s="7"/>
      <c r="MEK243" s="7"/>
      <c r="MEL243" s="7"/>
      <c r="MEM243" s="7"/>
      <c r="MEN243" s="7"/>
      <c r="MEO243" s="7"/>
      <c r="MEP243" s="7"/>
      <c r="MEQ243" s="7"/>
      <c r="MER243" s="7"/>
      <c r="MES243" s="7"/>
      <c r="MET243" s="7"/>
      <c r="MEU243" s="7"/>
      <c r="MEV243" s="7"/>
      <c r="MEW243" s="7"/>
      <c r="MEX243" s="7"/>
      <c r="MEY243" s="7"/>
      <c r="MEZ243" s="7"/>
      <c r="MFA243" s="7"/>
      <c r="MFB243" s="7"/>
      <c r="MFC243" s="7"/>
      <c r="MFD243" s="7"/>
      <c r="MFE243" s="7"/>
      <c r="MFF243" s="7"/>
      <c r="MFG243" s="7"/>
      <c r="MFH243" s="7"/>
      <c r="MFI243" s="7"/>
      <c r="MFJ243" s="7"/>
      <c r="MFK243" s="7"/>
      <c r="MFL243" s="7"/>
      <c r="MFM243" s="7"/>
      <c r="MFN243" s="7"/>
      <c r="MFO243" s="7"/>
      <c r="MFP243" s="7"/>
      <c r="MFQ243" s="7"/>
      <c r="MFR243" s="7"/>
      <c r="MFS243" s="7"/>
      <c r="MFT243" s="7"/>
      <c r="MFU243" s="7"/>
      <c r="MFV243" s="7"/>
      <c r="MFW243" s="7"/>
      <c r="MFX243" s="7"/>
      <c r="MFY243" s="7"/>
      <c r="MFZ243" s="7"/>
      <c r="MGA243" s="7"/>
      <c r="MGB243" s="7"/>
      <c r="MGC243" s="7"/>
      <c r="MGD243" s="7"/>
      <c r="MGE243" s="7"/>
      <c r="MGF243" s="7"/>
      <c r="MGG243" s="7"/>
      <c r="MGH243" s="7"/>
      <c r="MGI243" s="7"/>
      <c r="MGJ243" s="7"/>
      <c r="MGK243" s="7"/>
      <c r="MGL243" s="7"/>
      <c r="MGM243" s="7"/>
      <c r="MGN243" s="7"/>
      <c r="MGO243" s="7"/>
      <c r="MGP243" s="7"/>
      <c r="MGQ243" s="7"/>
      <c r="MGR243" s="7"/>
      <c r="MGS243" s="7"/>
      <c r="MGT243" s="7"/>
      <c r="MGU243" s="7"/>
      <c r="MGV243" s="7"/>
      <c r="MGW243" s="7"/>
      <c r="MGX243" s="7"/>
      <c r="MGY243" s="7"/>
      <c r="MGZ243" s="7"/>
      <c r="MHA243" s="7"/>
      <c r="MHB243" s="7"/>
      <c r="MHC243" s="7"/>
      <c r="MHD243" s="7"/>
      <c r="MHE243" s="7"/>
      <c r="MHF243" s="7"/>
      <c r="MHG243" s="7"/>
      <c r="MHH243" s="7"/>
      <c r="MHI243" s="7"/>
      <c r="MHJ243" s="7"/>
      <c r="MHK243" s="7"/>
      <c r="MHL243" s="7"/>
      <c r="MHM243" s="7"/>
      <c r="MHN243" s="7"/>
      <c r="MHO243" s="7"/>
      <c r="MHP243" s="7"/>
      <c r="MHQ243" s="7"/>
      <c r="MHR243" s="7"/>
      <c r="MHS243" s="7"/>
      <c r="MHT243" s="7"/>
      <c r="MHU243" s="7"/>
      <c r="MHV243" s="7"/>
      <c r="MHW243" s="7"/>
      <c r="MHX243" s="7"/>
      <c r="MHY243" s="7"/>
      <c r="MHZ243" s="7"/>
      <c r="MIA243" s="7"/>
      <c r="MIB243" s="7"/>
      <c r="MIC243" s="7"/>
      <c r="MID243" s="7"/>
      <c r="MIE243" s="7"/>
      <c r="MIF243" s="7"/>
      <c r="MIG243" s="7"/>
      <c r="MIH243" s="7"/>
      <c r="MII243" s="7"/>
      <c r="MIJ243" s="7"/>
      <c r="MIK243" s="7"/>
      <c r="MIL243" s="7"/>
      <c r="MIM243" s="7"/>
      <c r="MIN243" s="7"/>
      <c r="MIO243" s="7"/>
      <c r="MIP243" s="7"/>
      <c r="MIQ243" s="7"/>
      <c r="MIR243" s="7"/>
      <c r="MIS243" s="7"/>
      <c r="MIT243" s="7"/>
      <c r="MIU243" s="7"/>
      <c r="MIV243" s="7"/>
      <c r="MIW243" s="7"/>
      <c r="MIX243" s="7"/>
      <c r="MIY243" s="7"/>
      <c r="MIZ243" s="7"/>
      <c r="MJA243" s="7"/>
      <c r="MJB243" s="7"/>
      <c r="MJC243" s="7"/>
      <c r="MJD243" s="7"/>
      <c r="MJE243" s="7"/>
      <c r="MJF243" s="7"/>
      <c r="MJG243" s="7"/>
      <c r="MJH243" s="7"/>
      <c r="MJI243" s="7"/>
      <c r="MJJ243" s="7"/>
      <c r="MJK243" s="7"/>
      <c r="MJL243" s="7"/>
      <c r="MJM243" s="7"/>
      <c r="MJN243" s="7"/>
      <c r="MJO243" s="7"/>
      <c r="MJP243" s="7"/>
      <c r="MJQ243" s="7"/>
      <c r="MJR243" s="7"/>
      <c r="MJS243" s="7"/>
      <c r="MJT243" s="7"/>
      <c r="MJU243" s="7"/>
      <c r="MJV243" s="7"/>
      <c r="MJW243" s="7"/>
      <c r="MJX243" s="7"/>
      <c r="MJY243" s="7"/>
      <c r="MJZ243" s="7"/>
      <c r="MKA243" s="7"/>
      <c r="MKB243" s="7"/>
      <c r="MKC243" s="7"/>
      <c r="MKD243" s="7"/>
      <c r="MKE243" s="7"/>
      <c r="MKF243" s="7"/>
      <c r="MKG243" s="7"/>
      <c r="MKH243" s="7"/>
      <c r="MKI243" s="7"/>
      <c r="MKJ243" s="7"/>
      <c r="MKK243" s="7"/>
      <c r="MKL243" s="7"/>
      <c r="MKM243" s="7"/>
      <c r="MKN243" s="7"/>
      <c r="MKO243" s="7"/>
      <c r="MKP243" s="7"/>
      <c r="MKQ243" s="7"/>
      <c r="MKR243" s="7"/>
      <c r="MKS243" s="7"/>
      <c r="MKT243" s="7"/>
      <c r="MKU243" s="7"/>
      <c r="MKV243" s="7"/>
      <c r="MKW243" s="7"/>
      <c r="MKX243" s="7"/>
      <c r="MKY243" s="7"/>
      <c r="MKZ243" s="7"/>
      <c r="MLA243" s="7"/>
      <c r="MLB243" s="7"/>
      <c r="MLC243" s="7"/>
      <c r="MLD243" s="7"/>
      <c r="MLE243" s="7"/>
      <c r="MLF243" s="7"/>
      <c r="MLG243" s="7"/>
      <c r="MLH243" s="7"/>
      <c r="MLI243" s="7"/>
      <c r="MLJ243" s="7"/>
      <c r="MLK243" s="7"/>
      <c r="MLL243" s="7"/>
      <c r="MLM243" s="7"/>
      <c r="MLN243" s="7"/>
      <c r="MLO243" s="7"/>
      <c r="MLP243" s="7"/>
      <c r="MLQ243" s="7"/>
      <c r="MLR243" s="7"/>
      <c r="MLS243" s="7"/>
      <c r="MLT243" s="7"/>
      <c r="MLU243" s="7"/>
      <c r="MLV243" s="7"/>
      <c r="MLW243" s="7"/>
      <c r="MLX243" s="7"/>
      <c r="MLY243" s="7"/>
      <c r="MLZ243" s="7"/>
      <c r="MMA243" s="7"/>
      <c r="MMB243" s="7"/>
      <c r="MMC243" s="7"/>
      <c r="MMD243" s="7"/>
      <c r="MME243" s="7"/>
      <c r="MMF243" s="7"/>
      <c r="MMG243" s="7"/>
      <c r="MMH243" s="7"/>
      <c r="MMI243" s="7"/>
      <c r="MMJ243" s="7"/>
      <c r="MMK243" s="7"/>
      <c r="MML243" s="7"/>
      <c r="MMM243" s="7"/>
      <c r="MMN243" s="7"/>
      <c r="MMO243" s="7"/>
      <c r="MMP243" s="7"/>
      <c r="MMQ243" s="7"/>
      <c r="MMR243" s="7"/>
      <c r="MMS243" s="7"/>
      <c r="MMT243" s="7"/>
      <c r="MMU243" s="7"/>
      <c r="MMV243" s="7"/>
      <c r="MMW243" s="7"/>
      <c r="MMX243" s="7"/>
      <c r="MMY243" s="7"/>
      <c r="MMZ243" s="7"/>
      <c r="MNA243" s="7"/>
      <c r="MNB243" s="7"/>
      <c r="MNC243" s="7"/>
      <c r="MND243" s="7"/>
      <c r="MNE243" s="7"/>
      <c r="MNF243" s="7"/>
      <c r="MNG243" s="7"/>
      <c r="MNH243" s="7"/>
      <c r="MNI243" s="7"/>
      <c r="MNJ243" s="7"/>
      <c r="MNK243" s="7"/>
      <c r="MNL243" s="7"/>
      <c r="MNM243" s="7"/>
      <c r="MNN243" s="7"/>
      <c r="MNO243" s="7"/>
      <c r="MNP243" s="7"/>
      <c r="MNQ243" s="7"/>
      <c r="MNR243" s="7"/>
      <c r="MNS243" s="7"/>
      <c r="MNT243" s="7"/>
      <c r="MNU243" s="7"/>
      <c r="MNV243" s="7"/>
      <c r="MNW243" s="7"/>
      <c r="MNX243" s="7"/>
      <c r="MNY243" s="7"/>
      <c r="MNZ243" s="7"/>
      <c r="MOA243" s="7"/>
      <c r="MOB243" s="7"/>
      <c r="MOC243" s="7"/>
      <c r="MOD243" s="7"/>
      <c r="MOE243" s="7"/>
      <c r="MOF243" s="7"/>
      <c r="MOG243" s="7"/>
      <c r="MOH243" s="7"/>
      <c r="MOI243" s="7"/>
      <c r="MOJ243" s="7"/>
      <c r="MOK243" s="7"/>
      <c r="MOL243" s="7"/>
      <c r="MOM243" s="7"/>
      <c r="MON243" s="7"/>
      <c r="MOO243" s="7"/>
      <c r="MOP243" s="7"/>
      <c r="MOQ243" s="7"/>
      <c r="MOR243" s="7"/>
      <c r="MOS243" s="7"/>
      <c r="MOT243" s="7"/>
      <c r="MOU243" s="7"/>
      <c r="MOV243" s="7"/>
      <c r="MOW243" s="7"/>
      <c r="MOX243" s="7"/>
      <c r="MOY243" s="7"/>
      <c r="MOZ243" s="7"/>
      <c r="MPA243" s="7"/>
      <c r="MPB243" s="7"/>
      <c r="MPC243" s="7"/>
      <c r="MPD243" s="7"/>
      <c r="MPE243" s="7"/>
      <c r="MPF243" s="7"/>
      <c r="MPG243" s="7"/>
      <c r="MPH243" s="7"/>
      <c r="MPI243" s="7"/>
      <c r="MPJ243" s="7"/>
      <c r="MPK243" s="7"/>
      <c r="MPL243" s="7"/>
      <c r="MPM243" s="7"/>
      <c r="MPN243" s="7"/>
      <c r="MPO243" s="7"/>
      <c r="MPP243" s="7"/>
      <c r="MPQ243" s="7"/>
      <c r="MPR243" s="7"/>
      <c r="MPS243" s="7"/>
      <c r="MPT243" s="7"/>
      <c r="MPU243" s="7"/>
      <c r="MPV243" s="7"/>
      <c r="MPW243" s="7"/>
      <c r="MPX243" s="7"/>
      <c r="MPY243" s="7"/>
      <c r="MPZ243" s="7"/>
      <c r="MQA243" s="7"/>
      <c r="MQB243" s="7"/>
      <c r="MQC243" s="7"/>
      <c r="MQD243" s="7"/>
      <c r="MQE243" s="7"/>
      <c r="MQF243" s="7"/>
      <c r="MQG243" s="7"/>
      <c r="MQH243" s="7"/>
      <c r="MQI243" s="7"/>
      <c r="MQJ243" s="7"/>
      <c r="MQK243" s="7"/>
      <c r="MQL243" s="7"/>
      <c r="MQM243" s="7"/>
      <c r="MQN243" s="7"/>
      <c r="MQO243" s="7"/>
      <c r="MQP243" s="7"/>
      <c r="MQQ243" s="7"/>
      <c r="MQR243" s="7"/>
      <c r="MQS243" s="7"/>
      <c r="MQT243" s="7"/>
      <c r="MQU243" s="7"/>
      <c r="MQV243" s="7"/>
      <c r="MQW243" s="7"/>
      <c r="MQX243" s="7"/>
      <c r="MQY243" s="7"/>
      <c r="MQZ243" s="7"/>
      <c r="MRA243" s="7"/>
      <c r="MRB243" s="7"/>
      <c r="MRC243" s="7"/>
      <c r="MRD243" s="7"/>
      <c r="MRE243" s="7"/>
      <c r="MRF243" s="7"/>
      <c r="MRG243" s="7"/>
      <c r="MRH243" s="7"/>
      <c r="MRI243" s="7"/>
      <c r="MRJ243" s="7"/>
      <c r="MRK243" s="7"/>
      <c r="MRL243" s="7"/>
      <c r="MRM243" s="7"/>
      <c r="MRN243" s="7"/>
      <c r="MRO243" s="7"/>
      <c r="MRP243" s="7"/>
      <c r="MRQ243" s="7"/>
      <c r="MRR243" s="7"/>
      <c r="MRS243" s="7"/>
      <c r="MRT243" s="7"/>
      <c r="MRU243" s="7"/>
      <c r="MRV243" s="7"/>
      <c r="MRW243" s="7"/>
      <c r="MRX243" s="7"/>
      <c r="MRY243" s="7"/>
      <c r="MRZ243" s="7"/>
      <c r="MSA243" s="7"/>
      <c r="MSB243" s="7"/>
      <c r="MSC243" s="7"/>
      <c r="MSD243" s="7"/>
      <c r="MSE243" s="7"/>
      <c r="MSF243" s="7"/>
      <c r="MSG243" s="7"/>
      <c r="MSH243" s="7"/>
      <c r="MSI243" s="7"/>
      <c r="MSJ243" s="7"/>
      <c r="MSK243" s="7"/>
      <c r="MSL243" s="7"/>
      <c r="MSM243" s="7"/>
      <c r="MSN243" s="7"/>
      <c r="MSO243" s="7"/>
      <c r="MSP243" s="7"/>
      <c r="MSQ243" s="7"/>
      <c r="MSR243" s="7"/>
      <c r="MSS243" s="7"/>
      <c r="MST243" s="7"/>
      <c r="MSU243" s="7"/>
      <c r="MSV243" s="7"/>
      <c r="MSW243" s="7"/>
      <c r="MSX243" s="7"/>
      <c r="MSY243" s="7"/>
      <c r="MSZ243" s="7"/>
      <c r="MTA243" s="7"/>
      <c r="MTB243" s="7"/>
      <c r="MTC243" s="7"/>
      <c r="MTD243" s="7"/>
      <c r="MTE243" s="7"/>
      <c r="MTF243" s="7"/>
      <c r="MTG243" s="7"/>
      <c r="MTH243" s="7"/>
      <c r="MTI243" s="7"/>
      <c r="MTJ243" s="7"/>
      <c r="MTK243" s="7"/>
      <c r="MTL243" s="7"/>
      <c r="MTM243" s="7"/>
      <c r="MTN243" s="7"/>
      <c r="MTO243" s="7"/>
      <c r="MTP243" s="7"/>
      <c r="MTQ243" s="7"/>
      <c r="MTR243" s="7"/>
      <c r="MTS243" s="7"/>
      <c r="MTT243" s="7"/>
      <c r="MTU243" s="7"/>
      <c r="MTV243" s="7"/>
      <c r="MTW243" s="7"/>
      <c r="MTX243" s="7"/>
      <c r="MTY243" s="7"/>
      <c r="MTZ243" s="7"/>
      <c r="MUA243" s="7"/>
      <c r="MUB243" s="7"/>
      <c r="MUC243" s="7"/>
      <c r="MUD243" s="7"/>
      <c r="MUE243" s="7"/>
      <c r="MUF243" s="7"/>
      <c r="MUG243" s="7"/>
      <c r="MUH243" s="7"/>
      <c r="MUI243" s="7"/>
      <c r="MUJ243" s="7"/>
      <c r="MUK243" s="7"/>
      <c r="MUL243" s="7"/>
      <c r="MUM243" s="7"/>
      <c r="MUN243" s="7"/>
      <c r="MUO243" s="7"/>
      <c r="MUP243" s="7"/>
      <c r="MUQ243" s="7"/>
      <c r="MUR243" s="7"/>
      <c r="MUS243" s="7"/>
      <c r="MUT243" s="7"/>
      <c r="MUU243" s="7"/>
      <c r="MUV243" s="7"/>
      <c r="MUW243" s="7"/>
      <c r="MUX243" s="7"/>
      <c r="MUY243" s="7"/>
      <c r="MUZ243" s="7"/>
      <c r="MVA243" s="7"/>
      <c r="MVB243" s="7"/>
      <c r="MVC243" s="7"/>
      <c r="MVD243" s="7"/>
      <c r="MVE243" s="7"/>
      <c r="MVF243" s="7"/>
      <c r="MVG243" s="7"/>
      <c r="MVH243" s="7"/>
      <c r="MVI243" s="7"/>
      <c r="MVJ243" s="7"/>
      <c r="MVK243" s="7"/>
      <c r="MVL243" s="7"/>
      <c r="MVM243" s="7"/>
      <c r="MVN243" s="7"/>
      <c r="MVO243" s="7"/>
      <c r="MVP243" s="7"/>
      <c r="MVQ243" s="7"/>
      <c r="MVR243" s="7"/>
      <c r="MVS243" s="7"/>
      <c r="MVT243" s="7"/>
      <c r="MVU243" s="7"/>
      <c r="MVV243" s="7"/>
      <c r="MVW243" s="7"/>
      <c r="MVX243" s="7"/>
      <c r="MVY243" s="7"/>
      <c r="MVZ243" s="7"/>
      <c r="MWA243" s="7"/>
      <c r="MWB243" s="7"/>
      <c r="MWC243" s="7"/>
      <c r="MWD243" s="7"/>
      <c r="MWE243" s="7"/>
      <c r="MWF243" s="7"/>
      <c r="MWG243" s="7"/>
      <c r="MWH243" s="7"/>
      <c r="MWI243" s="7"/>
      <c r="MWJ243" s="7"/>
      <c r="MWK243" s="7"/>
      <c r="MWL243" s="7"/>
      <c r="MWM243" s="7"/>
      <c r="MWN243" s="7"/>
      <c r="MWO243" s="7"/>
      <c r="MWP243" s="7"/>
      <c r="MWQ243" s="7"/>
      <c r="MWR243" s="7"/>
      <c r="MWS243" s="7"/>
      <c r="MWT243" s="7"/>
      <c r="MWU243" s="7"/>
      <c r="MWV243" s="7"/>
      <c r="MWW243" s="7"/>
      <c r="MWX243" s="7"/>
      <c r="MWY243" s="7"/>
      <c r="MWZ243" s="7"/>
      <c r="MXA243" s="7"/>
      <c r="MXB243" s="7"/>
      <c r="MXC243" s="7"/>
      <c r="MXD243" s="7"/>
      <c r="MXE243" s="7"/>
      <c r="MXF243" s="7"/>
      <c r="MXG243" s="7"/>
      <c r="MXH243" s="7"/>
      <c r="MXI243" s="7"/>
      <c r="MXJ243" s="7"/>
      <c r="MXK243" s="7"/>
      <c r="MXL243" s="7"/>
      <c r="MXM243" s="7"/>
      <c r="MXN243" s="7"/>
      <c r="MXO243" s="7"/>
      <c r="MXP243" s="7"/>
      <c r="MXQ243" s="7"/>
      <c r="MXR243" s="7"/>
      <c r="MXS243" s="7"/>
      <c r="MXT243" s="7"/>
      <c r="MXU243" s="7"/>
      <c r="MXV243" s="7"/>
      <c r="MXW243" s="7"/>
      <c r="MXX243" s="7"/>
      <c r="MXY243" s="7"/>
      <c r="MXZ243" s="7"/>
      <c r="MYA243" s="7"/>
      <c r="MYB243" s="7"/>
      <c r="MYC243" s="7"/>
      <c r="MYD243" s="7"/>
      <c r="MYE243" s="7"/>
      <c r="MYF243" s="7"/>
      <c r="MYG243" s="7"/>
      <c r="MYH243" s="7"/>
      <c r="MYI243" s="7"/>
      <c r="MYJ243" s="7"/>
      <c r="MYK243" s="7"/>
      <c r="MYL243" s="7"/>
      <c r="MYM243" s="7"/>
      <c r="MYN243" s="7"/>
      <c r="MYO243" s="7"/>
      <c r="MYP243" s="7"/>
      <c r="MYQ243" s="7"/>
      <c r="MYR243" s="7"/>
      <c r="MYS243" s="7"/>
      <c r="MYT243" s="7"/>
      <c r="MYU243" s="7"/>
      <c r="MYV243" s="7"/>
      <c r="MYW243" s="7"/>
      <c r="MYX243" s="7"/>
      <c r="MYY243" s="7"/>
      <c r="MYZ243" s="7"/>
      <c r="MZA243" s="7"/>
      <c r="MZB243" s="7"/>
      <c r="MZC243" s="7"/>
      <c r="MZD243" s="7"/>
      <c r="MZE243" s="7"/>
      <c r="MZF243" s="7"/>
      <c r="MZG243" s="7"/>
      <c r="MZH243" s="7"/>
      <c r="MZI243" s="7"/>
      <c r="MZJ243" s="7"/>
      <c r="MZK243" s="7"/>
      <c r="MZL243" s="7"/>
      <c r="MZM243" s="7"/>
      <c r="MZN243" s="7"/>
      <c r="MZO243" s="7"/>
      <c r="MZP243" s="7"/>
      <c r="MZQ243" s="7"/>
      <c r="MZR243" s="7"/>
      <c r="MZS243" s="7"/>
      <c r="MZT243" s="7"/>
      <c r="MZU243" s="7"/>
      <c r="MZV243" s="7"/>
      <c r="MZW243" s="7"/>
      <c r="MZX243" s="7"/>
      <c r="MZY243" s="7"/>
      <c r="MZZ243" s="7"/>
      <c r="NAA243" s="7"/>
      <c r="NAB243" s="7"/>
      <c r="NAC243" s="7"/>
      <c r="NAD243" s="7"/>
      <c r="NAE243" s="7"/>
      <c r="NAF243" s="7"/>
      <c r="NAG243" s="7"/>
      <c r="NAH243" s="7"/>
      <c r="NAI243" s="7"/>
      <c r="NAJ243" s="7"/>
      <c r="NAK243" s="7"/>
      <c r="NAL243" s="7"/>
      <c r="NAM243" s="7"/>
      <c r="NAN243" s="7"/>
      <c r="NAO243" s="7"/>
      <c r="NAP243" s="7"/>
      <c r="NAQ243" s="7"/>
      <c r="NAR243" s="7"/>
      <c r="NAS243" s="7"/>
      <c r="NAT243" s="7"/>
      <c r="NAU243" s="7"/>
      <c r="NAV243" s="7"/>
      <c r="NAW243" s="7"/>
      <c r="NAX243" s="7"/>
      <c r="NAY243" s="7"/>
      <c r="NAZ243" s="7"/>
      <c r="NBA243" s="7"/>
      <c r="NBB243" s="7"/>
      <c r="NBC243" s="7"/>
      <c r="NBD243" s="7"/>
      <c r="NBE243" s="7"/>
      <c r="NBF243" s="7"/>
      <c r="NBG243" s="7"/>
      <c r="NBH243" s="7"/>
      <c r="NBI243" s="7"/>
      <c r="NBJ243" s="7"/>
      <c r="NBK243" s="7"/>
      <c r="NBL243" s="7"/>
      <c r="NBM243" s="7"/>
      <c r="NBN243" s="7"/>
      <c r="NBO243" s="7"/>
      <c r="NBP243" s="7"/>
      <c r="NBQ243" s="7"/>
      <c r="NBR243" s="7"/>
      <c r="NBS243" s="7"/>
      <c r="NBT243" s="7"/>
      <c r="NBU243" s="7"/>
      <c r="NBV243" s="7"/>
      <c r="NBW243" s="7"/>
      <c r="NBX243" s="7"/>
      <c r="NBY243" s="7"/>
      <c r="NBZ243" s="7"/>
      <c r="NCA243" s="7"/>
      <c r="NCB243" s="7"/>
      <c r="NCC243" s="7"/>
      <c r="NCD243" s="7"/>
      <c r="NCE243" s="7"/>
      <c r="NCF243" s="7"/>
      <c r="NCG243" s="7"/>
      <c r="NCH243" s="7"/>
      <c r="NCI243" s="7"/>
      <c r="NCJ243" s="7"/>
      <c r="NCK243" s="7"/>
      <c r="NCL243" s="7"/>
      <c r="NCM243" s="7"/>
      <c r="NCN243" s="7"/>
      <c r="NCO243" s="7"/>
      <c r="NCP243" s="7"/>
      <c r="NCQ243" s="7"/>
      <c r="NCR243" s="7"/>
      <c r="NCS243" s="7"/>
      <c r="NCT243" s="7"/>
      <c r="NCU243" s="7"/>
      <c r="NCV243" s="7"/>
      <c r="NCW243" s="7"/>
      <c r="NCX243" s="7"/>
      <c r="NCY243" s="7"/>
      <c r="NCZ243" s="7"/>
      <c r="NDA243" s="7"/>
      <c r="NDB243" s="7"/>
      <c r="NDC243" s="7"/>
      <c r="NDD243" s="7"/>
      <c r="NDE243" s="7"/>
      <c r="NDF243" s="7"/>
      <c r="NDG243" s="7"/>
      <c r="NDH243" s="7"/>
      <c r="NDI243" s="7"/>
      <c r="NDJ243" s="7"/>
      <c r="NDK243" s="7"/>
      <c r="NDL243" s="7"/>
      <c r="NDM243" s="7"/>
      <c r="NDN243" s="7"/>
      <c r="NDO243" s="7"/>
      <c r="NDP243" s="7"/>
      <c r="NDQ243" s="7"/>
      <c r="NDR243" s="7"/>
      <c r="NDS243" s="7"/>
      <c r="NDT243" s="7"/>
      <c r="NDU243" s="7"/>
      <c r="NDV243" s="7"/>
      <c r="NDW243" s="7"/>
      <c r="NDX243" s="7"/>
      <c r="NDY243" s="7"/>
      <c r="NDZ243" s="7"/>
      <c r="NEA243" s="7"/>
      <c r="NEB243" s="7"/>
      <c r="NEC243" s="7"/>
      <c r="NED243" s="7"/>
      <c r="NEE243" s="7"/>
      <c r="NEF243" s="7"/>
      <c r="NEG243" s="7"/>
      <c r="NEH243" s="7"/>
      <c r="NEI243" s="7"/>
      <c r="NEJ243" s="7"/>
      <c r="NEK243" s="7"/>
      <c r="NEL243" s="7"/>
      <c r="NEM243" s="7"/>
      <c r="NEN243" s="7"/>
      <c r="NEO243" s="7"/>
      <c r="NEP243" s="7"/>
      <c r="NEQ243" s="7"/>
      <c r="NER243" s="7"/>
      <c r="NES243" s="7"/>
      <c r="NET243" s="7"/>
      <c r="NEU243" s="7"/>
      <c r="NEV243" s="7"/>
      <c r="NEW243" s="7"/>
      <c r="NEX243" s="7"/>
      <c r="NEY243" s="7"/>
      <c r="NEZ243" s="7"/>
      <c r="NFA243" s="7"/>
      <c r="NFB243" s="7"/>
      <c r="NFC243" s="7"/>
      <c r="NFD243" s="7"/>
      <c r="NFE243" s="7"/>
      <c r="NFF243" s="7"/>
      <c r="NFG243" s="7"/>
      <c r="NFH243" s="7"/>
      <c r="NFI243" s="7"/>
      <c r="NFJ243" s="7"/>
      <c r="NFK243" s="7"/>
      <c r="NFL243" s="7"/>
      <c r="NFM243" s="7"/>
      <c r="NFN243" s="7"/>
      <c r="NFO243" s="7"/>
      <c r="NFP243" s="7"/>
      <c r="NFQ243" s="7"/>
      <c r="NFR243" s="7"/>
      <c r="NFS243" s="7"/>
      <c r="NFT243" s="7"/>
      <c r="NFU243" s="7"/>
      <c r="NFV243" s="7"/>
      <c r="NFW243" s="7"/>
      <c r="NFX243" s="7"/>
      <c r="NFY243" s="7"/>
      <c r="NFZ243" s="7"/>
      <c r="NGA243" s="7"/>
      <c r="NGB243" s="7"/>
      <c r="NGC243" s="7"/>
      <c r="NGD243" s="7"/>
      <c r="NGE243" s="7"/>
      <c r="NGF243" s="7"/>
      <c r="NGG243" s="7"/>
      <c r="NGH243" s="7"/>
      <c r="NGI243" s="7"/>
      <c r="NGJ243" s="7"/>
      <c r="NGK243" s="7"/>
      <c r="NGL243" s="7"/>
      <c r="NGM243" s="7"/>
      <c r="NGN243" s="7"/>
      <c r="NGO243" s="7"/>
      <c r="NGP243" s="7"/>
      <c r="NGQ243" s="7"/>
      <c r="NGR243" s="7"/>
      <c r="NGS243" s="7"/>
      <c r="NGT243" s="7"/>
      <c r="NGU243" s="7"/>
      <c r="NGV243" s="7"/>
      <c r="NGW243" s="7"/>
      <c r="NGX243" s="7"/>
      <c r="NGY243" s="7"/>
      <c r="NGZ243" s="7"/>
      <c r="NHA243" s="7"/>
      <c r="NHB243" s="7"/>
      <c r="NHC243" s="7"/>
      <c r="NHD243" s="7"/>
      <c r="NHE243" s="7"/>
      <c r="NHF243" s="7"/>
      <c r="NHG243" s="7"/>
      <c r="NHH243" s="7"/>
      <c r="NHI243" s="7"/>
      <c r="NHJ243" s="7"/>
      <c r="NHK243" s="7"/>
      <c r="NHL243" s="7"/>
      <c r="NHM243" s="7"/>
      <c r="NHN243" s="7"/>
      <c r="NHO243" s="7"/>
      <c r="NHP243" s="7"/>
      <c r="NHQ243" s="7"/>
      <c r="NHR243" s="7"/>
      <c r="NHS243" s="7"/>
      <c r="NHT243" s="7"/>
      <c r="NHU243" s="7"/>
      <c r="NHV243" s="7"/>
      <c r="NHW243" s="7"/>
      <c r="NHX243" s="7"/>
      <c r="NHY243" s="7"/>
      <c r="NHZ243" s="7"/>
      <c r="NIA243" s="7"/>
      <c r="NIB243" s="7"/>
      <c r="NIC243" s="7"/>
      <c r="NID243" s="7"/>
      <c r="NIE243" s="7"/>
      <c r="NIF243" s="7"/>
      <c r="NIG243" s="7"/>
      <c r="NIH243" s="7"/>
      <c r="NII243" s="7"/>
      <c r="NIJ243" s="7"/>
      <c r="NIK243" s="7"/>
      <c r="NIL243" s="7"/>
      <c r="NIM243" s="7"/>
      <c r="NIN243" s="7"/>
      <c r="NIO243" s="7"/>
      <c r="NIP243" s="7"/>
      <c r="NIQ243" s="7"/>
      <c r="NIR243" s="7"/>
      <c r="NIS243" s="7"/>
      <c r="NIT243" s="7"/>
      <c r="NIU243" s="7"/>
      <c r="NIV243" s="7"/>
      <c r="NIW243" s="7"/>
      <c r="NIX243" s="7"/>
      <c r="NIY243" s="7"/>
      <c r="NIZ243" s="7"/>
      <c r="NJA243" s="7"/>
      <c r="NJB243" s="7"/>
      <c r="NJC243" s="7"/>
      <c r="NJD243" s="7"/>
      <c r="NJE243" s="7"/>
      <c r="NJF243" s="7"/>
      <c r="NJG243" s="7"/>
      <c r="NJH243" s="7"/>
      <c r="NJI243" s="7"/>
      <c r="NJJ243" s="7"/>
      <c r="NJK243" s="7"/>
      <c r="NJL243" s="7"/>
      <c r="NJM243" s="7"/>
      <c r="NJN243" s="7"/>
      <c r="NJO243" s="7"/>
      <c r="NJP243" s="7"/>
      <c r="NJQ243" s="7"/>
      <c r="NJR243" s="7"/>
      <c r="NJS243" s="7"/>
      <c r="NJT243" s="7"/>
      <c r="NJU243" s="7"/>
      <c r="NJV243" s="7"/>
      <c r="NJW243" s="7"/>
      <c r="NJX243" s="7"/>
      <c r="NJY243" s="7"/>
      <c r="NJZ243" s="7"/>
      <c r="NKA243" s="7"/>
      <c r="NKB243" s="7"/>
      <c r="NKC243" s="7"/>
      <c r="NKD243" s="7"/>
      <c r="NKE243" s="7"/>
      <c r="NKF243" s="7"/>
      <c r="NKG243" s="7"/>
      <c r="NKH243" s="7"/>
      <c r="NKI243" s="7"/>
      <c r="NKJ243" s="7"/>
      <c r="NKK243" s="7"/>
      <c r="NKL243" s="7"/>
      <c r="NKM243" s="7"/>
      <c r="NKN243" s="7"/>
      <c r="NKO243" s="7"/>
      <c r="NKP243" s="7"/>
      <c r="NKQ243" s="7"/>
      <c r="NKR243" s="7"/>
      <c r="NKS243" s="7"/>
      <c r="NKT243" s="7"/>
      <c r="NKU243" s="7"/>
      <c r="NKV243" s="7"/>
      <c r="NKW243" s="7"/>
      <c r="NKX243" s="7"/>
      <c r="NKY243" s="7"/>
      <c r="NKZ243" s="7"/>
      <c r="NLA243" s="7"/>
      <c r="NLB243" s="7"/>
      <c r="NLC243" s="7"/>
      <c r="NLD243" s="7"/>
      <c r="NLE243" s="7"/>
      <c r="NLF243" s="7"/>
      <c r="NLG243" s="7"/>
      <c r="NLH243" s="7"/>
      <c r="NLI243" s="7"/>
      <c r="NLJ243" s="7"/>
      <c r="NLK243" s="7"/>
      <c r="NLL243" s="7"/>
      <c r="NLM243" s="7"/>
      <c r="NLN243" s="7"/>
      <c r="NLO243" s="7"/>
      <c r="NLP243" s="7"/>
      <c r="NLQ243" s="7"/>
      <c r="NLR243" s="7"/>
      <c r="NLS243" s="7"/>
      <c r="NLT243" s="7"/>
      <c r="NLU243" s="7"/>
      <c r="NLV243" s="7"/>
      <c r="NLW243" s="7"/>
      <c r="NLX243" s="7"/>
      <c r="NLY243" s="7"/>
      <c r="NLZ243" s="7"/>
      <c r="NMA243" s="7"/>
      <c r="NMB243" s="7"/>
      <c r="NMC243" s="7"/>
      <c r="NMD243" s="7"/>
      <c r="NME243" s="7"/>
      <c r="NMF243" s="7"/>
      <c r="NMG243" s="7"/>
      <c r="NMH243" s="7"/>
      <c r="NMI243" s="7"/>
      <c r="NMJ243" s="7"/>
      <c r="NMK243" s="7"/>
      <c r="NML243" s="7"/>
      <c r="NMM243" s="7"/>
      <c r="NMN243" s="7"/>
      <c r="NMO243" s="7"/>
      <c r="NMP243" s="7"/>
      <c r="NMQ243" s="7"/>
      <c r="NMR243" s="7"/>
      <c r="NMS243" s="7"/>
      <c r="NMT243" s="7"/>
      <c r="NMU243" s="7"/>
      <c r="NMV243" s="7"/>
      <c r="NMW243" s="7"/>
      <c r="NMX243" s="7"/>
      <c r="NMY243" s="7"/>
      <c r="NMZ243" s="7"/>
      <c r="NNA243" s="7"/>
      <c r="NNB243" s="7"/>
      <c r="NNC243" s="7"/>
      <c r="NND243" s="7"/>
      <c r="NNE243" s="7"/>
      <c r="NNF243" s="7"/>
      <c r="NNG243" s="7"/>
      <c r="NNH243" s="7"/>
      <c r="NNI243" s="7"/>
      <c r="NNJ243" s="7"/>
      <c r="NNK243" s="7"/>
      <c r="NNL243" s="7"/>
      <c r="NNM243" s="7"/>
      <c r="NNN243" s="7"/>
      <c r="NNO243" s="7"/>
      <c r="NNP243" s="7"/>
      <c r="NNQ243" s="7"/>
      <c r="NNR243" s="7"/>
      <c r="NNS243" s="7"/>
      <c r="NNT243" s="7"/>
      <c r="NNU243" s="7"/>
      <c r="NNV243" s="7"/>
      <c r="NNW243" s="7"/>
      <c r="NNX243" s="7"/>
      <c r="NNY243" s="7"/>
      <c r="NNZ243" s="7"/>
      <c r="NOA243" s="7"/>
      <c r="NOB243" s="7"/>
      <c r="NOC243" s="7"/>
      <c r="NOD243" s="7"/>
      <c r="NOE243" s="7"/>
      <c r="NOF243" s="7"/>
      <c r="NOG243" s="7"/>
      <c r="NOH243" s="7"/>
      <c r="NOI243" s="7"/>
      <c r="NOJ243" s="7"/>
      <c r="NOK243" s="7"/>
      <c r="NOL243" s="7"/>
      <c r="NOM243" s="7"/>
      <c r="NON243" s="7"/>
      <c r="NOO243" s="7"/>
      <c r="NOP243" s="7"/>
      <c r="NOQ243" s="7"/>
      <c r="NOR243" s="7"/>
      <c r="NOS243" s="7"/>
      <c r="NOT243" s="7"/>
      <c r="NOU243" s="7"/>
      <c r="NOV243" s="7"/>
      <c r="NOW243" s="7"/>
      <c r="NOX243" s="7"/>
      <c r="NOY243" s="7"/>
      <c r="NOZ243" s="7"/>
      <c r="NPA243" s="7"/>
      <c r="NPB243" s="7"/>
      <c r="NPC243" s="7"/>
      <c r="NPD243" s="7"/>
      <c r="NPE243" s="7"/>
      <c r="NPF243" s="7"/>
      <c r="NPG243" s="7"/>
      <c r="NPH243" s="7"/>
      <c r="NPI243" s="7"/>
      <c r="NPJ243" s="7"/>
      <c r="NPK243" s="7"/>
      <c r="NPL243" s="7"/>
      <c r="NPM243" s="7"/>
      <c r="NPN243" s="7"/>
      <c r="NPO243" s="7"/>
      <c r="NPP243" s="7"/>
      <c r="NPQ243" s="7"/>
      <c r="NPR243" s="7"/>
      <c r="NPS243" s="7"/>
      <c r="NPT243" s="7"/>
      <c r="NPU243" s="7"/>
      <c r="NPV243" s="7"/>
      <c r="NPW243" s="7"/>
      <c r="NPX243" s="7"/>
      <c r="NPY243" s="7"/>
      <c r="NPZ243" s="7"/>
      <c r="NQA243" s="7"/>
      <c r="NQB243" s="7"/>
      <c r="NQC243" s="7"/>
      <c r="NQD243" s="7"/>
      <c r="NQE243" s="7"/>
      <c r="NQF243" s="7"/>
      <c r="NQG243" s="7"/>
      <c r="NQH243" s="7"/>
      <c r="NQI243" s="7"/>
      <c r="NQJ243" s="7"/>
      <c r="NQK243" s="7"/>
      <c r="NQL243" s="7"/>
      <c r="NQM243" s="7"/>
      <c r="NQN243" s="7"/>
      <c r="NQO243" s="7"/>
      <c r="NQP243" s="7"/>
      <c r="NQQ243" s="7"/>
      <c r="NQR243" s="7"/>
      <c r="NQS243" s="7"/>
      <c r="NQT243" s="7"/>
      <c r="NQU243" s="7"/>
      <c r="NQV243" s="7"/>
      <c r="NQW243" s="7"/>
      <c r="NQX243" s="7"/>
      <c r="NQY243" s="7"/>
      <c r="NQZ243" s="7"/>
      <c r="NRA243" s="7"/>
      <c r="NRB243" s="7"/>
      <c r="NRC243" s="7"/>
      <c r="NRD243" s="7"/>
      <c r="NRE243" s="7"/>
      <c r="NRF243" s="7"/>
      <c r="NRG243" s="7"/>
      <c r="NRH243" s="7"/>
      <c r="NRI243" s="7"/>
      <c r="NRJ243" s="7"/>
      <c r="NRK243" s="7"/>
      <c r="NRL243" s="7"/>
      <c r="NRM243" s="7"/>
      <c r="NRN243" s="7"/>
      <c r="NRO243" s="7"/>
      <c r="NRP243" s="7"/>
      <c r="NRQ243" s="7"/>
      <c r="NRR243" s="7"/>
      <c r="NRS243" s="7"/>
      <c r="NRT243" s="7"/>
      <c r="NRU243" s="7"/>
      <c r="NRV243" s="7"/>
      <c r="NRW243" s="7"/>
      <c r="NRX243" s="7"/>
      <c r="NRY243" s="7"/>
      <c r="NRZ243" s="7"/>
      <c r="NSA243" s="7"/>
      <c r="NSB243" s="7"/>
      <c r="NSC243" s="7"/>
      <c r="NSD243" s="7"/>
      <c r="NSE243" s="7"/>
      <c r="NSF243" s="7"/>
      <c r="NSG243" s="7"/>
      <c r="NSH243" s="7"/>
      <c r="NSI243" s="7"/>
      <c r="NSJ243" s="7"/>
      <c r="NSK243" s="7"/>
      <c r="NSL243" s="7"/>
      <c r="NSM243" s="7"/>
      <c r="NSN243" s="7"/>
      <c r="NSO243" s="7"/>
      <c r="NSP243" s="7"/>
      <c r="NSQ243" s="7"/>
      <c r="NSR243" s="7"/>
      <c r="NSS243" s="7"/>
      <c r="NST243" s="7"/>
      <c r="NSU243" s="7"/>
      <c r="NSV243" s="7"/>
      <c r="NSW243" s="7"/>
      <c r="NSX243" s="7"/>
      <c r="NSY243" s="7"/>
      <c r="NSZ243" s="7"/>
      <c r="NTA243" s="7"/>
      <c r="NTB243" s="7"/>
      <c r="NTC243" s="7"/>
      <c r="NTD243" s="7"/>
      <c r="NTE243" s="7"/>
      <c r="NTF243" s="7"/>
      <c r="NTG243" s="7"/>
      <c r="NTH243" s="7"/>
      <c r="NTI243" s="7"/>
      <c r="NTJ243" s="7"/>
      <c r="NTK243" s="7"/>
      <c r="NTL243" s="7"/>
      <c r="NTM243" s="7"/>
      <c r="NTN243" s="7"/>
      <c r="NTO243" s="7"/>
      <c r="NTP243" s="7"/>
      <c r="NTQ243" s="7"/>
      <c r="NTR243" s="7"/>
      <c r="NTS243" s="7"/>
      <c r="NTT243" s="7"/>
      <c r="NTU243" s="7"/>
      <c r="NTV243" s="7"/>
      <c r="NTW243" s="7"/>
      <c r="NTX243" s="7"/>
      <c r="NTY243" s="7"/>
      <c r="NTZ243" s="7"/>
      <c r="NUA243" s="7"/>
      <c r="NUB243" s="7"/>
      <c r="NUC243" s="7"/>
      <c r="NUD243" s="7"/>
      <c r="NUE243" s="7"/>
      <c r="NUF243" s="7"/>
      <c r="NUG243" s="7"/>
      <c r="NUH243" s="7"/>
      <c r="NUI243" s="7"/>
      <c r="NUJ243" s="7"/>
      <c r="NUK243" s="7"/>
      <c r="NUL243" s="7"/>
      <c r="NUM243" s="7"/>
      <c r="NUN243" s="7"/>
      <c r="NUO243" s="7"/>
      <c r="NUP243" s="7"/>
      <c r="NUQ243" s="7"/>
      <c r="NUR243" s="7"/>
      <c r="NUS243" s="7"/>
      <c r="NUT243" s="7"/>
      <c r="NUU243" s="7"/>
      <c r="NUV243" s="7"/>
      <c r="NUW243" s="7"/>
      <c r="NUX243" s="7"/>
      <c r="NUY243" s="7"/>
      <c r="NUZ243" s="7"/>
      <c r="NVA243" s="7"/>
      <c r="NVB243" s="7"/>
      <c r="NVC243" s="7"/>
      <c r="NVD243" s="7"/>
      <c r="NVE243" s="7"/>
      <c r="NVF243" s="7"/>
      <c r="NVG243" s="7"/>
      <c r="NVH243" s="7"/>
      <c r="NVI243" s="7"/>
      <c r="NVJ243" s="7"/>
      <c r="NVK243" s="7"/>
      <c r="NVL243" s="7"/>
      <c r="NVM243" s="7"/>
      <c r="NVN243" s="7"/>
      <c r="NVO243" s="7"/>
      <c r="NVP243" s="7"/>
      <c r="NVQ243" s="7"/>
      <c r="NVR243" s="7"/>
      <c r="NVS243" s="7"/>
      <c r="NVT243" s="7"/>
      <c r="NVU243" s="7"/>
      <c r="NVV243" s="7"/>
      <c r="NVW243" s="7"/>
      <c r="NVX243" s="7"/>
      <c r="NVY243" s="7"/>
      <c r="NVZ243" s="7"/>
      <c r="NWA243" s="7"/>
      <c r="NWB243" s="7"/>
      <c r="NWC243" s="7"/>
      <c r="NWD243" s="7"/>
      <c r="NWE243" s="7"/>
      <c r="NWF243" s="7"/>
      <c r="NWG243" s="7"/>
      <c r="NWH243" s="7"/>
      <c r="NWI243" s="7"/>
      <c r="NWJ243" s="7"/>
      <c r="NWK243" s="7"/>
      <c r="NWL243" s="7"/>
      <c r="NWM243" s="7"/>
      <c r="NWN243" s="7"/>
      <c r="NWO243" s="7"/>
      <c r="NWP243" s="7"/>
      <c r="NWQ243" s="7"/>
      <c r="NWR243" s="7"/>
      <c r="NWS243" s="7"/>
      <c r="NWT243" s="7"/>
      <c r="NWU243" s="7"/>
      <c r="NWV243" s="7"/>
      <c r="NWW243" s="7"/>
      <c r="NWX243" s="7"/>
      <c r="NWY243" s="7"/>
      <c r="NWZ243" s="7"/>
      <c r="NXA243" s="7"/>
      <c r="NXB243" s="7"/>
      <c r="NXC243" s="7"/>
      <c r="NXD243" s="7"/>
      <c r="NXE243" s="7"/>
      <c r="NXF243" s="7"/>
      <c r="NXG243" s="7"/>
      <c r="NXH243" s="7"/>
      <c r="NXI243" s="7"/>
      <c r="NXJ243" s="7"/>
      <c r="NXK243" s="7"/>
      <c r="NXL243" s="7"/>
      <c r="NXM243" s="7"/>
      <c r="NXN243" s="7"/>
      <c r="NXO243" s="7"/>
      <c r="NXP243" s="7"/>
      <c r="NXQ243" s="7"/>
      <c r="NXR243" s="7"/>
      <c r="NXS243" s="7"/>
      <c r="NXT243" s="7"/>
      <c r="NXU243" s="7"/>
      <c r="NXV243" s="7"/>
      <c r="NXW243" s="7"/>
      <c r="NXX243" s="7"/>
      <c r="NXY243" s="7"/>
      <c r="NXZ243" s="7"/>
      <c r="NYA243" s="7"/>
      <c r="NYB243" s="7"/>
      <c r="NYC243" s="7"/>
      <c r="NYD243" s="7"/>
      <c r="NYE243" s="7"/>
      <c r="NYF243" s="7"/>
      <c r="NYG243" s="7"/>
      <c r="NYH243" s="7"/>
      <c r="NYI243" s="7"/>
      <c r="NYJ243" s="7"/>
      <c r="NYK243" s="7"/>
      <c r="NYL243" s="7"/>
      <c r="NYM243" s="7"/>
      <c r="NYN243" s="7"/>
      <c r="NYO243" s="7"/>
      <c r="NYP243" s="7"/>
      <c r="NYQ243" s="7"/>
      <c r="NYR243" s="7"/>
      <c r="NYS243" s="7"/>
      <c r="NYT243" s="7"/>
      <c r="NYU243" s="7"/>
      <c r="NYV243" s="7"/>
      <c r="NYW243" s="7"/>
      <c r="NYX243" s="7"/>
      <c r="NYY243" s="7"/>
      <c r="NYZ243" s="7"/>
      <c r="NZA243" s="7"/>
      <c r="NZB243" s="7"/>
      <c r="NZC243" s="7"/>
      <c r="NZD243" s="7"/>
      <c r="NZE243" s="7"/>
      <c r="NZF243" s="7"/>
      <c r="NZG243" s="7"/>
      <c r="NZH243" s="7"/>
      <c r="NZI243" s="7"/>
      <c r="NZJ243" s="7"/>
      <c r="NZK243" s="7"/>
      <c r="NZL243" s="7"/>
      <c r="NZM243" s="7"/>
      <c r="NZN243" s="7"/>
      <c r="NZO243" s="7"/>
      <c r="NZP243" s="7"/>
      <c r="NZQ243" s="7"/>
      <c r="NZR243" s="7"/>
      <c r="NZS243" s="7"/>
      <c r="NZT243" s="7"/>
      <c r="NZU243" s="7"/>
      <c r="NZV243" s="7"/>
      <c r="NZW243" s="7"/>
      <c r="NZX243" s="7"/>
      <c r="NZY243" s="7"/>
      <c r="NZZ243" s="7"/>
      <c r="OAA243" s="7"/>
      <c r="OAB243" s="7"/>
      <c r="OAC243" s="7"/>
      <c r="OAD243" s="7"/>
      <c r="OAE243" s="7"/>
      <c r="OAF243" s="7"/>
      <c r="OAG243" s="7"/>
      <c r="OAH243" s="7"/>
      <c r="OAI243" s="7"/>
      <c r="OAJ243" s="7"/>
      <c r="OAK243" s="7"/>
      <c r="OAL243" s="7"/>
      <c r="OAM243" s="7"/>
      <c r="OAN243" s="7"/>
      <c r="OAO243" s="7"/>
      <c r="OAP243" s="7"/>
      <c r="OAQ243" s="7"/>
      <c r="OAR243" s="7"/>
      <c r="OAS243" s="7"/>
      <c r="OAT243" s="7"/>
      <c r="OAU243" s="7"/>
      <c r="OAV243" s="7"/>
      <c r="OAW243" s="7"/>
      <c r="OAX243" s="7"/>
      <c r="OAY243" s="7"/>
      <c r="OAZ243" s="7"/>
      <c r="OBA243" s="7"/>
      <c r="OBB243" s="7"/>
      <c r="OBC243" s="7"/>
      <c r="OBD243" s="7"/>
      <c r="OBE243" s="7"/>
      <c r="OBF243" s="7"/>
      <c r="OBG243" s="7"/>
      <c r="OBH243" s="7"/>
      <c r="OBI243" s="7"/>
      <c r="OBJ243" s="7"/>
      <c r="OBK243" s="7"/>
      <c r="OBL243" s="7"/>
      <c r="OBM243" s="7"/>
      <c r="OBN243" s="7"/>
      <c r="OBO243" s="7"/>
      <c r="OBP243" s="7"/>
      <c r="OBQ243" s="7"/>
      <c r="OBR243" s="7"/>
      <c r="OBS243" s="7"/>
      <c r="OBT243" s="7"/>
      <c r="OBU243" s="7"/>
      <c r="OBV243" s="7"/>
      <c r="OBW243" s="7"/>
      <c r="OBX243" s="7"/>
      <c r="OBY243" s="7"/>
      <c r="OBZ243" s="7"/>
      <c r="OCA243" s="7"/>
      <c r="OCB243" s="7"/>
      <c r="OCC243" s="7"/>
      <c r="OCD243" s="7"/>
      <c r="OCE243" s="7"/>
      <c r="OCF243" s="7"/>
      <c r="OCG243" s="7"/>
      <c r="OCH243" s="7"/>
      <c r="OCI243" s="7"/>
      <c r="OCJ243" s="7"/>
      <c r="OCK243" s="7"/>
      <c r="OCL243" s="7"/>
      <c r="OCM243" s="7"/>
      <c r="OCN243" s="7"/>
      <c r="OCO243" s="7"/>
      <c r="OCP243" s="7"/>
      <c r="OCQ243" s="7"/>
      <c r="OCR243" s="7"/>
      <c r="OCS243" s="7"/>
      <c r="OCT243" s="7"/>
      <c r="OCU243" s="7"/>
      <c r="OCV243" s="7"/>
      <c r="OCW243" s="7"/>
      <c r="OCX243" s="7"/>
      <c r="OCY243" s="7"/>
      <c r="OCZ243" s="7"/>
      <c r="ODA243" s="7"/>
      <c r="ODB243" s="7"/>
      <c r="ODC243" s="7"/>
      <c r="ODD243" s="7"/>
      <c r="ODE243" s="7"/>
      <c r="ODF243" s="7"/>
      <c r="ODG243" s="7"/>
      <c r="ODH243" s="7"/>
      <c r="ODI243" s="7"/>
      <c r="ODJ243" s="7"/>
      <c r="ODK243" s="7"/>
      <c r="ODL243" s="7"/>
      <c r="ODM243" s="7"/>
      <c r="ODN243" s="7"/>
      <c r="ODO243" s="7"/>
      <c r="ODP243" s="7"/>
      <c r="ODQ243" s="7"/>
      <c r="ODR243" s="7"/>
      <c r="ODS243" s="7"/>
      <c r="ODT243" s="7"/>
      <c r="ODU243" s="7"/>
      <c r="ODV243" s="7"/>
      <c r="ODW243" s="7"/>
      <c r="ODX243" s="7"/>
      <c r="ODY243" s="7"/>
      <c r="ODZ243" s="7"/>
      <c r="OEA243" s="7"/>
      <c r="OEB243" s="7"/>
      <c r="OEC243" s="7"/>
      <c r="OED243" s="7"/>
      <c r="OEE243" s="7"/>
      <c r="OEF243" s="7"/>
      <c r="OEG243" s="7"/>
      <c r="OEH243" s="7"/>
      <c r="OEI243" s="7"/>
      <c r="OEJ243" s="7"/>
      <c r="OEK243" s="7"/>
      <c r="OEL243" s="7"/>
      <c r="OEM243" s="7"/>
      <c r="OEN243" s="7"/>
      <c r="OEO243" s="7"/>
      <c r="OEP243" s="7"/>
      <c r="OEQ243" s="7"/>
      <c r="OER243" s="7"/>
      <c r="OES243" s="7"/>
      <c r="OET243" s="7"/>
      <c r="OEU243" s="7"/>
      <c r="OEV243" s="7"/>
      <c r="OEW243" s="7"/>
      <c r="OEX243" s="7"/>
      <c r="OEY243" s="7"/>
      <c r="OEZ243" s="7"/>
      <c r="OFA243" s="7"/>
      <c r="OFB243" s="7"/>
      <c r="OFC243" s="7"/>
      <c r="OFD243" s="7"/>
      <c r="OFE243" s="7"/>
      <c r="OFF243" s="7"/>
      <c r="OFG243" s="7"/>
      <c r="OFH243" s="7"/>
      <c r="OFI243" s="7"/>
      <c r="OFJ243" s="7"/>
      <c r="OFK243" s="7"/>
      <c r="OFL243" s="7"/>
      <c r="OFM243" s="7"/>
      <c r="OFN243" s="7"/>
      <c r="OFO243" s="7"/>
      <c r="OFP243" s="7"/>
      <c r="OFQ243" s="7"/>
      <c r="OFR243" s="7"/>
      <c r="OFS243" s="7"/>
      <c r="OFT243" s="7"/>
      <c r="OFU243" s="7"/>
      <c r="OFV243" s="7"/>
      <c r="OFW243" s="7"/>
      <c r="OFX243" s="7"/>
      <c r="OFY243" s="7"/>
      <c r="OFZ243" s="7"/>
      <c r="OGA243" s="7"/>
      <c r="OGB243" s="7"/>
      <c r="OGC243" s="7"/>
      <c r="OGD243" s="7"/>
      <c r="OGE243" s="7"/>
      <c r="OGF243" s="7"/>
      <c r="OGG243" s="7"/>
      <c r="OGH243" s="7"/>
      <c r="OGI243" s="7"/>
      <c r="OGJ243" s="7"/>
      <c r="OGK243" s="7"/>
      <c r="OGL243" s="7"/>
      <c r="OGM243" s="7"/>
      <c r="OGN243" s="7"/>
      <c r="OGO243" s="7"/>
      <c r="OGP243" s="7"/>
      <c r="OGQ243" s="7"/>
      <c r="OGR243" s="7"/>
      <c r="OGS243" s="7"/>
      <c r="OGT243" s="7"/>
      <c r="OGU243" s="7"/>
      <c r="OGV243" s="7"/>
      <c r="OGW243" s="7"/>
      <c r="OGX243" s="7"/>
      <c r="OGY243" s="7"/>
      <c r="OGZ243" s="7"/>
      <c r="OHA243" s="7"/>
      <c r="OHB243" s="7"/>
      <c r="OHC243" s="7"/>
      <c r="OHD243" s="7"/>
      <c r="OHE243" s="7"/>
      <c r="OHF243" s="7"/>
      <c r="OHG243" s="7"/>
      <c r="OHH243" s="7"/>
      <c r="OHI243" s="7"/>
      <c r="OHJ243" s="7"/>
      <c r="OHK243" s="7"/>
      <c r="OHL243" s="7"/>
      <c r="OHM243" s="7"/>
      <c r="OHN243" s="7"/>
      <c r="OHO243" s="7"/>
      <c r="OHP243" s="7"/>
      <c r="OHQ243" s="7"/>
      <c r="OHR243" s="7"/>
      <c r="OHS243" s="7"/>
      <c r="OHT243" s="7"/>
      <c r="OHU243" s="7"/>
      <c r="OHV243" s="7"/>
      <c r="OHW243" s="7"/>
      <c r="OHX243" s="7"/>
      <c r="OHY243" s="7"/>
      <c r="OHZ243" s="7"/>
      <c r="OIA243" s="7"/>
      <c r="OIB243" s="7"/>
      <c r="OIC243" s="7"/>
      <c r="OID243" s="7"/>
      <c r="OIE243" s="7"/>
      <c r="OIF243" s="7"/>
      <c r="OIG243" s="7"/>
      <c r="OIH243" s="7"/>
      <c r="OII243" s="7"/>
      <c r="OIJ243" s="7"/>
      <c r="OIK243" s="7"/>
      <c r="OIL243" s="7"/>
      <c r="OIM243" s="7"/>
      <c r="OIN243" s="7"/>
      <c r="OIO243" s="7"/>
      <c r="OIP243" s="7"/>
      <c r="OIQ243" s="7"/>
      <c r="OIR243" s="7"/>
      <c r="OIS243" s="7"/>
      <c r="OIT243" s="7"/>
      <c r="OIU243" s="7"/>
      <c r="OIV243" s="7"/>
      <c r="OIW243" s="7"/>
      <c r="OIX243" s="7"/>
      <c r="OIY243" s="7"/>
      <c r="OIZ243" s="7"/>
      <c r="OJA243" s="7"/>
      <c r="OJB243" s="7"/>
      <c r="OJC243" s="7"/>
      <c r="OJD243" s="7"/>
      <c r="OJE243" s="7"/>
      <c r="OJF243" s="7"/>
      <c r="OJG243" s="7"/>
      <c r="OJH243" s="7"/>
      <c r="OJI243" s="7"/>
      <c r="OJJ243" s="7"/>
      <c r="OJK243" s="7"/>
      <c r="OJL243" s="7"/>
      <c r="OJM243" s="7"/>
      <c r="OJN243" s="7"/>
      <c r="OJO243" s="7"/>
      <c r="OJP243" s="7"/>
      <c r="OJQ243" s="7"/>
      <c r="OJR243" s="7"/>
      <c r="OJS243" s="7"/>
      <c r="OJT243" s="7"/>
      <c r="OJU243" s="7"/>
      <c r="OJV243" s="7"/>
      <c r="OJW243" s="7"/>
      <c r="OJX243" s="7"/>
      <c r="OJY243" s="7"/>
      <c r="OJZ243" s="7"/>
      <c r="OKA243" s="7"/>
      <c r="OKB243" s="7"/>
      <c r="OKC243" s="7"/>
      <c r="OKD243" s="7"/>
      <c r="OKE243" s="7"/>
      <c r="OKF243" s="7"/>
      <c r="OKG243" s="7"/>
      <c r="OKH243" s="7"/>
      <c r="OKI243" s="7"/>
      <c r="OKJ243" s="7"/>
      <c r="OKK243" s="7"/>
      <c r="OKL243" s="7"/>
      <c r="OKM243" s="7"/>
      <c r="OKN243" s="7"/>
      <c r="OKO243" s="7"/>
      <c r="OKP243" s="7"/>
      <c r="OKQ243" s="7"/>
      <c r="OKR243" s="7"/>
      <c r="OKS243" s="7"/>
      <c r="OKT243" s="7"/>
      <c r="OKU243" s="7"/>
      <c r="OKV243" s="7"/>
      <c r="OKW243" s="7"/>
      <c r="OKX243" s="7"/>
      <c r="OKY243" s="7"/>
      <c r="OKZ243" s="7"/>
      <c r="OLA243" s="7"/>
      <c r="OLB243" s="7"/>
      <c r="OLC243" s="7"/>
      <c r="OLD243" s="7"/>
      <c r="OLE243" s="7"/>
      <c r="OLF243" s="7"/>
      <c r="OLG243" s="7"/>
      <c r="OLH243" s="7"/>
      <c r="OLI243" s="7"/>
      <c r="OLJ243" s="7"/>
      <c r="OLK243" s="7"/>
      <c r="OLL243" s="7"/>
      <c r="OLM243" s="7"/>
      <c r="OLN243" s="7"/>
      <c r="OLO243" s="7"/>
      <c r="OLP243" s="7"/>
      <c r="OLQ243" s="7"/>
      <c r="OLR243" s="7"/>
      <c r="OLS243" s="7"/>
      <c r="OLT243" s="7"/>
      <c r="OLU243" s="7"/>
      <c r="OLV243" s="7"/>
      <c r="OLW243" s="7"/>
      <c r="OLX243" s="7"/>
      <c r="OLY243" s="7"/>
      <c r="OLZ243" s="7"/>
      <c r="OMA243" s="7"/>
      <c r="OMB243" s="7"/>
      <c r="OMC243" s="7"/>
      <c r="OMD243" s="7"/>
      <c r="OME243" s="7"/>
      <c r="OMF243" s="7"/>
      <c r="OMG243" s="7"/>
      <c r="OMH243" s="7"/>
      <c r="OMI243" s="7"/>
      <c r="OMJ243" s="7"/>
      <c r="OMK243" s="7"/>
      <c r="OML243" s="7"/>
      <c r="OMM243" s="7"/>
      <c r="OMN243" s="7"/>
      <c r="OMO243" s="7"/>
      <c r="OMP243" s="7"/>
      <c r="OMQ243" s="7"/>
      <c r="OMR243" s="7"/>
      <c r="OMS243" s="7"/>
      <c r="OMT243" s="7"/>
      <c r="OMU243" s="7"/>
      <c r="OMV243" s="7"/>
      <c r="OMW243" s="7"/>
      <c r="OMX243" s="7"/>
      <c r="OMY243" s="7"/>
      <c r="OMZ243" s="7"/>
      <c r="ONA243" s="7"/>
      <c r="ONB243" s="7"/>
      <c r="ONC243" s="7"/>
      <c r="OND243" s="7"/>
      <c r="ONE243" s="7"/>
      <c r="ONF243" s="7"/>
      <c r="ONG243" s="7"/>
      <c r="ONH243" s="7"/>
      <c r="ONI243" s="7"/>
      <c r="ONJ243" s="7"/>
      <c r="ONK243" s="7"/>
      <c r="ONL243" s="7"/>
      <c r="ONM243" s="7"/>
      <c r="ONN243" s="7"/>
      <c r="ONO243" s="7"/>
      <c r="ONP243" s="7"/>
      <c r="ONQ243" s="7"/>
      <c r="ONR243" s="7"/>
      <c r="ONS243" s="7"/>
      <c r="ONT243" s="7"/>
      <c r="ONU243" s="7"/>
      <c r="ONV243" s="7"/>
      <c r="ONW243" s="7"/>
      <c r="ONX243" s="7"/>
      <c r="ONY243" s="7"/>
      <c r="ONZ243" s="7"/>
      <c r="OOA243" s="7"/>
      <c r="OOB243" s="7"/>
      <c r="OOC243" s="7"/>
      <c r="OOD243" s="7"/>
      <c r="OOE243" s="7"/>
      <c r="OOF243" s="7"/>
      <c r="OOG243" s="7"/>
      <c r="OOH243" s="7"/>
      <c r="OOI243" s="7"/>
      <c r="OOJ243" s="7"/>
      <c r="OOK243" s="7"/>
      <c r="OOL243" s="7"/>
      <c r="OOM243" s="7"/>
      <c r="OON243" s="7"/>
      <c r="OOO243" s="7"/>
      <c r="OOP243" s="7"/>
      <c r="OOQ243" s="7"/>
      <c r="OOR243" s="7"/>
      <c r="OOS243" s="7"/>
      <c r="OOT243" s="7"/>
      <c r="OOU243" s="7"/>
      <c r="OOV243" s="7"/>
      <c r="OOW243" s="7"/>
      <c r="OOX243" s="7"/>
      <c r="OOY243" s="7"/>
      <c r="OOZ243" s="7"/>
      <c r="OPA243" s="7"/>
      <c r="OPB243" s="7"/>
      <c r="OPC243" s="7"/>
      <c r="OPD243" s="7"/>
      <c r="OPE243" s="7"/>
      <c r="OPF243" s="7"/>
      <c r="OPG243" s="7"/>
      <c r="OPH243" s="7"/>
      <c r="OPI243" s="7"/>
      <c r="OPJ243" s="7"/>
      <c r="OPK243" s="7"/>
      <c r="OPL243" s="7"/>
      <c r="OPM243" s="7"/>
      <c r="OPN243" s="7"/>
      <c r="OPO243" s="7"/>
      <c r="OPP243" s="7"/>
      <c r="OPQ243" s="7"/>
      <c r="OPR243" s="7"/>
      <c r="OPS243" s="7"/>
      <c r="OPT243" s="7"/>
      <c r="OPU243" s="7"/>
      <c r="OPV243" s="7"/>
      <c r="OPW243" s="7"/>
      <c r="OPX243" s="7"/>
      <c r="OPY243" s="7"/>
      <c r="OPZ243" s="7"/>
      <c r="OQA243" s="7"/>
      <c r="OQB243" s="7"/>
      <c r="OQC243" s="7"/>
      <c r="OQD243" s="7"/>
      <c r="OQE243" s="7"/>
      <c r="OQF243" s="7"/>
      <c r="OQG243" s="7"/>
      <c r="OQH243" s="7"/>
      <c r="OQI243" s="7"/>
      <c r="OQJ243" s="7"/>
      <c r="OQK243" s="7"/>
      <c r="OQL243" s="7"/>
      <c r="OQM243" s="7"/>
      <c r="OQN243" s="7"/>
      <c r="OQO243" s="7"/>
      <c r="OQP243" s="7"/>
      <c r="OQQ243" s="7"/>
      <c r="OQR243" s="7"/>
      <c r="OQS243" s="7"/>
      <c r="OQT243" s="7"/>
      <c r="OQU243" s="7"/>
      <c r="OQV243" s="7"/>
      <c r="OQW243" s="7"/>
      <c r="OQX243" s="7"/>
      <c r="OQY243" s="7"/>
      <c r="OQZ243" s="7"/>
      <c r="ORA243" s="7"/>
      <c r="ORB243" s="7"/>
      <c r="ORC243" s="7"/>
      <c r="ORD243" s="7"/>
      <c r="ORE243" s="7"/>
      <c r="ORF243" s="7"/>
      <c r="ORG243" s="7"/>
      <c r="ORH243" s="7"/>
      <c r="ORI243" s="7"/>
      <c r="ORJ243" s="7"/>
      <c r="ORK243" s="7"/>
      <c r="ORL243" s="7"/>
      <c r="ORM243" s="7"/>
      <c r="ORN243" s="7"/>
      <c r="ORO243" s="7"/>
      <c r="ORP243" s="7"/>
      <c r="ORQ243" s="7"/>
      <c r="ORR243" s="7"/>
      <c r="ORS243" s="7"/>
      <c r="ORT243" s="7"/>
      <c r="ORU243" s="7"/>
      <c r="ORV243" s="7"/>
      <c r="ORW243" s="7"/>
      <c r="ORX243" s="7"/>
      <c r="ORY243" s="7"/>
      <c r="ORZ243" s="7"/>
      <c r="OSA243" s="7"/>
      <c r="OSB243" s="7"/>
      <c r="OSC243" s="7"/>
      <c r="OSD243" s="7"/>
      <c r="OSE243" s="7"/>
      <c r="OSF243" s="7"/>
      <c r="OSG243" s="7"/>
      <c r="OSH243" s="7"/>
      <c r="OSI243" s="7"/>
      <c r="OSJ243" s="7"/>
      <c r="OSK243" s="7"/>
      <c r="OSL243" s="7"/>
      <c r="OSM243" s="7"/>
      <c r="OSN243" s="7"/>
      <c r="OSO243" s="7"/>
      <c r="OSP243" s="7"/>
      <c r="OSQ243" s="7"/>
      <c r="OSR243" s="7"/>
      <c r="OSS243" s="7"/>
      <c r="OST243" s="7"/>
      <c r="OSU243" s="7"/>
      <c r="OSV243" s="7"/>
      <c r="OSW243" s="7"/>
      <c r="OSX243" s="7"/>
      <c r="OSY243" s="7"/>
      <c r="OSZ243" s="7"/>
      <c r="OTA243" s="7"/>
      <c r="OTB243" s="7"/>
      <c r="OTC243" s="7"/>
      <c r="OTD243" s="7"/>
      <c r="OTE243" s="7"/>
      <c r="OTF243" s="7"/>
      <c r="OTG243" s="7"/>
      <c r="OTH243" s="7"/>
      <c r="OTI243" s="7"/>
      <c r="OTJ243" s="7"/>
      <c r="OTK243" s="7"/>
      <c r="OTL243" s="7"/>
      <c r="OTM243" s="7"/>
      <c r="OTN243" s="7"/>
      <c r="OTO243" s="7"/>
      <c r="OTP243" s="7"/>
      <c r="OTQ243" s="7"/>
      <c r="OTR243" s="7"/>
      <c r="OTS243" s="7"/>
      <c r="OTT243" s="7"/>
      <c r="OTU243" s="7"/>
      <c r="OTV243" s="7"/>
      <c r="OTW243" s="7"/>
      <c r="OTX243" s="7"/>
      <c r="OTY243" s="7"/>
      <c r="OTZ243" s="7"/>
      <c r="OUA243" s="7"/>
      <c r="OUB243" s="7"/>
      <c r="OUC243" s="7"/>
      <c r="OUD243" s="7"/>
      <c r="OUE243" s="7"/>
      <c r="OUF243" s="7"/>
      <c r="OUG243" s="7"/>
      <c r="OUH243" s="7"/>
      <c r="OUI243" s="7"/>
      <c r="OUJ243" s="7"/>
      <c r="OUK243" s="7"/>
      <c r="OUL243" s="7"/>
      <c r="OUM243" s="7"/>
      <c r="OUN243" s="7"/>
      <c r="OUO243" s="7"/>
      <c r="OUP243" s="7"/>
      <c r="OUQ243" s="7"/>
      <c r="OUR243" s="7"/>
      <c r="OUS243" s="7"/>
      <c r="OUT243" s="7"/>
      <c r="OUU243" s="7"/>
      <c r="OUV243" s="7"/>
      <c r="OUW243" s="7"/>
      <c r="OUX243" s="7"/>
      <c r="OUY243" s="7"/>
      <c r="OUZ243" s="7"/>
      <c r="OVA243" s="7"/>
      <c r="OVB243" s="7"/>
      <c r="OVC243" s="7"/>
      <c r="OVD243" s="7"/>
      <c r="OVE243" s="7"/>
      <c r="OVF243" s="7"/>
      <c r="OVG243" s="7"/>
      <c r="OVH243" s="7"/>
      <c r="OVI243" s="7"/>
      <c r="OVJ243" s="7"/>
      <c r="OVK243" s="7"/>
      <c r="OVL243" s="7"/>
      <c r="OVM243" s="7"/>
      <c r="OVN243" s="7"/>
      <c r="OVO243" s="7"/>
      <c r="OVP243" s="7"/>
      <c r="OVQ243" s="7"/>
      <c r="OVR243" s="7"/>
      <c r="OVS243" s="7"/>
      <c r="OVT243" s="7"/>
      <c r="OVU243" s="7"/>
      <c r="OVV243" s="7"/>
      <c r="OVW243" s="7"/>
      <c r="OVX243" s="7"/>
      <c r="OVY243" s="7"/>
      <c r="OVZ243" s="7"/>
      <c r="OWA243" s="7"/>
      <c r="OWB243" s="7"/>
      <c r="OWC243" s="7"/>
      <c r="OWD243" s="7"/>
      <c r="OWE243" s="7"/>
      <c r="OWF243" s="7"/>
      <c r="OWG243" s="7"/>
      <c r="OWH243" s="7"/>
      <c r="OWI243" s="7"/>
      <c r="OWJ243" s="7"/>
      <c r="OWK243" s="7"/>
      <c r="OWL243" s="7"/>
      <c r="OWM243" s="7"/>
      <c r="OWN243" s="7"/>
      <c r="OWO243" s="7"/>
      <c r="OWP243" s="7"/>
      <c r="OWQ243" s="7"/>
      <c r="OWR243" s="7"/>
      <c r="OWS243" s="7"/>
      <c r="OWT243" s="7"/>
      <c r="OWU243" s="7"/>
      <c r="OWV243" s="7"/>
      <c r="OWW243" s="7"/>
      <c r="OWX243" s="7"/>
      <c r="OWY243" s="7"/>
      <c r="OWZ243" s="7"/>
      <c r="OXA243" s="7"/>
      <c r="OXB243" s="7"/>
      <c r="OXC243" s="7"/>
      <c r="OXD243" s="7"/>
      <c r="OXE243" s="7"/>
      <c r="OXF243" s="7"/>
      <c r="OXG243" s="7"/>
      <c r="OXH243" s="7"/>
      <c r="OXI243" s="7"/>
      <c r="OXJ243" s="7"/>
      <c r="OXK243" s="7"/>
      <c r="OXL243" s="7"/>
      <c r="OXM243" s="7"/>
      <c r="OXN243" s="7"/>
      <c r="OXO243" s="7"/>
      <c r="OXP243" s="7"/>
      <c r="OXQ243" s="7"/>
      <c r="OXR243" s="7"/>
      <c r="OXS243" s="7"/>
      <c r="OXT243" s="7"/>
      <c r="OXU243" s="7"/>
      <c r="OXV243" s="7"/>
      <c r="OXW243" s="7"/>
      <c r="OXX243" s="7"/>
      <c r="OXY243" s="7"/>
      <c r="OXZ243" s="7"/>
      <c r="OYA243" s="7"/>
      <c r="OYB243" s="7"/>
      <c r="OYC243" s="7"/>
      <c r="OYD243" s="7"/>
      <c r="OYE243" s="7"/>
      <c r="OYF243" s="7"/>
      <c r="OYG243" s="7"/>
      <c r="OYH243" s="7"/>
      <c r="OYI243" s="7"/>
      <c r="OYJ243" s="7"/>
      <c r="OYK243" s="7"/>
      <c r="OYL243" s="7"/>
      <c r="OYM243" s="7"/>
      <c r="OYN243" s="7"/>
      <c r="OYO243" s="7"/>
      <c r="OYP243" s="7"/>
      <c r="OYQ243" s="7"/>
      <c r="OYR243" s="7"/>
      <c r="OYS243" s="7"/>
      <c r="OYT243" s="7"/>
      <c r="OYU243" s="7"/>
      <c r="OYV243" s="7"/>
      <c r="OYW243" s="7"/>
      <c r="OYX243" s="7"/>
      <c r="OYY243" s="7"/>
      <c r="OYZ243" s="7"/>
      <c r="OZA243" s="7"/>
      <c r="OZB243" s="7"/>
      <c r="OZC243" s="7"/>
      <c r="OZD243" s="7"/>
      <c r="OZE243" s="7"/>
      <c r="OZF243" s="7"/>
      <c r="OZG243" s="7"/>
      <c r="OZH243" s="7"/>
      <c r="OZI243" s="7"/>
      <c r="OZJ243" s="7"/>
      <c r="OZK243" s="7"/>
      <c r="OZL243" s="7"/>
      <c r="OZM243" s="7"/>
      <c r="OZN243" s="7"/>
      <c r="OZO243" s="7"/>
      <c r="OZP243" s="7"/>
      <c r="OZQ243" s="7"/>
      <c r="OZR243" s="7"/>
      <c r="OZS243" s="7"/>
      <c r="OZT243" s="7"/>
      <c r="OZU243" s="7"/>
      <c r="OZV243" s="7"/>
      <c r="OZW243" s="7"/>
      <c r="OZX243" s="7"/>
      <c r="OZY243" s="7"/>
      <c r="OZZ243" s="7"/>
      <c r="PAA243" s="7"/>
      <c r="PAB243" s="7"/>
      <c r="PAC243" s="7"/>
      <c r="PAD243" s="7"/>
      <c r="PAE243" s="7"/>
      <c r="PAF243" s="7"/>
      <c r="PAG243" s="7"/>
      <c r="PAH243" s="7"/>
      <c r="PAI243" s="7"/>
      <c r="PAJ243" s="7"/>
      <c r="PAK243" s="7"/>
      <c r="PAL243" s="7"/>
      <c r="PAM243" s="7"/>
      <c r="PAN243" s="7"/>
      <c r="PAO243" s="7"/>
      <c r="PAP243" s="7"/>
      <c r="PAQ243" s="7"/>
      <c r="PAR243" s="7"/>
      <c r="PAS243" s="7"/>
      <c r="PAT243" s="7"/>
      <c r="PAU243" s="7"/>
      <c r="PAV243" s="7"/>
      <c r="PAW243" s="7"/>
      <c r="PAX243" s="7"/>
      <c r="PAY243" s="7"/>
      <c r="PAZ243" s="7"/>
      <c r="PBA243" s="7"/>
      <c r="PBB243" s="7"/>
      <c r="PBC243" s="7"/>
      <c r="PBD243" s="7"/>
      <c r="PBE243" s="7"/>
      <c r="PBF243" s="7"/>
      <c r="PBG243" s="7"/>
      <c r="PBH243" s="7"/>
      <c r="PBI243" s="7"/>
      <c r="PBJ243" s="7"/>
      <c r="PBK243" s="7"/>
      <c r="PBL243" s="7"/>
      <c r="PBM243" s="7"/>
      <c r="PBN243" s="7"/>
      <c r="PBO243" s="7"/>
      <c r="PBP243" s="7"/>
      <c r="PBQ243" s="7"/>
      <c r="PBR243" s="7"/>
      <c r="PBS243" s="7"/>
      <c r="PBT243" s="7"/>
      <c r="PBU243" s="7"/>
      <c r="PBV243" s="7"/>
      <c r="PBW243" s="7"/>
      <c r="PBX243" s="7"/>
      <c r="PBY243" s="7"/>
      <c r="PBZ243" s="7"/>
      <c r="PCA243" s="7"/>
      <c r="PCB243" s="7"/>
      <c r="PCC243" s="7"/>
      <c r="PCD243" s="7"/>
      <c r="PCE243" s="7"/>
      <c r="PCF243" s="7"/>
      <c r="PCG243" s="7"/>
      <c r="PCH243" s="7"/>
      <c r="PCI243" s="7"/>
      <c r="PCJ243" s="7"/>
      <c r="PCK243" s="7"/>
      <c r="PCL243" s="7"/>
      <c r="PCM243" s="7"/>
      <c r="PCN243" s="7"/>
      <c r="PCO243" s="7"/>
      <c r="PCP243" s="7"/>
      <c r="PCQ243" s="7"/>
      <c r="PCR243" s="7"/>
      <c r="PCS243" s="7"/>
      <c r="PCT243" s="7"/>
      <c r="PCU243" s="7"/>
      <c r="PCV243" s="7"/>
      <c r="PCW243" s="7"/>
      <c r="PCX243" s="7"/>
      <c r="PCY243" s="7"/>
      <c r="PCZ243" s="7"/>
      <c r="PDA243" s="7"/>
      <c r="PDB243" s="7"/>
      <c r="PDC243" s="7"/>
      <c r="PDD243" s="7"/>
      <c r="PDE243" s="7"/>
      <c r="PDF243" s="7"/>
      <c r="PDG243" s="7"/>
      <c r="PDH243" s="7"/>
      <c r="PDI243" s="7"/>
      <c r="PDJ243" s="7"/>
      <c r="PDK243" s="7"/>
      <c r="PDL243" s="7"/>
      <c r="PDM243" s="7"/>
      <c r="PDN243" s="7"/>
      <c r="PDO243" s="7"/>
      <c r="PDP243" s="7"/>
      <c r="PDQ243" s="7"/>
      <c r="PDR243" s="7"/>
      <c r="PDS243" s="7"/>
      <c r="PDT243" s="7"/>
      <c r="PDU243" s="7"/>
      <c r="PDV243" s="7"/>
      <c r="PDW243" s="7"/>
      <c r="PDX243" s="7"/>
      <c r="PDY243" s="7"/>
      <c r="PDZ243" s="7"/>
      <c r="PEA243" s="7"/>
      <c r="PEB243" s="7"/>
      <c r="PEC243" s="7"/>
      <c r="PED243" s="7"/>
      <c r="PEE243" s="7"/>
      <c r="PEF243" s="7"/>
      <c r="PEG243" s="7"/>
      <c r="PEH243" s="7"/>
      <c r="PEI243" s="7"/>
      <c r="PEJ243" s="7"/>
      <c r="PEK243" s="7"/>
      <c r="PEL243" s="7"/>
      <c r="PEM243" s="7"/>
      <c r="PEN243" s="7"/>
      <c r="PEO243" s="7"/>
      <c r="PEP243" s="7"/>
      <c r="PEQ243" s="7"/>
      <c r="PER243" s="7"/>
      <c r="PES243" s="7"/>
      <c r="PET243" s="7"/>
      <c r="PEU243" s="7"/>
      <c r="PEV243" s="7"/>
      <c r="PEW243" s="7"/>
      <c r="PEX243" s="7"/>
      <c r="PEY243" s="7"/>
      <c r="PEZ243" s="7"/>
      <c r="PFA243" s="7"/>
      <c r="PFB243" s="7"/>
      <c r="PFC243" s="7"/>
      <c r="PFD243" s="7"/>
      <c r="PFE243" s="7"/>
      <c r="PFF243" s="7"/>
      <c r="PFG243" s="7"/>
      <c r="PFH243" s="7"/>
      <c r="PFI243" s="7"/>
      <c r="PFJ243" s="7"/>
      <c r="PFK243" s="7"/>
      <c r="PFL243" s="7"/>
      <c r="PFM243" s="7"/>
      <c r="PFN243" s="7"/>
      <c r="PFO243" s="7"/>
      <c r="PFP243" s="7"/>
      <c r="PFQ243" s="7"/>
      <c r="PFR243" s="7"/>
      <c r="PFS243" s="7"/>
      <c r="PFT243" s="7"/>
      <c r="PFU243" s="7"/>
      <c r="PFV243" s="7"/>
      <c r="PFW243" s="7"/>
      <c r="PFX243" s="7"/>
      <c r="PFY243" s="7"/>
      <c r="PFZ243" s="7"/>
      <c r="PGA243" s="7"/>
      <c r="PGB243" s="7"/>
      <c r="PGC243" s="7"/>
      <c r="PGD243" s="7"/>
      <c r="PGE243" s="7"/>
      <c r="PGF243" s="7"/>
      <c r="PGG243" s="7"/>
      <c r="PGH243" s="7"/>
      <c r="PGI243" s="7"/>
      <c r="PGJ243" s="7"/>
      <c r="PGK243" s="7"/>
      <c r="PGL243" s="7"/>
      <c r="PGM243" s="7"/>
      <c r="PGN243" s="7"/>
      <c r="PGO243" s="7"/>
      <c r="PGP243" s="7"/>
      <c r="PGQ243" s="7"/>
      <c r="PGR243" s="7"/>
      <c r="PGS243" s="7"/>
      <c r="PGT243" s="7"/>
      <c r="PGU243" s="7"/>
      <c r="PGV243" s="7"/>
      <c r="PGW243" s="7"/>
      <c r="PGX243" s="7"/>
      <c r="PGY243" s="7"/>
      <c r="PGZ243" s="7"/>
      <c r="PHA243" s="7"/>
      <c r="PHB243" s="7"/>
      <c r="PHC243" s="7"/>
      <c r="PHD243" s="7"/>
      <c r="PHE243" s="7"/>
      <c r="PHF243" s="7"/>
      <c r="PHG243" s="7"/>
      <c r="PHH243" s="7"/>
      <c r="PHI243" s="7"/>
      <c r="PHJ243" s="7"/>
      <c r="PHK243" s="7"/>
      <c r="PHL243" s="7"/>
      <c r="PHM243" s="7"/>
      <c r="PHN243" s="7"/>
      <c r="PHO243" s="7"/>
      <c r="PHP243" s="7"/>
      <c r="PHQ243" s="7"/>
      <c r="PHR243" s="7"/>
      <c r="PHS243" s="7"/>
      <c r="PHT243" s="7"/>
      <c r="PHU243" s="7"/>
      <c r="PHV243" s="7"/>
      <c r="PHW243" s="7"/>
      <c r="PHX243" s="7"/>
      <c r="PHY243" s="7"/>
      <c r="PHZ243" s="7"/>
      <c r="PIA243" s="7"/>
      <c r="PIB243" s="7"/>
      <c r="PIC243" s="7"/>
      <c r="PID243" s="7"/>
      <c r="PIE243" s="7"/>
      <c r="PIF243" s="7"/>
      <c r="PIG243" s="7"/>
      <c r="PIH243" s="7"/>
      <c r="PII243" s="7"/>
      <c r="PIJ243" s="7"/>
      <c r="PIK243" s="7"/>
      <c r="PIL243" s="7"/>
      <c r="PIM243" s="7"/>
      <c r="PIN243" s="7"/>
      <c r="PIO243" s="7"/>
      <c r="PIP243" s="7"/>
      <c r="PIQ243" s="7"/>
      <c r="PIR243" s="7"/>
      <c r="PIS243" s="7"/>
      <c r="PIT243" s="7"/>
      <c r="PIU243" s="7"/>
      <c r="PIV243" s="7"/>
      <c r="PIW243" s="7"/>
      <c r="PIX243" s="7"/>
      <c r="PIY243" s="7"/>
      <c r="PIZ243" s="7"/>
      <c r="PJA243" s="7"/>
      <c r="PJB243" s="7"/>
      <c r="PJC243" s="7"/>
      <c r="PJD243" s="7"/>
      <c r="PJE243" s="7"/>
      <c r="PJF243" s="7"/>
      <c r="PJG243" s="7"/>
      <c r="PJH243" s="7"/>
      <c r="PJI243" s="7"/>
      <c r="PJJ243" s="7"/>
      <c r="PJK243" s="7"/>
      <c r="PJL243" s="7"/>
      <c r="PJM243" s="7"/>
      <c r="PJN243" s="7"/>
      <c r="PJO243" s="7"/>
      <c r="PJP243" s="7"/>
      <c r="PJQ243" s="7"/>
      <c r="PJR243" s="7"/>
      <c r="PJS243" s="7"/>
      <c r="PJT243" s="7"/>
      <c r="PJU243" s="7"/>
      <c r="PJV243" s="7"/>
      <c r="PJW243" s="7"/>
      <c r="PJX243" s="7"/>
      <c r="PJY243" s="7"/>
      <c r="PJZ243" s="7"/>
      <c r="PKA243" s="7"/>
      <c r="PKB243" s="7"/>
      <c r="PKC243" s="7"/>
      <c r="PKD243" s="7"/>
      <c r="PKE243" s="7"/>
      <c r="PKF243" s="7"/>
      <c r="PKG243" s="7"/>
      <c r="PKH243" s="7"/>
      <c r="PKI243" s="7"/>
      <c r="PKJ243" s="7"/>
      <c r="PKK243" s="7"/>
      <c r="PKL243" s="7"/>
      <c r="PKM243" s="7"/>
      <c r="PKN243" s="7"/>
      <c r="PKO243" s="7"/>
      <c r="PKP243" s="7"/>
      <c r="PKQ243" s="7"/>
      <c r="PKR243" s="7"/>
      <c r="PKS243" s="7"/>
      <c r="PKT243" s="7"/>
      <c r="PKU243" s="7"/>
      <c r="PKV243" s="7"/>
      <c r="PKW243" s="7"/>
      <c r="PKX243" s="7"/>
      <c r="PKY243" s="7"/>
      <c r="PKZ243" s="7"/>
      <c r="PLA243" s="7"/>
      <c r="PLB243" s="7"/>
      <c r="PLC243" s="7"/>
      <c r="PLD243" s="7"/>
      <c r="PLE243" s="7"/>
      <c r="PLF243" s="7"/>
      <c r="PLG243" s="7"/>
      <c r="PLH243" s="7"/>
      <c r="PLI243" s="7"/>
      <c r="PLJ243" s="7"/>
      <c r="PLK243" s="7"/>
      <c r="PLL243" s="7"/>
      <c r="PLM243" s="7"/>
      <c r="PLN243" s="7"/>
      <c r="PLO243" s="7"/>
      <c r="PLP243" s="7"/>
      <c r="PLQ243" s="7"/>
      <c r="PLR243" s="7"/>
      <c r="PLS243" s="7"/>
      <c r="PLT243" s="7"/>
      <c r="PLU243" s="7"/>
      <c r="PLV243" s="7"/>
      <c r="PLW243" s="7"/>
      <c r="PLX243" s="7"/>
      <c r="PLY243" s="7"/>
      <c r="PLZ243" s="7"/>
      <c r="PMA243" s="7"/>
      <c r="PMB243" s="7"/>
      <c r="PMC243" s="7"/>
      <c r="PMD243" s="7"/>
      <c r="PME243" s="7"/>
      <c r="PMF243" s="7"/>
      <c r="PMG243" s="7"/>
      <c r="PMH243" s="7"/>
      <c r="PMI243" s="7"/>
      <c r="PMJ243" s="7"/>
      <c r="PMK243" s="7"/>
      <c r="PML243" s="7"/>
      <c r="PMM243" s="7"/>
      <c r="PMN243" s="7"/>
      <c r="PMO243" s="7"/>
      <c r="PMP243" s="7"/>
      <c r="PMQ243" s="7"/>
      <c r="PMR243" s="7"/>
      <c r="PMS243" s="7"/>
      <c r="PMT243" s="7"/>
      <c r="PMU243" s="7"/>
      <c r="PMV243" s="7"/>
      <c r="PMW243" s="7"/>
      <c r="PMX243" s="7"/>
      <c r="PMY243" s="7"/>
      <c r="PMZ243" s="7"/>
      <c r="PNA243" s="7"/>
      <c r="PNB243" s="7"/>
      <c r="PNC243" s="7"/>
      <c r="PND243" s="7"/>
      <c r="PNE243" s="7"/>
      <c r="PNF243" s="7"/>
      <c r="PNG243" s="7"/>
      <c r="PNH243" s="7"/>
      <c r="PNI243" s="7"/>
      <c r="PNJ243" s="7"/>
      <c r="PNK243" s="7"/>
      <c r="PNL243" s="7"/>
      <c r="PNM243" s="7"/>
      <c r="PNN243" s="7"/>
      <c r="PNO243" s="7"/>
      <c r="PNP243" s="7"/>
      <c r="PNQ243" s="7"/>
      <c r="PNR243" s="7"/>
      <c r="PNS243" s="7"/>
      <c r="PNT243" s="7"/>
      <c r="PNU243" s="7"/>
      <c r="PNV243" s="7"/>
      <c r="PNW243" s="7"/>
      <c r="PNX243" s="7"/>
      <c r="PNY243" s="7"/>
      <c r="PNZ243" s="7"/>
      <c r="POA243" s="7"/>
      <c r="POB243" s="7"/>
      <c r="POC243" s="7"/>
      <c r="POD243" s="7"/>
      <c r="POE243" s="7"/>
      <c r="POF243" s="7"/>
      <c r="POG243" s="7"/>
      <c r="POH243" s="7"/>
      <c r="POI243" s="7"/>
      <c r="POJ243" s="7"/>
      <c r="POK243" s="7"/>
      <c r="POL243" s="7"/>
      <c r="POM243" s="7"/>
      <c r="PON243" s="7"/>
      <c r="POO243" s="7"/>
      <c r="POP243" s="7"/>
      <c r="POQ243" s="7"/>
      <c r="POR243" s="7"/>
      <c r="POS243" s="7"/>
      <c r="POT243" s="7"/>
      <c r="POU243" s="7"/>
      <c r="POV243" s="7"/>
      <c r="POW243" s="7"/>
      <c r="POX243" s="7"/>
      <c r="POY243" s="7"/>
      <c r="POZ243" s="7"/>
      <c r="PPA243" s="7"/>
      <c r="PPB243" s="7"/>
      <c r="PPC243" s="7"/>
      <c r="PPD243" s="7"/>
      <c r="PPE243" s="7"/>
      <c r="PPF243" s="7"/>
      <c r="PPG243" s="7"/>
      <c r="PPH243" s="7"/>
      <c r="PPI243" s="7"/>
      <c r="PPJ243" s="7"/>
      <c r="PPK243" s="7"/>
      <c r="PPL243" s="7"/>
      <c r="PPM243" s="7"/>
      <c r="PPN243" s="7"/>
      <c r="PPO243" s="7"/>
      <c r="PPP243" s="7"/>
      <c r="PPQ243" s="7"/>
      <c r="PPR243" s="7"/>
      <c r="PPS243" s="7"/>
      <c r="PPT243" s="7"/>
      <c r="PPU243" s="7"/>
      <c r="PPV243" s="7"/>
      <c r="PPW243" s="7"/>
      <c r="PPX243" s="7"/>
      <c r="PPY243" s="7"/>
      <c r="PPZ243" s="7"/>
      <c r="PQA243" s="7"/>
      <c r="PQB243" s="7"/>
      <c r="PQC243" s="7"/>
      <c r="PQD243" s="7"/>
      <c r="PQE243" s="7"/>
      <c r="PQF243" s="7"/>
      <c r="PQG243" s="7"/>
      <c r="PQH243" s="7"/>
      <c r="PQI243" s="7"/>
      <c r="PQJ243" s="7"/>
      <c r="PQK243" s="7"/>
      <c r="PQL243" s="7"/>
      <c r="PQM243" s="7"/>
      <c r="PQN243" s="7"/>
      <c r="PQO243" s="7"/>
      <c r="PQP243" s="7"/>
      <c r="PQQ243" s="7"/>
      <c r="PQR243" s="7"/>
      <c r="PQS243" s="7"/>
      <c r="PQT243" s="7"/>
      <c r="PQU243" s="7"/>
      <c r="PQV243" s="7"/>
      <c r="PQW243" s="7"/>
      <c r="PQX243" s="7"/>
      <c r="PQY243" s="7"/>
      <c r="PQZ243" s="7"/>
      <c r="PRA243" s="7"/>
      <c r="PRB243" s="7"/>
      <c r="PRC243" s="7"/>
      <c r="PRD243" s="7"/>
      <c r="PRE243" s="7"/>
      <c r="PRF243" s="7"/>
      <c r="PRG243" s="7"/>
      <c r="PRH243" s="7"/>
      <c r="PRI243" s="7"/>
      <c r="PRJ243" s="7"/>
      <c r="PRK243" s="7"/>
      <c r="PRL243" s="7"/>
      <c r="PRM243" s="7"/>
      <c r="PRN243" s="7"/>
      <c r="PRO243" s="7"/>
      <c r="PRP243" s="7"/>
      <c r="PRQ243" s="7"/>
      <c r="PRR243" s="7"/>
      <c r="PRS243" s="7"/>
      <c r="PRT243" s="7"/>
      <c r="PRU243" s="7"/>
      <c r="PRV243" s="7"/>
      <c r="PRW243" s="7"/>
      <c r="PRX243" s="7"/>
      <c r="PRY243" s="7"/>
      <c r="PRZ243" s="7"/>
      <c r="PSA243" s="7"/>
      <c r="PSB243" s="7"/>
      <c r="PSC243" s="7"/>
      <c r="PSD243" s="7"/>
      <c r="PSE243" s="7"/>
      <c r="PSF243" s="7"/>
      <c r="PSG243" s="7"/>
      <c r="PSH243" s="7"/>
      <c r="PSI243" s="7"/>
      <c r="PSJ243" s="7"/>
      <c r="PSK243" s="7"/>
      <c r="PSL243" s="7"/>
      <c r="PSM243" s="7"/>
      <c r="PSN243" s="7"/>
      <c r="PSO243" s="7"/>
      <c r="PSP243" s="7"/>
      <c r="PSQ243" s="7"/>
      <c r="PSR243" s="7"/>
      <c r="PSS243" s="7"/>
      <c r="PST243" s="7"/>
      <c r="PSU243" s="7"/>
      <c r="PSV243" s="7"/>
      <c r="PSW243" s="7"/>
      <c r="PSX243" s="7"/>
      <c r="PSY243" s="7"/>
      <c r="PSZ243" s="7"/>
      <c r="PTA243" s="7"/>
      <c r="PTB243" s="7"/>
      <c r="PTC243" s="7"/>
      <c r="PTD243" s="7"/>
      <c r="PTE243" s="7"/>
      <c r="PTF243" s="7"/>
      <c r="PTG243" s="7"/>
      <c r="PTH243" s="7"/>
      <c r="PTI243" s="7"/>
      <c r="PTJ243" s="7"/>
      <c r="PTK243" s="7"/>
      <c r="PTL243" s="7"/>
      <c r="PTM243" s="7"/>
      <c r="PTN243" s="7"/>
      <c r="PTO243" s="7"/>
      <c r="PTP243" s="7"/>
      <c r="PTQ243" s="7"/>
      <c r="PTR243" s="7"/>
      <c r="PTS243" s="7"/>
      <c r="PTT243" s="7"/>
      <c r="PTU243" s="7"/>
      <c r="PTV243" s="7"/>
      <c r="PTW243" s="7"/>
      <c r="PTX243" s="7"/>
      <c r="PTY243" s="7"/>
      <c r="PTZ243" s="7"/>
      <c r="PUA243" s="7"/>
      <c r="PUB243" s="7"/>
      <c r="PUC243" s="7"/>
      <c r="PUD243" s="7"/>
      <c r="PUE243" s="7"/>
      <c r="PUF243" s="7"/>
      <c r="PUG243" s="7"/>
      <c r="PUH243" s="7"/>
      <c r="PUI243" s="7"/>
      <c r="PUJ243" s="7"/>
      <c r="PUK243" s="7"/>
      <c r="PUL243" s="7"/>
      <c r="PUM243" s="7"/>
      <c r="PUN243" s="7"/>
      <c r="PUO243" s="7"/>
      <c r="PUP243" s="7"/>
      <c r="PUQ243" s="7"/>
      <c r="PUR243" s="7"/>
      <c r="PUS243" s="7"/>
      <c r="PUT243" s="7"/>
      <c r="PUU243" s="7"/>
      <c r="PUV243" s="7"/>
      <c r="PUW243" s="7"/>
      <c r="PUX243" s="7"/>
      <c r="PUY243" s="7"/>
      <c r="PUZ243" s="7"/>
      <c r="PVA243" s="7"/>
      <c r="PVB243" s="7"/>
      <c r="PVC243" s="7"/>
      <c r="PVD243" s="7"/>
      <c r="PVE243" s="7"/>
      <c r="PVF243" s="7"/>
      <c r="PVG243" s="7"/>
      <c r="PVH243" s="7"/>
      <c r="PVI243" s="7"/>
      <c r="PVJ243" s="7"/>
      <c r="PVK243" s="7"/>
      <c r="PVL243" s="7"/>
      <c r="PVM243" s="7"/>
      <c r="PVN243" s="7"/>
      <c r="PVO243" s="7"/>
      <c r="PVP243" s="7"/>
      <c r="PVQ243" s="7"/>
      <c r="PVR243" s="7"/>
      <c r="PVS243" s="7"/>
      <c r="PVT243" s="7"/>
      <c r="PVU243" s="7"/>
      <c r="PVV243" s="7"/>
      <c r="PVW243" s="7"/>
      <c r="PVX243" s="7"/>
      <c r="PVY243" s="7"/>
      <c r="PVZ243" s="7"/>
      <c r="PWA243" s="7"/>
      <c r="PWB243" s="7"/>
      <c r="PWC243" s="7"/>
      <c r="PWD243" s="7"/>
      <c r="PWE243" s="7"/>
      <c r="PWF243" s="7"/>
      <c r="PWG243" s="7"/>
      <c r="PWH243" s="7"/>
      <c r="PWI243" s="7"/>
      <c r="PWJ243" s="7"/>
      <c r="PWK243" s="7"/>
      <c r="PWL243" s="7"/>
      <c r="PWM243" s="7"/>
      <c r="PWN243" s="7"/>
      <c r="PWO243" s="7"/>
      <c r="PWP243" s="7"/>
      <c r="PWQ243" s="7"/>
      <c r="PWR243" s="7"/>
      <c r="PWS243" s="7"/>
      <c r="PWT243" s="7"/>
      <c r="PWU243" s="7"/>
      <c r="PWV243" s="7"/>
      <c r="PWW243" s="7"/>
      <c r="PWX243" s="7"/>
      <c r="PWY243" s="7"/>
      <c r="PWZ243" s="7"/>
      <c r="PXA243" s="7"/>
      <c r="PXB243" s="7"/>
      <c r="PXC243" s="7"/>
      <c r="PXD243" s="7"/>
      <c r="PXE243" s="7"/>
      <c r="PXF243" s="7"/>
      <c r="PXG243" s="7"/>
      <c r="PXH243" s="7"/>
      <c r="PXI243" s="7"/>
      <c r="PXJ243" s="7"/>
      <c r="PXK243" s="7"/>
      <c r="PXL243" s="7"/>
      <c r="PXM243" s="7"/>
      <c r="PXN243" s="7"/>
      <c r="PXO243" s="7"/>
      <c r="PXP243" s="7"/>
      <c r="PXQ243" s="7"/>
      <c r="PXR243" s="7"/>
      <c r="PXS243" s="7"/>
      <c r="PXT243" s="7"/>
      <c r="PXU243" s="7"/>
      <c r="PXV243" s="7"/>
      <c r="PXW243" s="7"/>
      <c r="PXX243" s="7"/>
      <c r="PXY243" s="7"/>
      <c r="PXZ243" s="7"/>
      <c r="PYA243" s="7"/>
      <c r="PYB243" s="7"/>
      <c r="PYC243" s="7"/>
      <c r="PYD243" s="7"/>
      <c r="PYE243" s="7"/>
      <c r="PYF243" s="7"/>
      <c r="PYG243" s="7"/>
      <c r="PYH243" s="7"/>
      <c r="PYI243" s="7"/>
      <c r="PYJ243" s="7"/>
      <c r="PYK243" s="7"/>
      <c r="PYL243" s="7"/>
      <c r="PYM243" s="7"/>
      <c r="PYN243" s="7"/>
      <c r="PYO243" s="7"/>
      <c r="PYP243" s="7"/>
      <c r="PYQ243" s="7"/>
      <c r="PYR243" s="7"/>
      <c r="PYS243" s="7"/>
      <c r="PYT243" s="7"/>
      <c r="PYU243" s="7"/>
      <c r="PYV243" s="7"/>
      <c r="PYW243" s="7"/>
      <c r="PYX243" s="7"/>
      <c r="PYY243" s="7"/>
      <c r="PYZ243" s="7"/>
      <c r="PZA243" s="7"/>
      <c r="PZB243" s="7"/>
      <c r="PZC243" s="7"/>
      <c r="PZD243" s="7"/>
      <c r="PZE243" s="7"/>
      <c r="PZF243" s="7"/>
      <c r="PZG243" s="7"/>
      <c r="PZH243" s="7"/>
      <c r="PZI243" s="7"/>
      <c r="PZJ243" s="7"/>
      <c r="PZK243" s="7"/>
      <c r="PZL243" s="7"/>
      <c r="PZM243" s="7"/>
      <c r="PZN243" s="7"/>
      <c r="PZO243" s="7"/>
      <c r="PZP243" s="7"/>
      <c r="PZQ243" s="7"/>
      <c r="PZR243" s="7"/>
      <c r="PZS243" s="7"/>
      <c r="PZT243" s="7"/>
      <c r="PZU243" s="7"/>
      <c r="PZV243" s="7"/>
      <c r="PZW243" s="7"/>
      <c r="PZX243" s="7"/>
      <c r="PZY243" s="7"/>
      <c r="PZZ243" s="7"/>
      <c r="QAA243" s="7"/>
      <c r="QAB243" s="7"/>
      <c r="QAC243" s="7"/>
      <c r="QAD243" s="7"/>
      <c r="QAE243" s="7"/>
      <c r="QAF243" s="7"/>
      <c r="QAG243" s="7"/>
      <c r="QAH243" s="7"/>
      <c r="QAI243" s="7"/>
      <c r="QAJ243" s="7"/>
      <c r="QAK243" s="7"/>
      <c r="QAL243" s="7"/>
      <c r="QAM243" s="7"/>
      <c r="QAN243" s="7"/>
      <c r="QAO243" s="7"/>
      <c r="QAP243" s="7"/>
      <c r="QAQ243" s="7"/>
      <c r="QAR243" s="7"/>
      <c r="QAS243" s="7"/>
      <c r="QAT243" s="7"/>
      <c r="QAU243" s="7"/>
      <c r="QAV243" s="7"/>
      <c r="QAW243" s="7"/>
      <c r="QAX243" s="7"/>
      <c r="QAY243" s="7"/>
      <c r="QAZ243" s="7"/>
      <c r="QBA243" s="7"/>
      <c r="QBB243" s="7"/>
      <c r="QBC243" s="7"/>
      <c r="QBD243" s="7"/>
      <c r="QBE243" s="7"/>
      <c r="QBF243" s="7"/>
      <c r="QBG243" s="7"/>
      <c r="QBH243" s="7"/>
      <c r="QBI243" s="7"/>
      <c r="QBJ243" s="7"/>
      <c r="QBK243" s="7"/>
      <c r="QBL243" s="7"/>
      <c r="QBM243" s="7"/>
      <c r="QBN243" s="7"/>
      <c r="QBO243" s="7"/>
      <c r="QBP243" s="7"/>
      <c r="QBQ243" s="7"/>
      <c r="QBR243" s="7"/>
      <c r="QBS243" s="7"/>
      <c r="QBT243" s="7"/>
      <c r="QBU243" s="7"/>
      <c r="QBV243" s="7"/>
      <c r="QBW243" s="7"/>
      <c r="QBX243" s="7"/>
      <c r="QBY243" s="7"/>
      <c r="QBZ243" s="7"/>
      <c r="QCA243" s="7"/>
      <c r="QCB243" s="7"/>
      <c r="QCC243" s="7"/>
      <c r="QCD243" s="7"/>
      <c r="QCE243" s="7"/>
      <c r="QCF243" s="7"/>
      <c r="QCG243" s="7"/>
      <c r="QCH243" s="7"/>
      <c r="QCI243" s="7"/>
      <c r="QCJ243" s="7"/>
      <c r="QCK243" s="7"/>
      <c r="QCL243" s="7"/>
      <c r="QCM243" s="7"/>
      <c r="QCN243" s="7"/>
      <c r="QCO243" s="7"/>
      <c r="QCP243" s="7"/>
      <c r="QCQ243" s="7"/>
      <c r="QCR243" s="7"/>
      <c r="QCS243" s="7"/>
      <c r="QCT243" s="7"/>
      <c r="QCU243" s="7"/>
      <c r="QCV243" s="7"/>
      <c r="QCW243" s="7"/>
      <c r="QCX243" s="7"/>
      <c r="QCY243" s="7"/>
      <c r="QCZ243" s="7"/>
      <c r="QDA243" s="7"/>
      <c r="QDB243" s="7"/>
      <c r="QDC243" s="7"/>
      <c r="QDD243" s="7"/>
      <c r="QDE243" s="7"/>
      <c r="QDF243" s="7"/>
      <c r="QDG243" s="7"/>
      <c r="QDH243" s="7"/>
      <c r="QDI243" s="7"/>
      <c r="QDJ243" s="7"/>
      <c r="QDK243" s="7"/>
      <c r="QDL243" s="7"/>
      <c r="QDM243" s="7"/>
      <c r="QDN243" s="7"/>
      <c r="QDO243" s="7"/>
      <c r="QDP243" s="7"/>
      <c r="QDQ243" s="7"/>
      <c r="QDR243" s="7"/>
      <c r="QDS243" s="7"/>
      <c r="QDT243" s="7"/>
      <c r="QDU243" s="7"/>
      <c r="QDV243" s="7"/>
      <c r="QDW243" s="7"/>
      <c r="QDX243" s="7"/>
      <c r="QDY243" s="7"/>
      <c r="QDZ243" s="7"/>
      <c r="QEA243" s="7"/>
      <c r="QEB243" s="7"/>
      <c r="QEC243" s="7"/>
      <c r="QED243" s="7"/>
      <c r="QEE243" s="7"/>
      <c r="QEF243" s="7"/>
      <c r="QEG243" s="7"/>
      <c r="QEH243" s="7"/>
      <c r="QEI243" s="7"/>
      <c r="QEJ243" s="7"/>
      <c r="QEK243" s="7"/>
      <c r="QEL243" s="7"/>
      <c r="QEM243" s="7"/>
      <c r="QEN243" s="7"/>
      <c r="QEO243" s="7"/>
      <c r="QEP243" s="7"/>
      <c r="QEQ243" s="7"/>
      <c r="QER243" s="7"/>
      <c r="QES243" s="7"/>
      <c r="QET243" s="7"/>
      <c r="QEU243" s="7"/>
      <c r="QEV243" s="7"/>
      <c r="QEW243" s="7"/>
      <c r="QEX243" s="7"/>
      <c r="QEY243" s="7"/>
      <c r="QEZ243" s="7"/>
      <c r="QFA243" s="7"/>
      <c r="QFB243" s="7"/>
      <c r="QFC243" s="7"/>
      <c r="QFD243" s="7"/>
      <c r="QFE243" s="7"/>
      <c r="QFF243" s="7"/>
      <c r="QFG243" s="7"/>
      <c r="QFH243" s="7"/>
      <c r="QFI243" s="7"/>
      <c r="QFJ243" s="7"/>
      <c r="QFK243" s="7"/>
      <c r="QFL243" s="7"/>
      <c r="QFM243" s="7"/>
      <c r="QFN243" s="7"/>
      <c r="QFO243" s="7"/>
      <c r="QFP243" s="7"/>
      <c r="QFQ243" s="7"/>
      <c r="QFR243" s="7"/>
      <c r="QFS243" s="7"/>
      <c r="QFT243" s="7"/>
      <c r="QFU243" s="7"/>
      <c r="QFV243" s="7"/>
      <c r="QFW243" s="7"/>
      <c r="QFX243" s="7"/>
      <c r="QFY243" s="7"/>
      <c r="QFZ243" s="7"/>
      <c r="QGA243" s="7"/>
      <c r="QGB243" s="7"/>
      <c r="QGC243" s="7"/>
      <c r="QGD243" s="7"/>
      <c r="QGE243" s="7"/>
      <c r="QGF243" s="7"/>
      <c r="QGG243" s="7"/>
      <c r="QGH243" s="7"/>
      <c r="QGI243" s="7"/>
      <c r="QGJ243" s="7"/>
      <c r="QGK243" s="7"/>
      <c r="QGL243" s="7"/>
      <c r="QGM243" s="7"/>
      <c r="QGN243" s="7"/>
      <c r="QGO243" s="7"/>
      <c r="QGP243" s="7"/>
      <c r="QGQ243" s="7"/>
      <c r="QGR243" s="7"/>
      <c r="QGS243" s="7"/>
      <c r="QGT243" s="7"/>
      <c r="QGU243" s="7"/>
      <c r="QGV243" s="7"/>
      <c r="QGW243" s="7"/>
      <c r="QGX243" s="7"/>
      <c r="QGY243" s="7"/>
      <c r="QGZ243" s="7"/>
      <c r="QHA243" s="7"/>
      <c r="QHB243" s="7"/>
      <c r="QHC243" s="7"/>
      <c r="QHD243" s="7"/>
      <c r="QHE243" s="7"/>
      <c r="QHF243" s="7"/>
      <c r="QHG243" s="7"/>
      <c r="QHH243" s="7"/>
      <c r="QHI243" s="7"/>
      <c r="QHJ243" s="7"/>
      <c r="QHK243" s="7"/>
      <c r="QHL243" s="7"/>
      <c r="QHM243" s="7"/>
      <c r="QHN243" s="7"/>
      <c r="QHO243" s="7"/>
      <c r="QHP243" s="7"/>
      <c r="QHQ243" s="7"/>
      <c r="QHR243" s="7"/>
      <c r="QHS243" s="7"/>
      <c r="QHT243" s="7"/>
      <c r="QHU243" s="7"/>
      <c r="QHV243" s="7"/>
      <c r="QHW243" s="7"/>
      <c r="QHX243" s="7"/>
      <c r="QHY243" s="7"/>
      <c r="QHZ243" s="7"/>
      <c r="QIA243" s="7"/>
      <c r="QIB243" s="7"/>
      <c r="QIC243" s="7"/>
      <c r="QID243" s="7"/>
      <c r="QIE243" s="7"/>
      <c r="QIF243" s="7"/>
      <c r="QIG243" s="7"/>
      <c r="QIH243" s="7"/>
      <c r="QII243" s="7"/>
      <c r="QIJ243" s="7"/>
      <c r="QIK243" s="7"/>
      <c r="QIL243" s="7"/>
      <c r="QIM243" s="7"/>
      <c r="QIN243" s="7"/>
      <c r="QIO243" s="7"/>
      <c r="QIP243" s="7"/>
      <c r="QIQ243" s="7"/>
      <c r="QIR243" s="7"/>
      <c r="QIS243" s="7"/>
      <c r="QIT243" s="7"/>
      <c r="QIU243" s="7"/>
      <c r="QIV243" s="7"/>
      <c r="QIW243" s="7"/>
      <c r="QIX243" s="7"/>
      <c r="QIY243" s="7"/>
      <c r="QIZ243" s="7"/>
      <c r="QJA243" s="7"/>
      <c r="QJB243" s="7"/>
      <c r="QJC243" s="7"/>
      <c r="QJD243" s="7"/>
      <c r="QJE243" s="7"/>
      <c r="QJF243" s="7"/>
      <c r="QJG243" s="7"/>
      <c r="QJH243" s="7"/>
      <c r="QJI243" s="7"/>
      <c r="QJJ243" s="7"/>
      <c r="QJK243" s="7"/>
      <c r="QJL243" s="7"/>
      <c r="QJM243" s="7"/>
      <c r="QJN243" s="7"/>
      <c r="QJO243" s="7"/>
      <c r="QJP243" s="7"/>
      <c r="QJQ243" s="7"/>
      <c r="QJR243" s="7"/>
      <c r="QJS243" s="7"/>
      <c r="QJT243" s="7"/>
      <c r="QJU243" s="7"/>
      <c r="QJV243" s="7"/>
      <c r="QJW243" s="7"/>
      <c r="QJX243" s="7"/>
      <c r="QJY243" s="7"/>
      <c r="QJZ243" s="7"/>
      <c r="QKA243" s="7"/>
      <c r="QKB243" s="7"/>
      <c r="QKC243" s="7"/>
      <c r="QKD243" s="7"/>
      <c r="QKE243" s="7"/>
      <c r="QKF243" s="7"/>
      <c r="QKG243" s="7"/>
      <c r="QKH243" s="7"/>
      <c r="QKI243" s="7"/>
      <c r="QKJ243" s="7"/>
      <c r="QKK243" s="7"/>
      <c r="QKL243" s="7"/>
      <c r="QKM243" s="7"/>
      <c r="QKN243" s="7"/>
      <c r="QKO243" s="7"/>
      <c r="QKP243" s="7"/>
      <c r="QKQ243" s="7"/>
      <c r="QKR243" s="7"/>
      <c r="QKS243" s="7"/>
      <c r="QKT243" s="7"/>
      <c r="QKU243" s="7"/>
      <c r="QKV243" s="7"/>
      <c r="QKW243" s="7"/>
      <c r="QKX243" s="7"/>
      <c r="QKY243" s="7"/>
      <c r="QKZ243" s="7"/>
      <c r="QLA243" s="7"/>
      <c r="QLB243" s="7"/>
      <c r="QLC243" s="7"/>
      <c r="QLD243" s="7"/>
      <c r="QLE243" s="7"/>
      <c r="QLF243" s="7"/>
      <c r="QLG243" s="7"/>
      <c r="QLH243" s="7"/>
      <c r="QLI243" s="7"/>
      <c r="QLJ243" s="7"/>
      <c r="QLK243" s="7"/>
      <c r="QLL243" s="7"/>
      <c r="QLM243" s="7"/>
      <c r="QLN243" s="7"/>
      <c r="QLO243" s="7"/>
      <c r="QLP243" s="7"/>
      <c r="QLQ243" s="7"/>
      <c r="QLR243" s="7"/>
      <c r="QLS243" s="7"/>
      <c r="QLT243" s="7"/>
      <c r="QLU243" s="7"/>
      <c r="QLV243" s="7"/>
      <c r="QLW243" s="7"/>
      <c r="QLX243" s="7"/>
      <c r="QLY243" s="7"/>
      <c r="QLZ243" s="7"/>
      <c r="QMA243" s="7"/>
      <c r="QMB243" s="7"/>
      <c r="QMC243" s="7"/>
      <c r="QMD243" s="7"/>
      <c r="QME243" s="7"/>
      <c r="QMF243" s="7"/>
      <c r="QMG243" s="7"/>
      <c r="QMH243" s="7"/>
      <c r="QMI243" s="7"/>
      <c r="QMJ243" s="7"/>
      <c r="QMK243" s="7"/>
      <c r="QML243" s="7"/>
      <c r="QMM243" s="7"/>
      <c r="QMN243" s="7"/>
      <c r="QMO243" s="7"/>
      <c r="QMP243" s="7"/>
      <c r="QMQ243" s="7"/>
      <c r="QMR243" s="7"/>
      <c r="QMS243" s="7"/>
      <c r="QMT243" s="7"/>
      <c r="QMU243" s="7"/>
      <c r="QMV243" s="7"/>
      <c r="QMW243" s="7"/>
      <c r="QMX243" s="7"/>
      <c r="QMY243" s="7"/>
      <c r="QMZ243" s="7"/>
      <c r="QNA243" s="7"/>
      <c r="QNB243" s="7"/>
      <c r="QNC243" s="7"/>
      <c r="QND243" s="7"/>
      <c r="QNE243" s="7"/>
      <c r="QNF243" s="7"/>
      <c r="QNG243" s="7"/>
      <c r="QNH243" s="7"/>
      <c r="QNI243" s="7"/>
      <c r="QNJ243" s="7"/>
      <c r="QNK243" s="7"/>
      <c r="QNL243" s="7"/>
      <c r="QNM243" s="7"/>
      <c r="QNN243" s="7"/>
      <c r="QNO243" s="7"/>
      <c r="QNP243" s="7"/>
      <c r="QNQ243" s="7"/>
      <c r="QNR243" s="7"/>
      <c r="QNS243" s="7"/>
      <c r="QNT243" s="7"/>
      <c r="QNU243" s="7"/>
      <c r="QNV243" s="7"/>
      <c r="QNW243" s="7"/>
      <c r="QNX243" s="7"/>
      <c r="QNY243" s="7"/>
      <c r="QNZ243" s="7"/>
      <c r="QOA243" s="7"/>
      <c r="QOB243" s="7"/>
      <c r="QOC243" s="7"/>
      <c r="QOD243" s="7"/>
      <c r="QOE243" s="7"/>
      <c r="QOF243" s="7"/>
      <c r="QOG243" s="7"/>
      <c r="QOH243" s="7"/>
      <c r="QOI243" s="7"/>
      <c r="QOJ243" s="7"/>
      <c r="QOK243" s="7"/>
      <c r="QOL243" s="7"/>
      <c r="QOM243" s="7"/>
      <c r="QON243" s="7"/>
      <c r="QOO243" s="7"/>
      <c r="QOP243" s="7"/>
      <c r="QOQ243" s="7"/>
      <c r="QOR243" s="7"/>
      <c r="QOS243" s="7"/>
      <c r="QOT243" s="7"/>
      <c r="QOU243" s="7"/>
      <c r="QOV243" s="7"/>
      <c r="QOW243" s="7"/>
      <c r="QOX243" s="7"/>
      <c r="QOY243" s="7"/>
      <c r="QOZ243" s="7"/>
      <c r="QPA243" s="7"/>
      <c r="QPB243" s="7"/>
      <c r="QPC243" s="7"/>
      <c r="QPD243" s="7"/>
      <c r="QPE243" s="7"/>
      <c r="QPF243" s="7"/>
      <c r="QPG243" s="7"/>
      <c r="QPH243" s="7"/>
      <c r="QPI243" s="7"/>
      <c r="QPJ243" s="7"/>
      <c r="QPK243" s="7"/>
      <c r="QPL243" s="7"/>
      <c r="QPM243" s="7"/>
      <c r="QPN243" s="7"/>
      <c r="QPO243" s="7"/>
      <c r="QPP243" s="7"/>
      <c r="QPQ243" s="7"/>
      <c r="QPR243" s="7"/>
      <c r="QPS243" s="7"/>
      <c r="QPT243" s="7"/>
      <c r="QPU243" s="7"/>
      <c r="QPV243" s="7"/>
      <c r="QPW243" s="7"/>
      <c r="QPX243" s="7"/>
      <c r="QPY243" s="7"/>
      <c r="QPZ243" s="7"/>
      <c r="QQA243" s="7"/>
      <c r="QQB243" s="7"/>
      <c r="QQC243" s="7"/>
      <c r="QQD243" s="7"/>
      <c r="QQE243" s="7"/>
      <c r="QQF243" s="7"/>
      <c r="QQG243" s="7"/>
      <c r="QQH243" s="7"/>
      <c r="QQI243" s="7"/>
      <c r="QQJ243" s="7"/>
      <c r="QQK243" s="7"/>
      <c r="QQL243" s="7"/>
      <c r="QQM243" s="7"/>
      <c r="QQN243" s="7"/>
      <c r="QQO243" s="7"/>
      <c r="QQP243" s="7"/>
      <c r="QQQ243" s="7"/>
      <c r="QQR243" s="7"/>
      <c r="QQS243" s="7"/>
      <c r="QQT243" s="7"/>
      <c r="QQU243" s="7"/>
      <c r="QQV243" s="7"/>
      <c r="QQW243" s="7"/>
      <c r="QQX243" s="7"/>
      <c r="QQY243" s="7"/>
      <c r="QQZ243" s="7"/>
      <c r="QRA243" s="7"/>
      <c r="QRB243" s="7"/>
      <c r="QRC243" s="7"/>
      <c r="QRD243" s="7"/>
      <c r="QRE243" s="7"/>
      <c r="QRF243" s="7"/>
      <c r="QRG243" s="7"/>
      <c r="QRH243" s="7"/>
      <c r="QRI243" s="7"/>
      <c r="QRJ243" s="7"/>
      <c r="QRK243" s="7"/>
      <c r="QRL243" s="7"/>
      <c r="QRM243" s="7"/>
      <c r="QRN243" s="7"/>
      <c r="QRO243" s="7"/>
      <c r="QRP243" s="7"/>
      <c r="QRQ243" s="7"/>
      <c r="QRR243" s="7"/>
      <c r="QRS243" s="7"/>
      <c r="QRT243" s="7"/>
      <c r="QRU243" s="7"/>
      <c r="QRV243" s="7"/>
      <c r="QRW243" s="7"/>
      <c r="QRX243" s="7"/>
      <c r="QRY243" s="7"/>
      <c r="QRZ243" s="7"/>
      <c r="QSA243" s="7"/>
      <c r="QSB243" s="7"/>
      <c r="QSC243" s="7"/>
      <c r="QSD243" s="7"/>
      <c r="QSE243" s="7"/>
      <c r="QSF243" s="7"/>
      <c r="QSG243" s="7"/>
      <c r="QSH243" s="7"/>
      <c r="QSI243" s="7"/>
      <c r="QSJ243" s="7"/>
      <c r="QSK243" s="7"/>
      <c r="QSL243" s="7"/>
      <c r="QSM243" s="7"/>
      <c r="QSN243" s="7"/>
      <c r="QSO243" s="7"/>
      <c r="QSP243" s="7"/>
      <c r="QSQ243" s="7"/>
      <c r="QSR243" s="7"/>
      <c r="QSS243" s="7"/>
      <c r="QST243" s="7"/>
      <c r="QSU243" s="7"/>
      <c r="QSV243" s="7"/>
      <c r="QSW243" s="7"/>
      <c r="QSX243" s="7"/>
      <c r="QSY243" s="7"/>
      <c r="QSZ243" s="7"/>
      <c r="QTA243" s="7"/>
      <c r="QTB243" s="7"/>
      <c r="QTC243" s="7"/>
      <c r="QTD243" s="7"/>
      <c r="QTE243" s="7"/>
      <c r="QTF243" s="7"/>
      <c r="QTG243" s="7"/>
      <c r="QTH243" s="7"/>
      <c r="QTI243" s="7"/>
      <c r="QTJ243" s="7"/>
      <c r="QTK243" s="7"/>
      <c r="QTL243" s="7"/>
      <c r="QTM243" s="7"/>
      <c r="QTN243" s="7"/>
      <c r="QTO243" s="7"/>
      <c r="QTP243" s="7"/>
      <c r="QTQ243" s="7"/>
      <c r="QTR243" s="7"/>
      <c r="QTS243" s="7"/>
      <c r="QTT243" s="7"/>
      <c r="QTU243" s="7"/>
      <c r="QTV243" s="7"/>
      <c r="QTW243" s="7"/>
      <c r="QTX243" s="7"/>
      <c r="QTY243" s="7"/>
      <c r="QTZ243" s="7"/>
      <c r="QUA243" s="7"/>
      <c r="QUB243" s="7"/>
      <c r="QUC243" s="7"/>
      <c r="QUD243" s="7"/>
      <c r="QUE243" s="7"/>
      <c r="QUF243" s="7"/>
      <c r="QUG243" s="7"/>
      <c r="QUH243" s="7"/>
      <c r="QUI243" s="7"/>
      <c r="QUJ243" s="7"/>
      <c r="QUK243" s="7"/>
      <c r="QUL243" s="7"/>
      <c r="QUM243" s="7"/>
      <c r="QUN243" s="7"/>
      <c r="QUO243" s="7"/>
      <c r="QUP243" s="7"/>
      <c r="QUQ243" s="7"/>
      <c r="QUR243" s="7"/>
      <c r="QUS243" s="7"/>
      <c r="QUT243" s="7"/>
      <c r="QUU243" s="7"/>
      <c r="QUV243" s="7"/>
      <c r="QUW243" s="7"/>
      <c r="QUX243" s="7"/>
      <c r="QUY243" s="7"/>
      <c r="QUZ243" s="7"/>
      <c r="QVA243" s="7"/>
      <c r="QVB243" s="7"/>
      <c r="QVC243" s="7"/>
      <c r="QVD243" s="7"/>
      <c r="QVE243" s="7"/>
      <c r="QVF243" s="7"/>
      <c r="QVG243" s="7"/>
      <c r="QVH243" s="7"/>
      <c r="QVI243" s="7"/>
      <c r="QVJ243" s="7"/>
      <c r="QVK243" s="7"/>
      <c r="QVL243" s="7"/>
      <c r="QVM243" s="7"/>
      <c r="QVN243" s="7"/>
      <c r="QVO243" s="7"/>
      <c r="QVP243" s="7"/>
      <c r="QVQ243" s="7"/>
      <c r="QVR243" s="7"/>
      <c r="QVS243" s="7"/>
      <c r="QVT243" s="7"/>
      <c r="QVU243" s="7"/>
      <c r="QVV243" s="7"/>
      <c r="QVW243" s="7"/>
      <c r="QVX243" s="7"/>
      <c r="QVY243" s="7"/>
      <c r="QVZ243" s="7"/>
      <c r="QWA243" s="7"/>
      <c r="QWB243" s="7"/>
      <c r="QWC243" s="7"/>
      <c r="QWD243" s="7"/>
      <c r="QWE243" s="7"/>
      <c r="QWF243" s="7"/>
      <c r="QWG243" s="7"/>
      <c r="QWH243" s="7"/>
      <c r="QWI243" s="7"/>
      <c r="QWJ243" s="7"/>
      <c r="QWK243" s="7"/>
      <c r="QWL243" s="7"/>
      <c r="QWM243" s="7"/>
      <c r="QWN243" s="7"/>
      <c r="QWO243" s="7"/>
      <c r="QWP243" s="7"/>
      <c r="QWQ243" s="7"/>
      <c r="QWR243" s="7"/>
      <c r="QWS243" s="7"/>
      <c r="QWT243" s="7"/>
      <c r="QWU243" s="7"/>
      <c r="QWV243" s="7"/>
      <c r="QWW243" s="7"/>
      <c r="QWX243" s="7"/>
      <c r="QWY243" s="7"/>
      <c r="QWZ243" s="7"/>
      <c r="QXA243" s="7"/>
      <c r="QXB243" s="7"/>
      <c r="QXC243" s="7"/>
      <c r="QXD243" s="7"/>
      <c r="QXE243" s="7"/>
      <c r="QXF243" s="7"/>
      <c r="QXG243" s="7"/>
      <c r="QXH243" s="7"/>
      <c r="QXI243" s="7"/>
      <c r="QXJ243" s="7"/>
      <c r="QXK243" s="7"/>
      <c r="QXL243" s="7"/>
      <c r="QXM243" s="7"/>
      <c r="QXN243" s="7"/>
      <c r="QXO243" s="7"/>
      <c r="QXP243" s="7"/>
      <c r="QXQ243" s="7"/>
      <c r="QXR243" s="7"/>
      <c r="QXS243" s="7"/>
      <c r="QXT243" s="7"/>
      <c r="QXU243" s="7"/>
      <c r="QXV243" s="7"/>
      <c r="QXW243" s="7"/>
      <c r="QXX243" s="7"/>
      <c r="QXY243" s="7"/>
      <c r="QXZ243" s="7"/>
      <c r="QYA243" s="7"/>
      <c r="QYB243" s="7"/>
      <c r="QYC243" s="7"/>
      <c r="QYD243" s="7"/>
      <c r="QYE243" s="7"/>
      <c r="QYF243" s="7"/>
      <c r="QYG243" s="7"/>
      <c r="QYH243" s="7"/>
      <c r="QYI243" s="7"/>
      <c r="QYJ243" s="7"/>
      <c r="QYK243" s="7"/>
      <c r="QYL243" s="7"/>
      <c r="QYM243" s="7"/>
      <c r="QYN243" s="7"/>
      <c r="QYO243" s="7"/>
      <c r="QYP243" s="7"/>
      <c r="QYQ243" s="7"/>
      <c r="QYR243" s="7"/>
      <c r="QYS243" s="7"/>
      <c r="QYT243" s="7"/>
      <c r="QYU243" s="7"/>
      <c r="QYV243" s="7"/>
      <c r="QYW243" s="7"/>
      <c r="QYX243" s="7"/>
      <c r="QYY243" s="7"/>
      <c r="QYZ243" s="7"/>
      <c r="QZA243" s="7"/>
      <c r="QZB243" s="7"/>
      <c r="QZC243" s="7"/>
      <c r="QZD243" s="7"/>
      <c r="QZE243" s="7"/>
      <c r="QZF243" s="7"/>
      <c r="QZG243" s="7"/>
      <c r="QZH243" s="7"/>
      <c r="QZI243" s="7"/>
      <c r="QZJ243" s="7"/>
      <c r="QZK243" s="7"/>
      <c r="QZL243" s="7"/>
      <c r="QZM243" s="7"/>
      <c r="QZN243" s="7"/>
      <c r="QZO243" s="7"/>
      <c r="QZP243" s="7"/>
      <c r="QZQ243" s="7"/>
      <c r="QZR243" s="7"/>
      <c r="QZS243" s="7"/>
      <c r="QZT243" s="7"/>
      <c r="QZU243" s="7"/>
      <c r="QZV243" s="7"/>
      <c r="QZW243" s="7"/>
      <c r="QZX243" s="7"/>
      <c r="QZY243" s="7"/>
      <c r="QZZ243" s="7"/>
      <c r="RAA243" s="7"/>
      <c r="RAB243" s="7"/>
      <c r="RAC243" s="7"/>
      <c r="RAD243" s="7"/>
      <c r="RAE243" s="7"/>
      <c r="RAF243" s="7"/>
      <c r="RAG243" s="7"/>
      <c r="RAH243" s="7"/>
      <c r="RAI243" s="7"/>
      <c r="RAJ243" s="7"/>
      <c r="RAK243" s="7"/>
      <c r="RAL243" s="7"/>
      <c r="RAM243" s="7"/>
      <c r="RAN243" s="7"/>
      <c r="RAO243" s="7"/>
      <c r="RAP243" s="7"/>
      <c r="RAQ243" s="7"/>
      <c r="RAR243" s="7"/>
      <c r="RAS243" s="7"/>
      <c r="RAT243" s="7"/>
      <c r="RAU243" s="7"/>
      <c r="RAV243" s="7"/>
      <c r="RAW243" s="7"/>
      <c r="RAX243" s="7"/>
      <c r="RAY243" s="7"/>
      <c r="RAZ243" s="7"/>
      <c r="RBA243" s="7"/>
      <c r="RBB243" s="7"/>
      <c r="RBC243" s="7"/>
      <c r="RBD243" s="7"/>
      <c r="RBE243" s="7"/>
      <c r="RBF243" s="7"/>
      <c r="RBG243" s="7"/>
      <c r="RBH243" s="7"/>
      <c r="RBI243" s="7"/>
      <c r="RBJ243" s="7"/>
      <c r="RBK243" s="7"/>
      <c r="RBL243" s="7"/>
      <c r="RBM243" s="7"/>
      <c r="RBN243" s="7"/>
      <c r="RBO243" s="7"/>
      <c r="RBP243" s="7"/>
      <c r="RBQ243" s="7"/>
      <c r="RBR243" s="7"/>
      <c r="RBS243" s="7"/>
      <c r="RBT243" s="7"/>
      <c r="RBU243" s="7"/>
      <c r="RBV243" s="7"/>
      <c r="RBW243" s="7"/>
      <c r="RBX243" s="7"/>
      <c r="RBY243" s="7"/>
      <c r="RBZ243" s="7"/>
      <c r="RCA243" s="7"/>
      <c r="RCB243" s="7"/>
      <c r="RCC243" s="7"/>
      <c r="RCD243" s="7"/>
      <c r="RCE243" s="7"/>
      <c r="RCF243" s="7"/>
      <c r="RCG243" s="7"/>
      <c r="RCH243" s="7"/>
      <c r="RCI243" s="7"/>
      <c r="RCJ243" s="7"/>
      <c r="RCK243" s="7"/>
      <c r="RCL243" s="7"/>
      <c r="RCM243" s="7"/>
      <c r="RCN243" s="7"/>
      <c r="RCO243" s="7"/>
      <c r="RCP243" s="7"/>
      <c r="RCQ243" s="7"/>
      <c r="RCR243" s="7"/>
      <c r="RCS243" s="7"/>
      <c r="RCT243" s="7"/>
      <c r="RCU243" s="7"/>
      <c r="RCV243" s="7"/>
      <c r="RCW243" s="7"/>
      <c r="RCX243" s="7"/>
      <c r="RCY243" s="7"/>
      <c r="RCZ243" s="7"/>
      <c r="RDA243" s="7"/>
      <c r="RDB243" s="7"/>
      <c r="RDC243" s="7"/>
      <c r="RDD243" s="7"/>
      <c r="RDE243" s="7"/>
      <c r="RDF243" s="7"/>
      <c r="RDG243" s="7"/>
      <c r="RDH243" s="7"/>
      <c r="RDI243" s="7"/>
      <c r="RDJ243" s="7"/>
      <c r="RDK243" s="7"/>
      <c r="RDL243" s="7"/>
      <c r="RDM243" s="7"/>
      <c r="RDN243" s="7"/>
      <c r="RDO243" s="7"/>
      <c r="RDP243" s="7"/>
      <c r="RDQ243" s="7"/>
      <c r="RDR243" s="7"/>
      <c r="RDS243" s="7"/>
      <c r="RDT243" s="7"/>
      <c r="RDU243" s="7"/>
      <c r="RDV243" s="7"/>
      <c r="RDW243" s="7"/>
      <c r="RDX243" s="7"/>
      <c r="RDY243" s="7"/>
      <c r="RDZ243" s="7"/>
      <c r="REA243" s="7"/>
      <c r="REB243" s="7"/>
      <c r="REC243" s="7"/>
      <c r="RED243" s="7"/>
      <c r="REE243" s="7"/>
      <c r="REF243" s="7"/>
      <c r="REG243" s="7"/>
      <c r="REH243" s="7"/>
      <c r="REI243" s="7"/>
      <c r="REJ243" s="7"/>
      <c r="REK243" s="7"/>
      <c r="REL243" s="7"/>
      <c r="REM243" s="7"/>
      <c r="REN243" s="7"/>
      <c r="REO243" s="7"/>
      <c r="REP243" s="7"/>
      <c r="REQ243" s="7"/>
      <c r="RER243" s="7"/>
      <c r="RES243" s="7"/>
      <c r="RET243" s="7"/>
      <c r="REU243" s="7"/>
      <c r="REV243" s="7"/>
      <c r="REW243" s="7"/>
      <c r="REX243" s="7"/>
      <c r="REY243" s="7"/>
      <c r="REZ243" s="7"/>
      <c r="RFA243" s="7"/>
      <c r="RFB243" s="7"/>
      <c r="RFC243" s="7"/>
      <c r="RFD243" s="7"/>
      <c r="RFE243" s="7"/>
      <c r="RFF243" s="7"/>
      <c r="RFG243" s="7"/>
      <c r="RFH243" s="7"/>
      <c r="RFI243" s="7"/>
      <c r="RFJ243" s="7"/>
      <c r="RFK243" s="7"/>
      <c r="RFL243" s="7"/>
      <c r="RFM243" s="7"/>
      <c r="RFN243" s="7"/>
      <c r="RFO243" s="7"/>
      <c r="RFP243" s="7"/>
      <c r="RFQ243" s="7"/>
      <c r="RFR243" s="7"/>
      <c r="RFS243" s="7"/>
      <c r="RFT243" s="7"/>
      <c r="RFU243" s="7"/>
      <c r="RFV243" s="7"/>
      <c r="RFW243" s="7"/>
      <c r="RFX243" s="7"/>
      <c r="RFY243" s="7"/>
      <c r="RFZ243" s="7"/>
      <c r="RGA243" s="7"/>
      <c r="RGB243" s="7"/>
      <c r="RGC243" s="7"/>
      <c r="RGD243" s="7"/>
      <c r="RGE243" s="7"/>
      <c r="RGF243" s="7"/>
      <c r="RGG243" s="7"/>
      <c r="RGH243" s="7"/>
      <c r="RGI243" s="7"/>
      <c r="RGJ243" s="7"/>
      <c r="RGK243" s="7"/>
      <c r="RGL243" s="7"/>
      <c r="RGM243" s="7"/>
      <c r="RGN243" s="7"/>
      <c r="RGO243" s="7"/>
      <c r="RGP243" s="7"/>
      <c r="RGQ243" s="7"/>
      <c r="RGR243" s="7"/>
      <c r="RGS243" s="7"/>
      <c r="RGT243" s="7"/>
      <c r="RGU243" s="7"/>
      <c r="RGV243" s="7"/>
      <c r="RGW243" s="7"/>
      <c r="RGX243" s="7"/>
      <c r="RGY243" s="7"/>
      <c r="RGZ243" s="7"/>
      <c r="RHA243" s="7"/>
      <c r="RHB243" s="7"/>
      <c r="RHC243" s="7"/>
      <c r="RHD243" s="7"/>
      <c r="RHE243" s="7"/>
      <c r="RHF243" s="7"/>
      <c r="RHG243" s="7"/>
      <c r="RHH243" s="7"/>
      <c r="RHI243" s="7"/>
      <c r="RHJ243" s="7"/>
      <c r="RHK243" s="7"/>
      <c r="RHL243" s="7"/>
      <c r="RHM243" s="7"/>
      <c r="RHN243" s="7"/>
      <c r="RHO243" s="7"/>
      <c r="RHP243" s="7"/>
      <c r="RHQ243" s="7"/>
      <c r="RHR243" s="7"/>
      <c r="RHS243" s="7"/>
      <c r="RHT243" s="7"/>
      <c r="RHU243" s="7"/>
      <c r="RHV243" s="7"/>
      <c r="RHW243" s="7"/>
      <c r="RHX243" s="7"/>
      <c r="RHY243" s="7"/>
      <c r="RHZ243" s="7"/>
      <c r="RIA243" s="7"/>
      <c r="RIB243" s="7"/>
      <c r="RIC243" s="7"/>
      <c r="RID243" s="7"/>
      <c r="RIE243" s="7"/>
      <c r="RIF243" s="7"/>
      <c r="RIG243" s="7"/>
      <c r="RIH243" s="7"/>
      <c r="RII243" s="7"/>
      <c r="RIJ243" s="7"/>
      <c r="RIK243" s="7"/>
      <c r="RIL243" s="7"/>
      <c r="RIM243" s="7"/>
      <c r="RIN243" s="7"/>
      <c r="RIO243" s="7"/>
      <c r="RIP243" s="7"/>
      <c r="RIQ243" s="7"/>
      <c r="RIR243" s="7"/>
      <c r="RIS243" s="7"/>
      <c r="RIT243" s="7"/>
      <c r="RIU243" s="7"/>
      <c r="RIV243" s="7"/>
      <c r="RIW243" s="7"/>
      <c r="RIX243" s="7"/>
      <c r="RIY243" s="7"/>
      <c r="RIZ243" s="7"/>
      <c r="RJA243" s="7"/>
      <c r="RJB243" s="7"/>
      <c r="RJC243" s="7"/>
      <c r="RJD243" s="7"/>
      <c r="RJE243" s="7"/>
      <c r="RJF243" s="7"/>
      <c r="RJG243" s="7"/>
      <c r="RJH243" s="7"/>
      <c r="RJI243" s="7"/>
      <c r="RJJ243" s="7"/>
      <c r="RJK243" s="7"/>
      <c r="RJL243" s="7"/>
      <c r="RJM243" s="7"/>
      <c r="RJN243" s="7"/>
      <c r="RJO243" s="7"/>
      <c r="RJP243" s="7"/>
      <c r="RJQ243" s="7"/>
      <c r="RJR243" s="7"/>
      <c r="RJS243" s="7"/>
      <c r="RJT243" s="7"/>
      <c r="RJU243" s="7"/>
      <c r="RJV243" s="7"/>
      <c r="RJW243" s="7"/>
      <c r="RJX243" s="7"/>
      <c r="RJY243" s="7"/>
      <c r="RJZ243" s="7"/>
      <c r="RKA243" s="7"/>
      <c r="RKB243" s="7"/>
      <c r="RKC243" s="7"/>
      <c r="RKD243" s="7"/>
      <c r="RKE243" s="7"/>
      <c r="RKF243" s="7"/>
      <c r="RKG243" s="7"/>
      <c r="RKH243" s="7"/>
      <c r="RKI243" s="7"/>
      <c r="RKJ243" s="7"/>
      <c r="RKK243" s="7"/>
      <c r="RKL243" s="7"/>
      <c r="RKM243" s="7"/>
      <c r="RKN243" s="7"/>
      <c r="RKO243" s="7"/>
      <c r="RKP243" s="7"/>
      <c r="RKQ243" s="7"/>
      <c r="RKR243" s="7"/>
      <c r="RKS243" s="7"/>
      <c r="RKT243" s="7"/>
      <c r="RKU243" s="7"/>
      <c r="RKV243" s="7"/>
      <c r="RKW243" s="7"/>
      <c r="RKX243" s="7"/>
      <c r="RKY243" s="7"/>
      <c r="RKZ243" s="7"/>
      <c r="RLA243" s="7"/>
      <c r="RLB243" s="7"/>
      <c r="RLC243" s="7"/>
      <c r="RLD243" s="7"/>
      <c r="RLE243" s="7"/>
      <c r="RLF243" s="7"/>
      <c r="RLG243" s="7"/>
      <c r="RLH243" s="7"/>
      <c r="RLI243" s="7"/>
      <c r="RLJ243" s="7"/>
      <c r="RLK243" s="7"/>
      <c r="RLL243" s="7"/>
      <c r="RLM243" s="7"/>
      <c r="RLN243" s="7"/>
      <c r="RLO243" s="7"/>
      <c r="RLP243" s="7"/>
      <c r="RLQ243" s="7"/>
      <c r="RLR243" s="7"/>
      <c r="RLS243" s="7"/>
      <c r="RLT243" s="7"/>
      <c r="RLU243" s="7"/>
      <c r="RLV243" s="7"/>
      <c r="RLW243" s="7"/>
      <c r="RLX243" s="7"/>
      <c r="RLY243" s="7"/>
      <c r="RLZ243" s="7"/>
      <c r="RMA243" s="7"/>
      <c r="RMB243" s="7"/>
      <c r="RMC243" s="7"/>
      <c r="RMD243" s="7"/>
      <c r="RME243" s="7"/>
      <c r="RMF243" s="7"/>
      <c r="RMG243" s="7"/>
      <c r="RMH243" s="7"/>
      <c r="RMI243" s="7"/>
      <c r="RMJ243" s="7"/>
      <c r="RMK243" s="7"/>
      <c r="RML243" s="7"/>
      <c r="RMM243" s="7"/>
      <c r="RMN243" s="7"/>
      <c r="RMO243" s="7"/>
      <c r="RMP243" s="7"/>
      <c r="RMQ243" s="7"/>
      <c r="RMR243" s="7"/>
      <c r="RMS243" s="7"/>
      <c r="RMT243" s="7"/>
      <c r="RMU243" s="7"/>
      <c r="RMV243" s="7"/>
      <c r="RMW243" s="7"/>
      <c r="RMX243" s="7"/>
      <c r="RMY243" s="7"/>
      <c r="RMZ243" s="7"/>
      <c r="RNA243" s="7"/>
      <c r="RNB243" s="7"/>
      <c r="RNC243" s="7"/>
      <c r="RND243" s="7"/>
      <c r="RNE243" s="7"/>
      <c r="RNF243" s="7"/>
      <c r="RNG243" s="7"/>
      <c r="RNH243" s="7"/>
      <c r="RNI243" s="7"/>
      <c r="RNJ243" s="7"/>
      <c r="RNK243" s="7"/>
      <c r="RNL243" s="7"/>
      <c r="RNM243" s="7"/>
      <c r="RNN243" s="7"/>
      <c r="RNO243" s="7"/>
      <c r="RNP243" s="7"/>
      <c r="RNQ243" s="7"/>
      <c r="RNR243" s="7"/>
      <c r="RNS243" s="7"/>
      <c r="RNT243" s="7"/>
      <c r="RNU243" s="7"/>
      <c r="RNV243" s="7"/>
      <c r="RNW243" s="7"/>
      <c r="RNX243" s="7"/>
      <c r="RNY243" s="7"/>
      <c r="RNZ243" s="7"/>
      <c r="ROA243" s="7"/>
      <c r="ROB243" s="7"/>
      <c r="ROC243" s="7"/>
      <c r="ROD243" s="7"/>
      <c r="ROE243" s="7"/>
      <c r="ROF243" s="7"/>
      <c r="ROG243" s="7"/>
      <c r="ROH243" s="7"/>
      <c r="ROI243" s="7"/>
      <c r="ROJ243" s="7"/>
      <c r="ROK243" s="7"/>
      <c r="ROL243" s="7"/>
      <c r="ROM243" s="7"/>
      <c r="RON243" s="7"/>
      <c r="ROO243" s="7"/>
      <c r="ROP243" s="7"/>
      <c r="ROQ243" s="7"/>
      <c r="ROR243" s="7"/>
      <c r="ROS243" s="7"/>
      <c r="ROT243" s="7"/>
      <c r="ROU243" s="7"/>
      <c r="ROV243" s="7"/>
      <c r="ROW243" s="7"/>
      <c r="ROX243" s="7"/>
      <c r="ROY243" s="7"/>
      <c r="ROZ243" s="7"/>
      <c r="RPA243" s="7"/>
      <c r="RPB243" s="7"/>
      <c r="RPC243" s="7"/>
      <c r="RPD243" s="7"/>
      <c r="RPE243" s="7"/>
      <c r="RPF243" s="7"/>
      <c r="RPG243" s="7"/>
      <c r="RPH243" s="7"/>
      <c r="RPI243" s="7"/>
      <c r="RPJ243" s="7"/>
      <c r="RPK243" s="7"/>
      <c r="RPL243" s="7"/>
      <c r="RPM243" s="7"/>
      <c r="RPN243" s="7"/>
      <c r="RPO243" s="7"/>
      <c r="RPP243" s="7"/>
      <c r="RPQ243" s="7"/>
      <c r="RPR243" s="7"/>
      <c r="RPS243" s="7"/>
      <c r="RPT243" s="7"/>
      <c r="RPU243" s="7"/>
      <c r="RPV243" s="7"/>
      <c r="RPW243" s="7"/>
      <c r="RPX243" s="7"/>
      <c r="RPY243" s="7"/>
      <c r="RPZ243" s="7"/>
      <c r="RQA243" s="7"/>
      <c r="RQB243" s="7"/>
      <c r="RQC243" s="7"/>
      <c r="RQD243" s="7"/>
      <c r="RQE243" s="7"/>
      <c r="RQF243" s="7"/>
      <c r="RQG243" s="7"/>
      <c r="RQH243" s="7"/>
      <c r="RQI243" s="7"/>
      <c r="RQJ243" s="7"/>
      <c r="RQK243" s="7"/>
      <c r="RQL243" s="7"/>
      <c r="RQM243" s="7"/>
      <c r="RQN243" s="7"/>
      <c r="RQO243" s="7"/>
      <c r="RQP243" s="7"/>
      <c r="RQQ243" s="7"/>
      <c r="RQR243" s="7"/>
      <c r="RQS243" s="7"/>
      <c r="RQT243" s="7"/>
      <c r="RQU243" s="7"/>
      <c r="RQV243" s="7"/>
      <c r="RQW243" s="7"/>
      <c r="RQX243" s="7"/>
      <c r="RQY243" s="7"/>
      <c r="RQZ243" s="7"/>
      <c r="RRA243" s="7"/>
      <c r="RRB243" s="7"/>
      <c r="RRC243" s="7"/>
      <c r="RRD243" s="7"/>
      <c r="RRE243" s="7"/>
      <c r="RRF243" s="7"/>
      <c r="RRG243" s="7"/>
      <c r="RRH243" s="7"/>
      <c r="RRI243" s="7"/>
      <c r="RRJ243" s="7"/>
      <c r="RRK243" s="7"/>
      <c r="RRL243" s="7"/>
      <c r="RRM243" s="7"/>
      <c r="RRN243" s="7"/>
      <c r="RRO243" s="7"/>
      <c r="RRP243" s="7"/>
      <c r="RRQ243" s="7"/>
      <c r="RRR243" s="7"/>
      <c r="RRS243" s="7"/>
      <c r="RRT243" s="7"/>
      <c r="RRU243" s="7"/>
      <c r="RRV243" s="7"/>
      <c r="RRW243" s="7"/>
      <c r="RRX243" s="7"/>
      <c r="RRY243" s="7"/>
      <c r="RRZ243" s="7"/>
      <c r="RSA243" s="7"/>
      <c r="RSB243" s="7"/>
      <c r="RSC243" s="7"/>
      <c r="RSD243" s="7"/>
      <c r="RSE243" s="7"/>
      <c r="RSF243" s="7"/>
      <c r="RSG243" s="7"/>
      <c r="RSH243" s="7"/>
      <c r="RSI243" s="7"/>
      <c r="RSJ243" s="7"/>
      <c r="RSK243" s="7"/>
      <c r="RSL243" s="7"/>
      <c r="RSM243" s="7"/>
      <c r="RSN243" s="7"/>
      <c r="RSO243" s="7"/>
      <c r="RSP243" s="7"/>
      <c r="RSQ243" s="7"/>
      <c r="RSR243" s="7"/>
      <c r="RSS243" s="7"/>
      <c r="RST243" s="7"/>
      <c r="RSU243" s="7"/>
      <c r="RSV243" s="7"/>
      <c r="RSW243" s="7"/>
      <c r="RSX243" s="7"/>
      <c r="RSY243" s="7"/>
      <c r="RSZ243" s="7"/>
      <c r="RTA243" s="7"/>
      <c r="RTB243" s="7"/>
      <c r="RTC243" s="7"/>
      <c r="RTD243" s="7"/>
      <c r="RTE243" s="7"/>
      <c r="RTF243" s="7"/>
      <c r="RTG243" s="7"/>
      <c r="RTH243" s="7"/>
      <c r="RTI243" s="7"/>
      <c r="RTJ243" s="7"/>
      <c r="RTK243" s="7"/>
      <c r="RTL243" s="7"/>
      <c r="RTM243" s="7"/>
      <c r="RTN243" s="7"/>
      <c r="RTO243" s="7"/>
      <c r="RTP243" s="7"/>
      <c r="RTQ243" s="7"/>
      <c r="RTR243" s="7"/>
      <c r="RTS243" s="7"/>
      <c r="RTT243" s="7"/>
      <c r="RTU243" s="7"/>
      <c r="RTV243" s="7"/>
      <c r="RTW243" s="7"/>
      <c r="RTX243" s="7"/>
      <c r="RTY243" s="7"/>
      <c r="RTZ243" s="7"/>
      <c r="RUA243" s="7"/>
      <c r="RUB243" s="7"/>
      <c r="RUC243" s="7"/>
      <c r="RUD243" s="7"/>
      <c r="RUE243" s="7"/>
      <c r="RUF243" s="7"/>
      <c r="RUG243" s="7"/>
      <c r="RUH243" s="7"/>
      <c r="RUI243" s="7"/>
      <c r="RUJ243" s="7"/>
      <c r="RUK243" s="7"/>
      <c r="RUL243" s="7"/>
      <c r="RUM243" s="7"/>
      <c r="RUN243" s="7"/>
      <c r="RUO243" s="7"/>
      <c r="RUP243" s="7"/>
      <c r="RUQ243" s="7"/>
      <c r="RUR243" s="7"/>
      <c r="RUS243" s="7"/>
      <c r="RUT243" s="7"/>
      <c r="RUU243" s="7"/>
      <c r="RUV243" s="7"/>
      <c r="RUW243" s="7"/>
      <c r="RUX243" s="7"/>
      <c r="RUY243" s="7"/>
      <c r="RUZ243" s="7"/>
      <c r="RVA243" s="7"/>
      <c r="RVB243" s="7"/>
      <c r="RVC243" s="7"/>
      <c r="RVD243" s="7"/>
      <c r="RVE243" s="7"/>
      <c r="RVF243" s="7"/>
      <c r="RVG243" s="7"/>
      <c r="RVH243" s="7"/>
      <c r="RVI243" s="7"/>
      <c r="RVJ243" s="7"/>
      <c r="RVK243" s="7"/>
      <c r="RVL243" s="7"/>
      <c r="RVM243" s="7"/>
      <c r="RVN243" s="7"/>
      <c r="RVO243" s="7"/>
      <c r="RVP243" s="7"/>
      <c r="RVQ243" s="7"/>
      <c r="RVR243" s="7"/>
      <c r="RVS243" s="7"/>
      <c r="RVT243" s="7"/>
      <c r="RVU243" s="7"/>
      <c r="RVV243" s="7"/>
      <c r="RVW243" s="7"/>
      <c r="RVX243" s="7"/>
      <c r="RVY243" s="7"/>
      <c r="RVZ243" s="7"/>
      <c r="RWA243" s="7"/>
      <c r="RWB243" s="7"/>
      <c r="RWC243" s="7"/>
      <c r="RWD243" s="7"/>
      <c r="RWE243" s="7"/>
      <c r="RWF243" s="7"/>
      <c r="RWG243" s="7"/>
      <c r="RWH243" s="7"/>
      <c r="RWI243" s="7"/>
      <c r="RWJ243" s="7"/>
      <c r="RWK243" s="7"/>
      <c r="RWL243" s="7"/>
      <c r="RWM243" s="7"/>
      <c r="RWN243" s="7"/>
      <c r="RWO243" s="7"/>
      <c r="RWP243" s="7"/>
      <c r="RWQ243" s="7"/>
      <c r="RWR243" s="7"/>
      <c r="RWS243" s="7"/>
      <c r="RWT243" s="7"/>
      <c r="RWU243" s="7"/>
      <c r="RWV243" s="7"/>
      <c r="RWW243" s="7"/>
      <c r="RWX243" s="7"/>
      <c r="RWY243" s="7"/>
      <c r="RWZ243" s="7"/>
      <c r="RXA243" s="7"/>
      <c r="RXB243" s="7"/>
      <c r="RXC243" s="7"/>
      <c r="RXD243" s="7"/>
      <c r="RXE243" s="7"/>
      <c r="RXF243" s="7"/>
      <c r="RXG243" s="7"/>
      <c r="RXH243" s="7"/>
      <c r="RXI243" s="7"/>
      <c r="RXJ243" s="7"/>
      <c r="RXK243" s="7"/>
      <c r="RXL243" s="7"/>
      <c r="RXM243" s="7"/>
      <c r="RXN243" s="7"/>
      <c r="RXO243" s="7"/>
      <c r="RXP243" s="7"/>
      <c r="RXQ243" s="7"/>
      <c r="RXR243" s="7"/>
      <c r="RXS243" s="7"/>
      <c r="RXT243" s="7"/>
      <c r="RXU243" s="7"/>
      <c r="RXV243" s="7"/>
      <c r="RXW243" s="7"/>
      <c r="RXX243" s="7"/>
      <c r="RXY243" s="7"/>
      <c r="RXZ243" s="7"/>
      <c r="RYA243" s="7"/>
      <c r="RYB243" s="7"/>
      <c r="RYC243" s="7"/>
      <c r="RYD243" s="7"/>
      <c r="RYE243" s="7"/>
      <c r="RYF243" s="7"/>
      <c r="RYG243" s="7"/>
      <c r="RYH243" s="7"/>
      <c r="RYI243" s="7"/>
      <c r="RYJ243" s="7"/>
      <c r="RYK243" s="7"/>
      <c r="RYL243" s="7"/>
      <c r="RYM243" s="7"/>
      <c r="RYN243" s="7"/>
      <c r="RYO243" s="7"/>
      <c r="RYP243" s="7"/>
      <c r="RYQ243" s="7"/>
      <c r="RYR243" s="7"/>
      <c r="RYS243" s="7"/>
      <c r="RYT243" s="7"/>
      <c r="RYU243" s="7"/>
      <c r="RYV243" s="7"/>
      <c r="RYW243" s="7"/>
      <c r="RYX243" s="7"/>
      <c r="RYY243" s="7"/>
      <c r="RYZ243" s="7"/>
      <c r="RZA243" s="7"/>
      <c r="RZB243" s="7"/>
      <c r="RZC243" s="7"/>
      <c r="RZD243" s="7"/>
      <c r="RZE243" s="7"/>
      <c r="RZF243" s="7"/>
      <c r="RZG243" s="7"/>
      <c r="RZH243" s="7"/>
      <c r="RZI243" s="7"/>
      <c r="RZJ243" s="7"/>
      <c r="RZK243" s="7"/>
      <c r="RZL243" s="7"/>
      <c r="RZM243" s="7"/>
      <c r="RZN243" s="7"/>
      <c r="RZO243" s="7"/>
      <c r="RZP243" s="7"/>
      <c r="RZQ243" s="7"/>
      <c r="RZR243" s="7"/>
      <c r="RZS243" s="7"/>
      <c r="RZT243" s="7"/>
      <c r="RZU243" s="7"/>
      <c r="RZV243" s="7"/>
      <c r="RZW243" s="7"/>
      <c r="RZX243" s="7"/>
      <c r="RZY243" s="7"/>
      <c r="RZZ243" s="7"/>
      <c r="SAA243" s="7"/>
      <c r="SAB243" s="7"/>
      <c r="SAC243" s="7"/>
      <c r="SAD243" s="7"/>
      <c r="SAE243" s="7"/>
      <c r="SAF243" s="7"/>
      <c r="SAG243" s="7"/>
      <c r="SAH243" s="7"/>
      <c r="SAI243" s="7"/>
      <c r="SAJ243" s="7"/>
      <c r="SAK243" s="7"/>
      <c r="SAL243" s="7"/>
      <c r="SAM243" s="7"/>
      <c r="SAN243" s="7"/>
      <c r="SAO243" s="7"/>
      <c r="SAP243" s="7"/>
      <c r="SAQ243" s="7"/>
      <c r="SAR243" s="7"/>
      <c r="SAS243" s="7"/>
      <c r="SAT243" s="7"/>
      <c r="SAU243" s="7"/>
      <c r="SAV243" s="7"/>
      <c r="SAW243" s="7"/>
      <c r="SAX243" s="7"/>
      <c r="SAY243" s="7"/>
      <c r="SAZ243" s="7"/>
      <c r="SBA243" s="7"/>
      <c r="SBB243" s="7"/>
      <c r="SBC243" s="7"/>
      <c r="SBD243" s="7"/>
      <c r="SBE243" s="7"/>
      <c r="SBF243" s="7"/>
      <c r="SBG243" s="7"/>
      <c r="SBH243" s="7"/>
      <c r="SBI243" s="7"/>
      <c r="SBJ243" s="7"/>
      <c r="SBK243" s="7"/>
      <c r="SBL243" s="7"/>
      <c r="SBM243" s="7"/>
      <c r="SBN243" s="7"/>
      <c r="SBO243" s="7"/>
      <c r="SBP243" s="7"/>
      <c r="SBQ243" s="7"/>
      <c r="SBR243" s="7"/>
      <c r="SBS243" s="7"/>
      <c r="SBT243" s="7"/>
      <c r="SBU243" s="7"/>
      <c r="SBV243" s="7"/>
      <c r="SBW243" s="7"/>
      <c r="SBX243" s="7"/>
      <c r="SBY243" s="7"/>
      <c r="SBZ243" s="7"/>
      <c r="SCA243" s="7"/>
      <c r="SCB243" s="7"/>
      <c r="SCC243" s="7"/>
      <c r="SCD243" s="7"/>
      <c r="SCE243" s="7"/>
      <c r="SCF243" s="7"/>
      <c r="SCG243" s="7"/>
      <c r="SCH243" s="7"/>
      <c r="SCI243" s="7"/>
      <c r="SCJ243" s="7"/>
      <c r="SCK243" s="7"/>
      <c r="SCL243" s="7"/>
      <c r="SCM243" s="7"/>
      <c r="SCN243" s="7"/>
      <c r="SCO243" s="7"/>
      <c r="SCP243" s="7"/>
      <c r="SCQ243" s="7"/>
      <c r="SCR243" s="7"/>
      <c r="SCS243" s="7"/>
      <c r="SCT243" s="7"/>
      <c r="SCU243" s="7"/>
      <c r="SCV243" s="7"/>
      <c r="SCW243" s="7"/>
      <c r="SCX243" s="7"/>
      <c r="SCY243" s="7"/>
      <c r="SCZ243" s="7"/>
      <c r="SDA243" s="7"/>
      <c r="SDB243" s="7"/>
      <c r="SDC243" s="7"/>
      <c r="SDD243" s="7"/>
      <c r="SDE243" s="7"/>
      <c r="SDF243" s="7"/>
      <c r="SDG243" s="7"/>
      <c r="SDH243" s="7"/>
      <c r="SDI243" s="7"/>
      <c r="SDJ243" s="7"/>
      <c r="SDK243" s="7"/>
      <c r="SDL243" s="7"/>
      <c r="SDM243" s="7"/>
      <c r="SDN243" s="7"/>
      <c r="SDO243" s="7"/>
      <c r="SDP243" s="7"/>
      <c r="SDQ243" s="7"/>
      <c r="SDR243" s="7"/>
      <c r="SDS243" s="7"/>
      <c r="SDT243" s="7"/>
      <c r="SDU243" s="7"/>
      <c r="SDV243" s="7"/>
      <c r="SDW243" s="7"/>
      <c r="SDX243" s="7"/>
      <c r="SDY243" s="7"/>
      <c r="SDZ243" s="7"/>
      <c r="SEA243" s="7"/>
      <c r="SEB243" s="7"/>
      <c r="SEC243" s="7"/>
      <c r="SED243" s="7"/>
      <c r="SEE243" s="7"/>
      <c r="SEF243" s="7"/>
      <c r="SEG243" s="7"/>
      <c r="SEH243" s="7"/>
      <c r="SEI243" s="7"/>
      <c r="SEJ243" s="7"/>
      <c r="SEK243" s="7"/>
      <c r="SEL243" s="7"/>
      <c r="SEM243" s="7"/>
      <c r="SEN243" s="7"/>
      <c r="SEO243" s="7"/>
      <c r="SEP243" s="7"/>
      <c r="SEQ243" s="7"/>
      <c r="SER243" s="7"/>
      <c r="SES243" s="7"/>
      <c r="SET243" s="7"/>
      <c r="SEU243" s="7"/>
      <c r="SEV243" s="7"/>
      <c r="SEW243" s="7"/>
      <c r="SEX243" s="7"/>
      <c r="SEY243" s="7"/>
      <c r="SEZ243" s="7"/>
      <c r="SFA243" s="7"/>
      <c r="SFB243" s="7"/>
      <c r="SFC243" s="7"/>
      <c r="SFD243" s="7"/>
      <c r="SFE243" s="7"/>
      <c r="SFF243" s="7"/>
      <c r="SFG243" s="7"/>
      <c r="SFH243" s="7"/>
      <c r="SFI243" s="7"/>
      <c r="SFJ243" s="7"/>
      <c r="SFK243" s="7"/>
      <c r="SFL243" s="7"/>
      <c r="SFM243" s="7"/>
      <c r="SFN243" s="7"/>
      <c r="SFO243" s="7"/>
      <c r="SFP243" s="7"/>
      <c r="SFQ243" s="7"/>
      <c r="SFR243" s="7"/>
      <c r="SFS243" s="7"/>
      <c r="SFT243" s="7"/>
      <c r="SFU243" s="7"/>
      <c r="SFV243" s="7"/>
      <c r="SFW243" s="7"/>
      <c r="SFX243" s="7"/>
      <c r="SFY243" s="7"/>
      <c r="SFZ243" s="7"/>
      <c r="SGA243" s="7"/>
      <c r="SGB243" s="7"/>
      <c r="SGC243" s="7"/>
      <c r="SGD243" s="7"/>
      <c r="SGE243" s="7"/>
      <c r="SGF243" s="7"/>
      <c r="SGG243" s="7"/>
      <c r="SGH243" s="7"/>
      <c r="SGI243" s="7"/>
      <c r="SGJ243" s="7"/>
      <c r="SGK243" s="7"/>
      <c r="SGL243" s="7"/>
      <c r="SGM243" s="7"/>
      <c r="SGN243" s="7"/>
      <c r="SGO243" s="7"/>
      <c r="SGP243" s="7"/>
      <c r="SGQ243" s="7"/>
      <c r="SGR243" s="7"/>
      <c r="SGS243" s="7"/>
      <c r="SGT243" s="7"/>
      <c r="SGU243" s="7"/>
      <c r="SGV243" s="7"/>
      <c r="SGW243" s="7"/>
      <c r="SGX243" s="7"/>
      <c r="SGY243" s="7"/>
      <c r="SGZ243" s="7"/>
      <c r="SHA243" s="7"/>
      <c r="SHB243" s="7"/>
      <c r="SHC243" s="7"/>
      <c r="SHD243" s="7"/>
      <c r="SHE243" s="7"/>
      <c r="SHF243" s="7"/>
      <c r="SHG243" s="7"/>
      <c r="SHH243" s="7"/>
      <c r="SHI243" s="7"/>
      <c r="SHJ243" s="7"/>
      <c r="SHK243" s="7"/>
      <c r="SHL243" s="7"/>
      <c r="SHM243" s="7"/>
      <c r="SHN243" s="7"/>
      <c r="SHO243" s="7"/>
      <c r="SHP243" s="7"/>
      <c r="SHQ243" s="7"/>
      <c r="SHR243" s="7"/>
      <c r="SHS243" s="7"/>
      <c r="SHT243" s="7"/>
      <c r="SHU243" s="7"/>
      <c r="SHV243" s="7"/>
      <c r="SHW243" s="7"/>
      <c r="SHX243" s="7"/>
      <c r="SHY243" s="7"/>
      <c r="SHZ243" s="7"/>
      <c r="SIA243" s="7"/>
      <c r="SIB243" s="7"/>
      <c r="SIC243" s="7"/>
      <c r="SID243" s="7"/>
      <c r="SIE243" s="7"/>
      <c r="SIF243" s="7"/>
      <c r="SIG243" s="7"/>
      <c r="SIH243" s="7"/>
      <c r="SII243" s="7"/>
      <c r="SIJ243" s="7"/>
      <c r="SIK243" s="7"/>
      <c r="SIL243" s="7"/>
      <c r="SIM243" s="7"/>
      <c r="SIN243" s="7"/>
      <c r="SIO243" s="7"/>
      <c r="SIP243" s="7"/>
      <c r="SIQ243" s="7"/>
      <c r="SIR243" s="7"/>
      <c r="SIS243" s="7"/>
      <c r="SIT243" s="7"/>
      <c r="SIU243" s="7"/>
      <c r="SIV243" s="7"/>
      <c r="SIW243" s="7"/>
      <c r="SIX243" s="7"/>
      <c r="SIY243" s="7"/>
      <c r="SIZ243" s="7"/>
      <c r="SJA243" s="7"/>
      <c r="SJB243" s="7"/>
      <c r="SJC243" s="7"/>
      <c r="SJD243" s="7"/>
      <c r="SJE243" s="7"/>
      <c r="SJF243" s="7"/>
      <c r="SJG243" s="7"/>
      <c r="SJH243" s="7"/>
      <c r="SJI243" s="7"/>
      <c r="SJJ243" s="7"/>
      <c r="SJK243" s="7"/>
      <c r="SJL243" s="7"/>
      <c r="SJM243" s="7"/>
      <c r="SJN243" s="7"/>
      <c r="SJO243" s="7"/>
      <c r="SJP243" s="7"/>
      <c r="SJQ243" s="7"/>
      <c r="SJR243" s="7"/>
      <c r="SJS243" s="7"/>
      <c r="SJT243" s="7"/>
      <c r="SJU243" s="7"/>
      <c r="SJV243" s="7"/>
      <c r="SJW243" s="7"/>
      <c r="SJX243" s="7"/>
      <c r="SJY243" s="7"/>
      <c r="SJZ243" s="7"/>
      <c r="SKA243" s="7"/>
      <c r="SKB243" s="7"/>
      <c r="SKC243" s="7"/>
      <c r="SKD243" s="7"/>
      <c r="SKE243" s="7"/>
      <c r="SKF243" s="7"/>
      <c r="SKG243" s="7"/>
      <c r="SKH243" s="7"/>
      <c r="SKI243" s="7"/>
      <c r="SKJ243" s="7"/>
      <c r="SKK243" s="7"/>
      <c r="SKL243" s="7"/>
      <c r="SKM243" s="7"/>
      <c r="SKN243" s="7"/>
      <c r="SKO243" s="7"/>
      <c r="SKP243" s="7"/>
      <c r="SKQ243" s="7"/>
      <c r="SKR243" s="7"/>
      <c r="SKS243" s="7"/>
      <c r="SKT243" s="7"/>
      <c r="SKU243" s="7"/>
      <c r="SKV243" s="7"/>
      <c r="SKW243" s="7"/>
      <c r="SKX243" s="7"/>
      <c r="SKY243" s="7"/>
      <c r="SKZ243" s="7"/>
      <c r="SLA243" s="7"/>
      <c r="SLB243" s="7"/>
      <c r="SLC243" s="7"/>
      <c r="SLD243" s="7"/>
      <c r="SLE243" s="7"/>
      <c r="SLF243" s="7"/>
      <c r="SLG243" s="7"/>
      <c r="SLH243" s="7"/>
      <c r="SLI243" s="7"/>
      <c r="SLJ243" s="7"/>
      <c r="SLK243" s="7"/>
      <c r="SLL243" s="7"/>
      <c r="SLM243" s="7"/>
      <c r="SLN243" s="7"/>
      <c r="SLO243" s="7"/>
      <c r="SLP243" s="7"/>
      <c r="SLQ243" s="7"/>
      <c r="SLR243" s="7"/>
      <c r="SLS243" s="7"/>
      <c r="SLT243" s="7"/>
      <c r="SLU243" s="7"/>
      <c r="SLV243" s="7"/>
      <c r="SLW243" s="7"/>
      <c r="SLX243" s="7"/>
      <c r="SLY243" s="7"/>
      <c r="SLZ243" s="7"/>
      <c r="SMA243" s="7"/>
      <c r="SMB243" s="7"/>
      <c r="SMC243" s="7"/>
      <c r="SMD243" s="7"/>
      <c r="SME243" s="7"/>
      <c r="SMF243" s="7"/>
      <c r="SMG243" s="7"/>
      <c r="SMH243" s="7"/>
      <c r="SMI243" s="7"/>
      <c r="SMJ243" s="7"/>
      <c r="SMK243" s="7"/>
      <c r="SML243" s="7"/>
      <c r="SMM243" s="7"/>
      <c r="SMN243" s="7"/>
      <c r="SMO243" s="7"/>
      <c r="SMP243" s="7"/>
      <c r="SMQ243" s="7"/>
      <c r="SMR243" s="7"/>
      <c r="SMS243" s="7"/>
      <c r="SMT243" s="7"/>
      <c r="SMU243" s="7"/>
      <c r="SMV243" s="7"/>
      <c r="SMW243" s="7"/>
      <c r="SMX243" s="7"/>
      <c r="SMY243" s="7"/>
      <c r="SMZ243" s="7"/>
      <c r="SNA243" s="7"/>
      <c r="SNB243" s="7"/>
      <c r="SNC243" s="7"/>
      <c r="SND243" s="7"/>
      <c r="SNE243" s="7"/>
      <c r="SNF243" s="7"/>
      <c r="SNG243" s="7"/>
      <c r="SNH243" s="7"/>
      <c r="SNI243" s="7"/>
      <c r="SNJ243" s="7"/>
      <c r="SNK243" s="7"/>
      <c r="SNL243" s="7"/>
      <c r="SNM243" s="7"/>
      <c r="SNN243" s="7"/>
      <c r="SNO243" s="7"/>
      <c r="SNP243" s="7"/>
      <c r="SNQ243" s="7"/>
      <c r="SNR243" s="7"/>
      <c r="SNS243" s="7"/>
      <c r="SNT243" s="7"/>
      <c r="SNU243" s="7"/>
      <c r="SNV243" s="7"/>
      <c r="SNW243" s="7"/>
      <c r="SNX243" s="7"/>
      <c r="SNY243" s="7"/>
      <c r="SNZ243" s="7"/>
      <c r="SOA243" s="7"/>
      <c r="SOB243" s="7"/>
      <c r="SOC243" s="7"/>
      <c r="SOD243" s="7"/>
      <c r="SOE243" s="7"/>
      <c r="SOF243" s="7"/>
      <c r="SOG243" s="7"/>
      <c r="SOH243" s="7"/>
      <c r="SOI243" s="7"/>
      <c r="SOJ243" s="7"/>
      <c r="SOK243" s="7"/>
      <c r="SOL243" s="7"/>
      <c r="SOM243" s="7"/>
      <c r="SON243" s="7"/>
      <c r="SOO243" s="7"/>
      <c r="SOP243" s="7"/>
      <c r="SOQ243" s="7"/>
      <c r="SOR243" s="7"/>
      <c r="SOS243" s="7"/>
      <c r="SOT243" s="7"/>
      <c r="SOU243" s="7"/>
      <c r="SOV243" s="7"/>
      <c r="SOW243" s="7"/>
      <c r="SOX243" s="7"/>
      <c r="SOY243" s="7"/>
      <c r="SOZ243" s="7"/>
      <c r="SPA243" s="7"/>
      <c r="SPB243" s="7"/>
      <c r="SPC243" s="7"/>
      <c r="SPD243" s="7"/>
      <c r="SPE243" s="7"/>
      <c r="SPF243" s="7"/>
      <c r="SPG243" s="7"/>
      <c r="SPH243" s="7"/>
      <c r="SPI243" s="7"/>
      <c r="SPJ243" s="7"/>
      <c r="SPK243" s="7"/>
      <c r="SPL243" s="7"/>
      <c r="SPM243" s="7"/>
      <c r="SPN243" s="7"/>
      <c r="SPO243" s="7"/>
      <c r="SPP243" s="7"/>
      <c r="SPQ243" s="7"/>
      <c r="SPR243" s="7"/>
      <c r="SPS243" s="7"/>
      <c r="SPT243" s="7"/>
      <c r="SPU243" s="7"/>
      <c r="SPV243" s="7"/>
      <c r="SPW243" s="7"/>
      <c r="SPX243" s="7"/>
      <c r="SPY243" s="7"/>
      <c r="SPZ243" s="7"/>
      <c r="SQA243" s="7"/>
      <c r="SQB243" s="7"/>
      <c r="SQC243" s="7"/>
      <c r="SQD243" s="7"/>
      <c r="SQE243" s="7"/>
      <c r="SQF243" s="7"/>
      <c r="SQG243" s="7"/>
      <c r="SQH243" s="7"/>
      <c r="SQI243" s="7"/>
      <c r="SQJ243" s="7"/>
      <c r="SQK243" s="7"/>
      <c r="SQL243" s="7"/>
      <c r="SQM243" s="7"/>
      <c r="SQN243" s="7"/>
      <c r="SQO243" s="7"/>
      <c r="SQP243" s="7"/>
      <c r="SQQ243" s="7"/>
      <c r="SQR243" s="7"/>
      <c r="SQS243" s="7"/>
      <c r="SQT243" s="7"/>
      <c r="SQU243" s="7"/>
      <c r="SQV243" s="7"/>
      <c r="SQW243" s="7"/>
      <c r="SQX243" s="7"/>
      <c r="SQY243" s="7"/>
      <c r="SQZ243" s="7"/>
      <c r="SRA243" s="7"/>
      <c r="SRB243" s="7"/>
      <c r="SRC243" s="7"/>
      <c r="SRD243" s="7"/>
      <c r="SRE243" s="7"/>
      <c r="SRF243" s="7"/>
      <c r="SRG243" s="7"/>
      <c r="SRH243" s="7"/>
      <c r="SRI243" s="7"/>
      <c r="SRJ243" s="7"/>
      <c r="SRK243" s="7"/>
      <c r="SRL243" s="7"/>
      <c r="SRM243" s="7"/>
      <c r="SRN243" s="7"/>
      <c r="SRO243" s="7"/>
      <c r="SRP243" s="7"/>
      <c r="SRQ243" s="7"/>
      <c r="SRR243" s="7"/>
      <c r="SRS243" s="7"/>
      <c r="SRT243" s="7"/>
      <c r="SRU243" s="7"/>
      <c r="SRV243" s="7"/>
      <c r="SRW243" s="7"/>
      <c r="SRX243" s="7"/>
      <c r="SRY243" s="7"/>
      <c r="SRZ243" s="7"/>
      <c r="SSA243" s="7"/>
      <c r="SSB243" s="7"/>
      <c r="SSC243" s="7"/>
      <c r="SSD243" s="7"/>
      <c r="SSE243" s="7"/>
      <c r="SSF243" s="7"/>
      <c r="SSG243" s="7"/>
      <c r="SSH243" s="7"/>
      <c r="SSI243" s="7"/>
      <c r="SSJ243" s="7"/>
      <c r="SSK243" s="7"/>
      <c r="SSL243" s="7"/>
      <c r="SSM243" s="7"/>
      <c r="SSN243" s="7"/>
      <c r="SSO243" s="7"/>
      <c r="SSP243" s="7"/>
      <c r="SSQ243" s="7"/>
      <c r="SSR243" s="7"/>
      <c r="SSS243" s="7"/>
      <c r="SST243" s="7"/>
      <c r="SSU243" s="7"/>
      <c r="SSV243" s="7"/>
      <c r="SSW243" s="7"/>
      <c r="SSX243" s="7"/>
      <c r="SSY243" s="7"/>
      <c r="SSZ243" s="7"/>
      <c r="STA243" s="7"/>
      <c r="STB243" s="7"/>
      <c r="STC243" s="7"/>
      <c r="STD243" s="7"/>
      <c r="STE243" s="7"/>
      <c r="STF243" s="7"/>
      <c r="STG243" s="7"/>
      <c r="STH243" s="7"/>
      <c r="STI243" s="7"/>
      <c r="STJ243" s="7"/>
      <c r="STK243" s="7"/>
      <c r="STL243" s="7"/>
      <c r="STM243" s="7"/>
      <c r="STN243" s="7"/>
      <c r="STO243" s="7"/>
      <c r="STP243" s="7"/>
      <c r="STQ243" s="7"/>
      <c r="STR243" s="7"/>
      <c r="STS243" s="7"/>
      <c r="STT243" s="7"/>
      <c r="STU243" s="7"/>
      <c r="STV243" s="7"/>
      <c r="STW243" s="7"/>
      <c r="STX243" s="7"/>
      <c r="STY243" s="7"/>
      <c r="STZ243" s="7"/>
      <c r="SUA243" s="7"/>
      <c r="SUB243" s="7"/>
      <c r="SUC243" s="7"/>
      <c r="SUD243" s="7"/>
      <c r="SUE243" s="7"/>
      <c r="SUF243" s="7"/>
      <c r="SUG243" s="7"/>
      <c r="SUH243" s="7"/>
      <c r="SUI243" s="7"/>
      <c r="SUJ243" s="7"/>
      <c r="SUK243" s="7"/>
      <c r="SUL243" s="7"/>
      <c r="SUM243" s="7"/>
      <c r="SUN243" s="7"/>
      <c r="SUO243" s="7"/>
      <c r="SUP243" s="7"/>
      <c r="SUQ243" s="7"/>
      <c r="SUR243" s="7"/>
      <c r="SUS243" s="7"/>
      <c r="SUT243" s="7"/>
      <c r="SUU243" s="7"/>
      <c r="SUV243" s="7"/>
      <c r="SUW243" s="7"/>
      <c r="SUX243" s="7"/>
      <c r="SUY243" s="7"/>
      <c r="SUZ243" s="7"/>
      <c r="SVA243" s="7"/>
      <c r="SVB243" s="7"/>
      <c r="SVC243" s="7"/>
      <c r="SVD243" s="7"/>
      <c r="SVE243" s="7"/>
      <c r="SVF243" s="7"/>
      <c r="SVG243" s="7"/>
      <c r="SVH243" s="7"/>
      <c r="SVI243" s="7"/>
      <c r="SVJ243" s="7"/>
      <c r="SVK243" s="7"/>
      <c r="SVL243" s="7"/>
      <c r="SVM243" s="7"/>
      <c r="SVN243" s="7"/>
      <c r="SVO243" s="7"/>
      <c r="SVP243" s="7"/>
      <c r="SVQ243" s="7"/>
      <c r="SVR243" s="7"/>
      <c r="SVS243" s="7"/>
      <c r="SVT243" s="7"/>
      <c r="SVU243" s="7"/>
      <c r="SVV243" s="7"/>
      <c r="SVW243" s="7"/>
      <c r="SVX243" s="7"/>
      <c r="SVY243" s="7"/>
      <c r="SVZ243" s="7"/>
      <c r="SWA243" s="7"/>
      <c r="SWB243" s="7"/>
      <c r="SWC243" s="7"/>
      <c r="SWD243" s="7"/>
      <c r="SWE243" s="7"/>
      <c r="SWF243" s="7"/>
      <c r="SWG243" s="7"/>
      <c r="SWH243" s="7"/>
      <c r="SWI243" s="7"/>
      <c r="SWJ243" s="7"/>
      <c r="SWK243" s="7"/>
      <c r="SWL243" s="7"/>
      <c r="SWM243" s="7"/>
      <c r="SWN243" s="7"/>
      <c r="SWO243" s="7"/>
      <c r="SWP243" s="7"/>
      <c r="SWQ243" s="7"/>
      <c r="SWR243" s="7"/>
      <c r="SWS243" s="7"/>
      <c r="SWT243" s="7"/>
      <c r="SWU243" s="7"/>
      <c r="SWV243" s="7"/>
      <c r="SWW243" s="7"/>
      <c r="SWX243" s="7"/>
      <c r="SWY243" s="7"/>
      <c r="SWZ243" s="7"/>
      <c r="SXA243" s="7"/>
      <c r="SXB243" s="7"/>
      <c r="SXC243" s="7"/>
      <c r="SXD243" s="7"/>
      <c r="SXE243" s="7"/>
      <c r="SXF243" s="7"/>
      <c r="SXG243" s="7"/>
      <c r="SXH243" s="7"/>
      <c r="SXI243" s="7"/>
      <c r="SXJ243" s="7"/>
      <c r="SXK243" s="7"/>
      <c r="SXL243" s="7"/>
      <c r="SXM243" s="7"/>
      <c r="SXN243" s="7"/>
      <c r="SXO243" s="7"/>
      <c r="SXP243" s="7"/>
      <c r="SXQ243" s="7"/>
      <c r="SXR243" s="7"/>
      <c r="SXS243" s="7"/>
      <c r="SXT243" s="7"/>
      <c r="SXU243" s="7"/>
      <c r="SXV243" s="7"/>
      <c r="SXW243" s="7"/>
      <c r="SXX243" s="7"/>
      <c r="SXY243" s="7"/>
      <c r="SXZ243" s="7"/>
      <c r="SYA243" s="7"/>
      <c r="SYB243" s="7"/>
      <c r="SYC243" s="7"/>
      <c r="SYD243" s="7"/>
      <c r="SYE243" s="7"/>
      <c r="SYF243" s="7"/>
      <c r="SYG243" s="7"/>
      <c r="SYH243" s="7"/>
      <c r="SYI243" s="7"/>
      <c r="SYJ243" s="7"/>
      <c r="SYK243" s="7"/>
      <c r="SYL243" s="7"/>
      <c r="SYM243" s="7"/>
      <c r="SYN243" s="7"/>
      <c r="SYO243" s="7"/>
      <c r="SYP243" s="7"/>
      <c r="SYQ243" s="7"/>
      <c r="SYR243" s="7"/>
      <c r="SYS243" s="7"/>
      <c r="SYT243" s="7"/>
      <c r="SYU243" s="7"/>
      <c r="SYV243" s="7"/>
      <c r="SYW243" s="7"/>
      <c r="SYX243" s="7"/>
      <c r="SYY243" s="7"/>
      <c r="SYZ243" s="7"/>
      <c r="SZA243" s="7"/>
      <c r="SZB243" s="7"/>
      <c r="SZC243" s="7"/>
      <c r="SZD243" s="7"/>
      <c r="SZE243" s="7"/>
      <c r="SZF243" s="7"/>
      <c r="SZG243" s="7"/>
      <c r="SZH243" s="7"/>
      <c r="SZI243" s="7"/>
      <c r="SZJ243" s="7"/>
      <c r="SZK243" s="7"/>
      <c r="SZL243" s="7"/>
      <c r="SZM243" s="7"/>
      <c r="SZN243" s="7"/>
      <c r="SZO243" s="7"/>
      <c r="SZP243" s="7"/>
      <c r="SZQ243" s="7"/>
      <c r="SZR243" s="7"/>
      <c r="SZS243" s="7"/>
      <c r="SZT243" s="7"/>
      <c r="SZU243" s="7"/>
      <c r="SZV243" s="7"/>
      <c r="SZW243" s="7"/>
      <c r="SZX243" s="7"/>
      <c r="SZY243" s="7"/>
      <c r="SZZ243" s="7"/>
      <c r="TAA243" s="7"/>
      <c r="TAB243" s="7"/>
      <c r="TAC243" s="7"/>
      <c r="TAD243" s="7"/>
      <c r="TAE243" s="7"/>
      <c r="TAF243" s="7"/>
      <c r="TAG243" s="7"/>
      <c r="TAH243" s="7"/>
      <c r="TAI243" s="7"/>
      <c r="TAJ243" s="7"/>
      <c r="TAK243" s="7"/>
      <c r="TAL243" s="7"/>
      <c r="TAM243" s="7"/>
      <c r="TAN243" s="7"/>
      <c r="TAO243" s="7"/>
      <c r="TAP243" s="7"/>
      <c r="TAQ243" s="7"/>
      <c r="TAR243" s="7"/>
      <c r="TAS243" s="7"/>
      <c r="TAT243" s="7"/>
      <c r="TAU243" s="7"/>
      <c r="TAV243" s="7"/>
      <c r="TAW243" s="7"/>
      <c r="TAX243" s="7"/>
      <c r="TAY243" s="7"/>
      <c r="TAZ243" s="7"/>
      <c r="TBA243" s="7"/>
      <c r="TBB243" s="7"/>
      <c r="TBC243" s="7"/>
      <c r="TBD243" s="7"/>
      <c r="TBE243" s="7"/>
      <c r="TBF243" s="7"/>
      <c r="TBG243" s="7"/>
      <c r="TBH243" s="7"/>
      <c r="TBI243" s="7"/>
      <c r="TBJ243" s="7"/>
      <c r="TBK243" s="7"/>
      <c r="TBL243" s="7"/>
      <c r="TBM243" s="7"/>
      <c r="TBN243" s="7"/>
      <c r="TBO243" s="7"/>
      <c r="TBP243" s="7"/>
      <c r="TBQ243" s="7"/>
      <c r="TBR243" s="7"/>
      <c r="TBS243" s="7"/>
      <c r="TBT243" s="7"/>
      <c r="TBU243" s="7"/>
      <c r="TBV243" s="7"/>
      <c r="TBW243" s="7"/>
      <c r="TBX243" s="7"/>
      <c r="TBY243" s="7"/>
      <c r="TBZ243" s="7"/>
      <c r="TCA243" s="7"/>
      <c r="TCB243" s="7"/>
      <c r="TCC243" s="7"/>
      <c r="TCD243" s="7"/>
      <c r="TCE243" s="7"/>
      <c r="TCF243" s="7"/>
      <c r="TCG243" s="7"/>
      <c r="TCH243" s="7"/>
      <c r="TCI243" s="7"/>
      <c r="TCJ243" s="7"/>
      <c r="TCK243" s="7"/>
      <c r="TCL243" s="7"/>
      <c r="TCM243" s="7"/>
      <c r="TCN243" s="7"/>
      <c r="TCO243" s="7"/>
      <c r="TCP243" s="7"/>
      <c r="TCQ243" s="7"/>
      <c r="TCR243" s="7"/>
      <c r="TCS243" s="7"/>
      <c r="TCT243" s="7"/>
      <c r="TCU243" s="7"/>
      <c r="TCV243" s="7"/>
      <c r="TCW243" s="7"/>
      <c r="TCX243" s="7"/>
      <c r="TCY243" s="7"/>
      <c r="TCZ243" s="7"/>
      <c r="TDA243" s="7"/>
      <c r="TDB243" s="7"/>
      <c r="TDC243" s="7"/>
      <c r="TDD243" s="7"/>
      <c r="TDE243" s="7"/>
      <c r="TDF243" s="7"/>
      <c r="TDG243" s="7"/>
      <c r="TDH243" s="7"/>
      <c r="TDI243" s="7"/>
      <c r="TDJ243" s="7"/>
      <c r="TDK243" s="7"/>
      <c r="TDL243" s="7"/>
      <c r="TDM243" s="7"/>
      <c r="TDN243" s="7"/>
      <c r="TDO243" s="7"/>
      <c r="TDP243" s="7"/>
      <c r="TDQ243" s="7"/>
      <c r="TDR243" s="7"/>
      <c r="TDS243" s="7"/>
      <c r="TDT243" s="7"/>
      <c r="TDU243" s="7"/>
      <c r="TDV243" s="7"/>
      <c r="TDW243" s="7"/>
      <c r="TDX243" s="7"/>
      <c r="TDY243" s="7"/>
      <c r="TDZ243" s="7"/>
      <c r="TEA243" s="7"/>
      <c r="TEB243" s="7"/>
      <c r="TEC243" s="7"/>
      <c r="TED243" s="7"/>
      <c r="TEE243" s="7"/>
      <c r="TEF243" s="7"/>
      <c r="TEG243" s="7"/>
      <c r="TEH243" s="7"/>
      <c r="TEI243" s="7"/>
      <c r="TEJ243" s="7"/>
      <c r="TEK243" s="7"/>
      <c r="TEL243" s="7"/>
      <c r="TEM243" s="7"/>
      <c r="TEN243" s="7"/>
      <c r="TEO243" s="7"/>
      <c r="TEP243" s="7"/>
      <c r="TEQ243" s="7"/>
      <c r="TER243" s="7"/>
      <c r="TES243" s="7"/>
      <c r="TET243" s="7"/>
      <c r="TEU243" s="7"/>
      <c r="TEV243" s="7"/>
      <c r="TEW243" s="7"/>
      <c r="TEX243" s="7"/>
      <c r="TEY243" s="7"/>
      <c r="TEZ243" s="7"/>
      <c r="TFA243" s="7"/>
      <c r="TFB243" s="7"/>
      <c r="TFC243" s="7"/>
      <c r="TFD243" s="7"/>
      <c r="TFE243" s="7"/>
      <c r="TFF243" s="7"/>
      <c r="TFG243" s="7"/>
      <c r="TFH243" s="7"/>
      <c r="TFI243" s="7"/>
      <c r="TFJ243" s="7"/>
      <c r="TFK243" s="7"/>
      <c r="TFL243" s="7"/>
      <c r="TFM243" s="7"/>
      <c r="TFN243" s="7"/>
      <c r="TFO243" s="7"/>
      <c r="TFP243" s="7"/>
      <c r="TFQ243" s="7"/>
      <c r="TFR243" s="7"/>
      <c r="TFS243" s="7"/>
      <c r="TFT243" s="7"/>
      <c r="TFU243" s="7"/>
      <c r="TFV243" s="7"/>
      <c r="TFW243" s="7"/>
      <c r="TFX243" s="7"/>
      <c r="TFY243" s="7"/>
      <c r="TFZ243" s="7"/>
      <c r="TGA243" s="7"/>
      <c r="TGB243" s="7"/>
      <c r="TGC243" s="7"/>
      <c r="TGD243" s="7"/>
      <c r="TGE243" s="7"/>
      <c r="TGF243" s="7"/>
      <c r="TGG243" s="7"/>
      <c r="TGH243" s="7"/>
      <c r="TGI243" s="7"/>
      <c r="TGJ243" s="7"/>
      <c r="TGK243" s="7"/>
      <c r="TGL243" s="7"/>
      <c r="TGM243" s="7"/>
      <c r="TGN243" s="7"/>
      <c r="TGO243" s="7"/>
      <c r="TGP243" s="7"/>
      <c r="TGQ243" s="7"/>
      <c r="TGR243" s="7"/>
      <c r="TGS243" s="7"/>
      <c r="TGT243" s="7"/>
      <c r="TGU243" s="7"/>
      <c r="TGV243" s="7"/>
      <c r="TGW243" s="7"/>
      <c r="TGX243" s="7"/>
      <c r="TGY243" s="7"/>
      <c r="TGZ243" s="7"/>
      <c r="THA243" s="7"/>
      <c r="THB243" s="7"/>
      <c r="THC243" s="7"/>
      <c r="THD243" s="7"/>
      <c r="THE243" s="7"/>
      <c r="THF243" s="7"/>
      <c r="THG243" s="7"/>
      <c r="THH243" s="7"/>
      <c r="THI243" s="7"/>
      <c r="THJ243" s="7"/>
      <c r="THK243" s="7"/>
      <c r="THL243" s="7"/>
      <c r="THM243" s="7"/>
      <c r="THN243" s="7"/>
      <c r="THO243" s="7"/>
      <c r="THP243" s="7"/>
      <c r="THQ243" s="7"/>
      <c r="THR243" s="7"/>
      <c r="THS243" s="7"/>
      <c r="THT243" s="7"/>
      <c r="THU243" s="7"/>
      <c r="THV243" s="7"/>
      <c r="THW243" s="7"/>
      <c r="THX243" s="7"/>
      <c r="THY243" s="7"/>
      <c r="THZ243" s="7"/>
      <c r="TIA243" s="7"/>
      <c r="TIB243" s="7"/>
      <c r="TIC243" s="7"/>
      <c r="TID243" s="7"/>
      <c r="TIE243" s="7"/>
      <c r="TIF243" s="7"/>
      <c r="TIG243" s="7"/>
      <c r="TIH243" s="7"/>
      <c r="TII243" s="7"/>
      <c r="TIJ243" s="7"/>
      <c r="TIK243" s="7"/>
      <c r="TIL243" s="7"/>
      <c r="TIM243" s="7"/>
      <c r="TIN243" s="7"/>
      <c r="TIO243" s="7"/>
      <c r="TIP243" s="7"/>
      <c r="TIQ243" s="7"/>
      <c r="TIR243" s="7"/>
      <c r="TIS243" s="7"/>
      <c r="TIT243" s="7"/>
      <c r="TIU243" s="7"/>
      <c r="TIV243" s="7"/>
      <c r="TIW243" s="7"/>
      <c r="TIX243" s="7"/>
      <c r="TIY243" s="7"/>
      <c r="TIZ243" s="7"/>
      <c r="TJA243" s="7"/>
      <c r="TJB243" s="7"/>
      <c r="TJC243" s="7"/>
      <c r="TJD243" s="7"/>
      <c r="TJE243" s="7"/>
      <c r="TJF243" s="7"/>
      <c r="TJG243" s="7"/>
      <c r="TJH243" s="7"/>
      <c r="TJI243" s="7"/>
      <c r="TJJ243" s="7"/>
      <c r="TJK243" s="7"/>
      <c r="TJL243" s="7"/>
      <c r="TJM243" s="7"/>
      <c r="TJN243" s="7"/>
      <c r="TJO243" s="7"/>
      <c r="TJP243" s="7"/>
      <c r="TJQ243" s="7"/>
      <c r="TJR243" s="7"/>
      <c r="TJS243" s="7"/>
      <c r="TJT243" s="7"/>
      <c r="TJU243" s="7"/>
      <c r="TJV243" s="7"/>
      <c r="TJW243" s="7"/>
      <c r="TJX243" s="7"/>
      <c r="TJY243" s="7"/>
      <c r="TJZ243" s="7"/>
      <c r="TKA243" s="7"/>
      <c r="TKB243" s="7"/>
      <c r="TKC243" s="7"/>
      <c r="TKD243" s="7"/>
      <c r="TKE243" s="7"/>
      <c r="TKF243" s="7"/>
      <c r="TKG243" s="7"/>
      <c r="TKH243" s="7"/>
      <c r="TKI243" s="7"/>
      <c r="TKJ243" s="7"/>
      <c r="TKK243" s="7"/>
      <c r="TKL243" s="7"/>
      <c r="TKM243" s="7"/>
      <c r="TKN243" s="7"/>
      <c r="TKO243" s="7"/>
      <c r="TKP243" s="7"/>
      <c r="TKQ243" s="7"/>
      <c r="TKR243" s="7"/>
      <c r="TKS243" s="7"/>
      <c r="TKT243" s="7"/>
      <c r="TKU243" s="7"/>
      <c r="TKV243" s="7"/>
      <c r="TKW243" s="7"/>
      <c r="TKX243" s="7"/>
      <c r="TKY243" s="7"/>
      <c r="TKZ243" s="7"/>
      <c r="TLA243" s="7"/>
      <c r="TLB243" s="7"/>
      <c r="TLC243" s="7"/>
      <c r="TLD243" s="7"/>
      <c r="TLE243" s="7"/>
      <c r="TLF243" s="7"/>
      <c r="TLG243" s="7"/>
      <c r="TLH243" s="7"/>
      <c r="TLI243" s="7"/>
      <c r="TLJ243" s="7"/>
      <c r="TLK243" s="7"/>
      <c r="TLL243" s="7"/>
      <c r="TLM243" s="7"/>
      <c r="TLN243" s="7"/>
      <c r="TLO243" s="7"/>
      <c r="TLP243" s="7"/>
      <c r="TLQ243" s="7"/>
      <c r="TLR243" s="7"/>
      <c r="TLS243" s="7"/>
      <c r="TLT243" s="7"/>
      <c r="TLU243" s="7"/>
      <c r="TLV243" s="7"/>
      <c r="TLW243" s="7"/>
      <c r="TLX243" s="7"/>
      <c r="TLY243" s="7"/>
      <c r="TLZ243" s="7"/>
      <c r="TMA243" s="7"/>
      <c r="TMB243" s="7"/>
      <c r="TMC243" s="7"/>
      <c r="TMD243" s="7"/>
      <c r="TME243" s="7"/>
      <c r="TMF243" s="7"/>
      <c r="TMG243" s="7"/>
      <c r="TMH243" s="7"/>
      <c r="TMI243" s="7"/>
      <c r="TMJ243" s="7"/>
      <c r="TMK243" s="7"/>
      <c r="TML243" s="7"/>
      <c r="TMM243" s="7"/>
      <c r="TMN243" s="7"/>
      <c r="TMO243" s="7"/>
      <c r="TMP243" s="7"/>
      <c r="TMQ243" s="7"/>
      <c r="TMR243" s="7"/>
      <c r="TMS243" s="7"/>
      <c r="TMT243" s="7"/>
      <c r="TMU243" s="7"/>
      <c r="TMV243" s="7"/>
      <c r="TMW243" s="7"/>
      <c r="TMX243" s="7"/>
      <c r="TMY243" s="7"/>
      <c r="TMZ243" s="7"/>
      <c r="TNA243" s="7"/>
      <c r="TNB243" s="7"/>
      <c r="TNC243" s="7"/>
      <c r="TND243" s="7"/>
      <c r="TNE243" s="7"/>
      <c r="TNF243" s="7"/>
      <c r="TNG243" s="7"/>
      <c r="TNH243" s="7"/>
      <c r="TNI243" s="7"/>
      <c r="TNJ243" s="7"/>
      <c r="TNK243" s="7"/>
      <c r="TNL243" s="7"/>
      <c r="TNM243" s="7"/>
      <c r="TNN243" s="7"/>
      <c r="TNO243" s="7"/>
      <c r="TNP243" s="7"/>
      <c r="TNQ243" s="7"/>
      <c r="TNR243" s="7"/>
      <c r="TNS243" s="7"/>
      <c r="TNT243" s="7"/>
      <c r="TNU243" s="7"/>
      <c r="TNV243" s="7"/>
      <c r="TNW243" s="7"/>
      <c r="TNX243" s="7"/>
      <c r="TNY243" s="7"/>
      <c r="TNZ243" s="7"/>
      <c r="TOA243" s="7"/>
      <c r="TOB243" s="7"/>
      <c r="TOC243" s="7"/>
      <c r="TOD243" s="7"/>
      <c r="TOE243" s="7"/>
      <c r="TOF243" s="7"/>
      <c r="TOG243" s="7"/>
      <c r="TOH243" s="7"/>
      <c r="TOI243" s="7"/>
      <c r="TOJ243" s="7"/>
      <c r="TOK243" s="7"/>
      <c r="TOL243" s="7"/>
      <c r="TOM243" s="7"/>
      <c r="TON243" s="7"/>
      <c r="TOO243" s="7"/>
      <c r="TOP243" s="7"/>
      <c r="TOQ243" s="7"/>
      <c r="TOR243" s="7"/>
      <c r="TOS243" s="7"/>
      <c r="TOT243" s="7"/>
      <c r="TOU243" s="7"/>
      <c r="TOV243" s="7"/>
      <c r="TOW243" s="7"/>
      <c r="TOX243" s="7"/>
      <c r="TOY243" s="7"/>
      <c r="TOZ243" s="7"/>
      <c r="TPA243" s="7"/>
      <c r="TPB243" s="7"/>
      <c r="TPC243" s="7"/>
      <c r="TPD243" s="7"/>
      <c r="TPE243" s="7"/>
      <c r="TPF243" s="7"/>
      <c r="TPG243" s="7"/>
      <c r="TPH243" s="7"/>
      <c r="TPI243" s="7"/>
      <c r="TPJ243" s="7"/>
      <c r="TPK243" s="7"/>
      <c r="TPL243" s="7"/>
      <c r="TPM243" s="7"/>
      <c r="TPN243" s="7"/>
      <c r="TPO243" s="7"/>
      <c r="TPP243" s="7"/>
      <c r="TPQ243" s="7"/>
      <c r="TPR243" s="7"/>
      <c r="TPS243" s="7"/>
      <c r="TPT243" s="7"/>
      <c r="TPU243" s="7"/>
      <c r="TPV243" s="7"/>
      <c r="TPW243" s="7"/>
      <c r="TPX243" s="7"/>
      <c r="TPY243" s="7"/>
      <c r="TPZ243" s="7"/>
      <c r="TQA243" s="7"/>
      <c r="TQB243" s="7"/>
      <c r="TQC243" s="7"/>
      <c r="TQD243" s="7"/>
      <c r="TQE243" s="7"/>
      <c r="TQF243" s="7"/>
      <c r="TQG243" s="7"/>
      <c r="TQH243" s="7"/>
      <c r="TQI243" s="7"/>
      <c r="TQJ243" s="7"/>
      <c r="TQK243" s="7"/>
      <c r="TQL243" s="7"/>
      <c r="TQM243" s="7"/>
      <c r="TQN243" s="7"/>
      <c r="TQO243" s="7"/>
      <c r="TQP243" s="7"/>
      <c r="TQQ243" s="7"/>
      <c r="TQR243" s="7"/>
      <c r="TQS243" s="7"/>
      <c r="TQT243" s="7"/>
      <c r="TQU243" s="7"/>
      <c r="TQV243" s="7"/>
      <c r="TQW243" s="7"/>
      <c r="TQX243" s="7"/>
      <c r="TQY243" s="7"/>
      <c r="TQZ243" s="7"/>
      <c r="TRA243" s="7"/>
      <c r="TRB243" s="7"/>
      <c r="TRC243" s="7"/>
      <c r="TRD243" s="7"/>
      <c r="TRE243" s="7"/>
      <c r="TRF243" s="7"/>
      <c r="TRG243" s="7"/>
      <c r="TRH243" s="7"/>
      <c r="TRI243" s="7"/>
      <c r="TRJ243" s="7"/>
      <c r="TRK243" s="7"/>
      <c r="TRL243" s="7"/>
      <c r="TRM243" s="7"/>
      <c r="TRN243" s="7"/>
      <c r="TRO243" s="7"/>
      <c r="TRP243" s="7"/>
      <c r="TRQ243" s="7"/>
      <c r="TRR243" s="7"/>
      <c r="TRS243" s="7"/>
      <c r="TRT243" s="7"/>
      <c r="TRU243" s="7"/>
      <c r="TRV243" s="7"/>
      <c r="TRW243" s="7"/>
      <c r="TRX243" s="7"/>
      <c r="TRY243" s="7"/>
      <c r="TRZ243" s="7"/>
      <c r="TSA243" s="7"/>
      <c r="TSB243" s="7"/>
      <c r="TSC243" s="7"/>
      <c r="TSD243" s="7"/>
      <c r="TSE243" s="7"/>
      <c r="TSF243" s="7"/>
      <c r="TSG243" s="7"/>
      <c r="TSH243" s="7"/>
      <c r="TSI243" s="7"/>
      <c r="TSJ243" s="7"/>
      <c r="TSK243" s="7"/>
      <c r="TSL243" s="7"/>
      <c r="TSM243" s="7"/>
      <c r="TSN243" s="7"/>
      <c r="TSO243" s="7"/>
      <c r="TSP243" s="7"/>
      <c r="TSQ243" s="7"/>
      <c r="TSR243" s="7"/>
      <c r="TSS243" s="7"/>
      <c r="TST243" s="7"/>
      <c r="TSU243" s="7"/>
      <c r="TSV243" s="7"/>
      <c r="TSW243" s="7"/>
      <c r="TSX243" s="7"/>
      <c r="TSY243" s="7"/>
      <c r="TSZ243" s="7"/>
      <c r="TTA243" s="7"/>
      <c r="TTB243" s="7"/>
      <c r="TTC243" s="7"/>
      <c r="TTD243" s="7"/>
      <c r="TTE243" s="7"/>
      <c r="TTF243" s="7"/>
      <c r="TTG243" s="7"/>
      <c r="TTH243" s="7"/>
      <c r="TTI243" s="7"/>
      <c r="TTJ243" s="7"/>
      <c r="TTK243" s="7"/>
      <c r="TTL243" s="7"/>
      <c r="TTM243" s="7"/>
      <c r="TTN243" s="7"/>
      <c r="TTO243" s="7"/>
      <c r="TTP243" s="7"/>
      <c r="TTQ243" s="7"/>
      <c r="TTR243" s="7"/>
      <c r="TTS243" s="7"/>
      <c r="TTT243" s="7"/>
      <c r="TTU243" s="7"/>
      <c r="TTV243" s="7"/>
      <c r="TTW243" s="7"/>
      <c r="TTX243" s="7"/>
      <c r="TTY243" s="7"/>
      <c r="TTZ243" s="7"/>
      <c r="TUA243" s="7"/>
      <c r="TUB243" s="7"/>
      <c r="TUC243" s="7"/>
      <c r="TUD243" s="7"/>
      <c r="TUE243" s="7"/>
      <c r="TUF243" s="7"/>
      <c r="TUG243" s="7"/>
      <c r="TUH243" s="7"/>
      <c r="TUI243" s="7"/>
      <c r="TUJ243" s="7"/>
      <c r="TUK243" s="7"/>
      <c r="TUL243" s="7"/>
      <c r="TUM243" s="7"/>
      <c r="TUN243" s="7"/>
      <c r="TUO243" s="7"/>
      <c r="TUP243" s="7"/>
      <c r="TUQ243" s="7"/>
      <c r="TUR243" s="7"/>
      <c r="TUS243" s="7"/>
      <c r="TUT243" s="7"/>
      <c r="TUU243" s="7"/>
      <c r="TUV243" s="7"/>
      <c r="TUW243" s="7"/>
      <c r="TUX243" s="7"/>
      <c r="TUY243" s="7"/>
      <c r="TUZ243" s="7"/>
      <c r="TVA243" s="7"/>
      <c r="TVB243" s="7"/>
      <c r="TVC243" s="7"/>
      <c r="TVD243" s="7"/>
      <c r="TVE243" s="7"/>
      <c r="TVF243" s="7"/>
      <c r="TVG243" s="7"/>
      <c r="TVH243" s="7"/>
      <c r="TVI243" s="7"/>
      <c r="TVJ243" s="7"/>
      <c r="TVK243" s="7"/>
      <c r="TVL243" s="7"/>
      <c r="TVM243" s="7"/>
      <c r="TVN243" s="7"/>
      <c r="TVO243" s="7"/>
      <c r="TVP243" s="7"/>
      <c r="TVQ243" s="7"/>
      <c r="TVR243" s="7"/>
      <c r="TVS243" s="7"/>
      <c r="TVT243" s="7"/>
      <c r="TVU243" s="7"/>
      <c r="TVV243" s="7"/>
      <c r="TVW243" s="7"/>
      <c r="TVX243" s="7"/>
      <c r="TVY243" s="7"/>
      <c r="TVZ243" s="7"/>
      <c r="TWA243" s="7"/>
      <c r="TWB243" s="7"/>
      <c r="TWC243" s="7"/>
      <c r="TWD243" s="7"/>
      <c r="TWE243" s="7"/>
      <c r="TWF243" s="7"/>
      <c r="TWG243" s="7"/>
      <c r="TWH243" s="7"/>
      <c r="TWI243" s="7"/>
      <c r="TWJ243" s="7"/>
      <c r="TWK243" s="7"/>
      <c r="TWL243" s="7"/>
      <c r="TWM243" s="7"/>
      <c r="TWN243" s="7"/>
      <c r="TWO243" s="7"/>
      <c r="TWP243" s="7"/>
      <c r="TWQ243" s="7"/>
      <c r="TWR243" s="7"/>
      <c r="TWS243" s="7"/>
      <c r="TWT243" s="7"/>
      <c r="TWU243" s="7"/>
      <c r="TWV243" s="7"/>
      <c r="TWW243" s="7"/>
      <c r="TWX243" s="7"/>
      <c r="TWY243" s="7"/>
      <c r="TWZ243" s="7"/>
      <c r="TXA243" s="7"/>
      <c r="TXB243" s="7"/>
      <c r="TXC243" s="7"/>
      <c r="TXD243" s="7"/>
      <c r="TXE243" s="7"/>
      <c r="TXF243" s="7"/>
      <c r="TXG243" s="7"/>
      <c r="TXH243" s="7"/>
      <c r="TXI243" s="7"/>
      <c r="TXJ243" s="7"/>
      <c r="TXK243" s="7"/>
      <c r="TXL243" s="7"/>
      <c r="TXM243" s="7"/>
      <c r="TXN243" s="7"/>
      <c r="TXO243" s="7"/>
      <c r="TXP243" s="7"/>
      <c r="TXQ243" s="7"/>
      <c r="TXR243" s="7"/>
      <c r="TXS243" s="7"/>
      <c r="TXT243" s="7"/>
      <c r="TXU243" s="7"/>
      <c r="TXV243" s="7"/>
      <c r="TXW243" s="7"/>
      <c r="TXX243" s="7"/>
      <c r="TXY243" s="7"/>
      <c r="TXZ243" s="7"/>
      <c r="TYA243" s="7"/>
      <c r="TYB243" s="7"/>
      <c r="TYC243" s="7"/>
      <c r="TYD243" s="7"/>
      <c r="TYE243" s="7"/>
      <c r="TYF243" s="7"/>
      <c r="TYG243" s="7"/>
      <c r="TYH243" s="7"/>
      <c r="TYI243" s="7"/>
      <c r="TYJ243" s="7"/>
      <c r="TYK243" s="7"/>
      <c r="TYL243" s="7"/>
      <c r="TYM243" s="7"/>
      <c r="TYN243" s="7"/>
      <c r="TYO243" s="7"/>
      <c r="TYP243" s="7"/>
      <c r="TYQ243" s="7"/>
      <c r="TYR243" s="7"/>
      <c r="TYS243" s="7"/>
      <c r="TYT243" s="7"/>
      <c r="TYU243" s="7"/>
      <c r="TYV243" s="7"/>
      <c r="TYW243" s="7"/>
      <c r="TYX243" s="7"/>
      <c r="TYY243" s="7"/>
      <c r="TYZ243" s="7"/>
      <c r="TZA243" s="7"/>
      <c r="TZB243" s="7"/>
      <c r="TZC243" s="7"/>
      <c r="TZD243" s="7"/>
      <c r="TZE243" s="7"/>
      <c r="TZF243" s="7"/>
      <c r="TZG243" s="7"/>
      <c r="TZH243" s="7"/>
      <c r="TZI243" s="7"/>
      <c r="TZJ243" s="7"/>
      <c r="TZK243" s="7"/>
      <c r="TZL243" s="7"/>
      <c r="TZM243" s="7"/>
      <c r="TZN243" s="7"/>
      <c r="TZO243" s="7"/>
      <c r="TZP243" s="7"/>
      <c r="TZQ243" s="7"/>
      <c r="TZR243" s="7"/>
      <c r="TZS243" s="7"/>
      <c r="TZT243" s="7"/>
      <c r="TZU243" s="7"/>
      <c r="TZV243" s="7"/>
      <c r="TZW243" s="7"/>
      <c r="TZX243" s="7"/>
      <c r="TZY243" s="7"/>
      <c r="TZZ243" s="7"/>
      <c r="UAA243" s="7"/>
      <c r="UAB243" s="7"/>
      <c r="UAC243" s="7"/>
      <c r="UAD243" s="7"/>
      <c r="UAE243" s="7"/>
      <c r="UAF243" s="7"/>
      <c r="UAG243" s="7"/>
      <c r="UAH243" s="7"/>
      <c r="UAI243" s="7"/>
      <c r="UAJ243" s="7"/>
      <c r="UAK243" s="7"/>
      <c r="UAL243" s="7"/>
      <c r="UAM243" s="7"/>
      <c r="UAN243" s="7"/>
      <c r="UAO243" s="7"/>
      <c r="UAP243" s="7"/>
      <c r="UAQ243" s="7"/>
      <c r="UAR243" s="7"/>
      <c r="UAS243" s="7"/>
      <c r="UAT243" s="7"/>
      <c r="UAU243" s="7"/>
      <c r="UAV243" s="7"/>
      <c r="UAW243" s="7"/>
      <c r="UAX243" s="7"/>
      <c r="UAY243" s="7"/>
      <c r="UAZ243" s="7"/>
      <c r="UBA243" s="7"/>
      <c r="UBB243" s="7"/>
      <c r="UBC243" s="7"/>
      <c r="UBD243" s="7"/>
      <c r="UBE243" s="7"/>
      <c r="UBF243" s="7"/>
      <c r="UBG243" s="7"/>
      <c r="UBH243" s="7"/>
      <c r="UBI243" s="7"/>
      <c r="UBJ243" s="7"/>
      <c r="UBK243" s="7"/>
      <c r="UBL243" s="7"/>
      <c r="UBM243" s="7"/>
      <c r="UBN243" s="7"/>
      <c r="UBO243" s="7"/>
      <c r="UBP243" s="7"/>
      <c r="UBQ243" s="7"/>
      <c r="UBR243" s="7"/>
      <c r="UBS243" s="7"/>
      <c r="UBT243" s="7"/>
      <c r="UBU243" s="7"/>
      <c r="UBV243" s="7"/>
      <c r="UBW243" s="7"/>
      <c r="UBX243" s="7"/>
      <c r="UBY243" s="7"/>
      <c r="UBZ243" s="7"/>
      <c r="UCA243" s="7"/>
      <c r="UCB243" s="7"/>
      <c r="UCC243" s="7"/>
      <c r="UCD243" s="7"/>
      <c r="UCE243" s="7"/>
      <c r="UCF243" s="7"/>
      <c r="UCG243" s="7"/>
      <c r="UCH243" s="7"/>
      <c r="UCI243" s="7"/>
      <c r="UCJ243" s="7"/>
      <c r="UCK243" s="7"/>
      <c r="UCL243" s="7"/>
      <c r="UCM243" s="7"/>
      <c r="UCN243" s="7"/>
      <c r="UCO243" s="7"/>
      <c r="UCP243" s="7"/>
      <c r="UCQ243" s="7"/>
      <c r="UCR243" s="7"/>
      <c r="UCS243" s="7"/>
      <c r="UCT243" s="7"/>
      <c r="UCU243" s="7"/>
      <c r="UCV243" s="7"/>
      <c r="UCW243" s="7"/>
      <c r="UCX243" s="7"/>
      <c r="UCY243" s="7"/>
      <c r="UCZ243" s="7"/>
      <c r="UDA243" s="7"/>
      <c r="UDB243" s="7"/>
      <c r="UDC243" s="7"/>
      <c r="UDD243" s="7"/>
      <c r="UDE243" s="7"/>
      <c r="UDF243" s="7"/>
      <c r="UDG243" s="7"/>
      <c r="UDH243" s="7"/>
      <c r="UDI243" s="7"/>
      <c r="UDJ243" s="7"/>
      <c r="UDK243" s="7"/>
      <c r="UDL243" s="7"/>
      <c r="UDM243" s="7"/>
      <c r="UDN243" s="7"/>
      <c r="UDO243" s="7"/>
      <c r="UDP243" s="7"/>
      <c r="UDQ243" s="7"/>
      <c r="UDR243" s="7"/>
      <c r="UDS243" s="7"/>
      <c r="UDT243" s="7"/>
      <c r="UDU243" s="7"/>
      <c r="UDV243" s="7"/>
      <c r="UDW243" s="7"/>
      <c r="UDX243" s="7"/>
      <c r="UDY243" s="7"/>
      <c r="UDZ243" s="7"/>
      <c r="UEA243" s="7"/>
      <c r="UEB243" s="7"/>
      <c r="UEC243" s="7"/>
      <c r="UED243" s="7"/>
      <c r="UEE243" s="7"/>
      <c r="UEF243" s="7"/>
      <c r="UEG243" s="7"/>
      <c r="UEH243" s="7"/>
      <c r="UEI243" s="7"/>
      <c r="UEJ243" s="7"/>
      <c r="UEK243" s="7"/>
      <c r="UEL243" s="7"/>
      <c r="UEM243" s="7"/>
      <c r="UEN243" s="7"/>
      <c r="UEO243" s="7"/>
      <c r="UEP243" s="7"/>
      <c r="UEQ243" s="7"/>
      <c r="UER243" s="7"/>
      <c r="UES243" s="7"/>
      <c r="UET243" s="7"/>
      <c r="UEU243" s="7"/>
      <c r="UEV243" s="7"/>
      <c r="UEW243" s="7"/>
      <c r="UEX243" s="7"/>
      <c r="UEY243" s="7"/>
      <c r="UEZ243" s="7"/>
      <c r="UFA243" s="7"/>
      <c r="UFB243" s="7"/>
      <c r="UFC243" s="7"/>
      <c r="UFD243" s="7"/>
      <c r="UFE243" s="7"/>
      <c r="UFF243" s="7"/>
      <c r="UFG243" s="7"/>
      <c r="UFH243" s="7"/>
      <c r="UFI243" s="7"/>
      <c r="UFJ243" s="7"/>
      <c r="UFK243" s="7"/>
      <c r="UFL243" s="7"/>
      <c r="UFM243" s="7"/>
      <c r="UFN243" s="7"/>
      <c r="UFO243" s="7"/>
      <c r="UFP243" s="7"/>
      <c r="UFQ243" s="7"/>
      <c r="UFR243" s="7"/>
      <c r="UFS243" s="7"/>
      <c r="UFT243" s="7"/>
      <c r="UFU243" s="7"/>
      <c r="UFV243" s="7"/>
      <c r="UFW243" s="7"/>
      <c r="UFX243" s="7"/>
      <c r="UFY243" s="7"/>
      <c r="UFZ243" s="7"/>
      <c r="UGA243" s="7"/>
      <c r="UGB243" s="7"/>
      <c r="UGC243" s="7"/>
      <c r="UGD243" s="7"/>
      <c r="UGE243" s="7"/>
      <c r="UGF243" s="7"/>
      <c r="UGG243" s="7"/>
      <c r="UGH243" s="7"/>
      <c r="UGI243" s="7"/>
      <c r="UGJ243" s="7"/>
      <c r="UGK243" s="7"/>
      <c r="UGL243" s="7"/>
      <c r="UGM243" s="7"/>
      <c r="UGN243" s="7"/>
      <c r="UGO243" s="7"/>
      <c r="UGP243" s="7"/>
      <c r="UGQ243" s="7"/>
      <c r="UGR243" s="7"/>
      <c r="UGS243" s="7"/>
      <c r="UGT243" s="7"/>
      <c r="UGU243" s="7"/>
      <c r="UGV243" s="7"/>
      <c r="UGW243" s="7"/>
      <c r="UGX243" s="7"/>
      <c r="UGY243" s="7"/>
      <c r="UGZ243" s="7"/>
      <c r="UHA243" s="7"/>
      <c r="UHB243" s="7"/>
      <c r="UHC243" s="7"/>
      <c r="UHD243" s="7"/>
      <c r="UHE243" s="7"/>
      <c r="UHF243" s="7"/>
      <c r="UHG243" s="7"/>
      <c r="UHH243" s="7"/>
      <c r="UHI243" s="7"/>
      <c r="UHJ243" s="7"/>
      <c r="UHK243" s="7"/>
      <c r="UHL243" s="7"/>
      <c r="UHM243" s="7"/>
      <c r="UHN243" s="7"/>
      <c r="UHO243" s="7"/>
      <c r="UHP243" s="7"/>
      <c r="UHQ243" s="7"/>
      <c r="UHR243" s="7"/>
      <c r="UHS243" s="7"/>
      <c r="UHT243" s="7"/>
      <c r="UHU243" s="7"/>
      <c r="UHV243" s="7"/>
      <c r="UHW243" s="7"/>
      <c r="UHX243" s="7"/>
      <c r="UHY243" s="7"/>
      <c r="UHZ243" s="7"/>
      <c r="UIA243" s="7"/>
      <c r="UIB243" s="7"/>
      <c r="UIC243" s="7"/>
      <c r="UID243" s="7"/>
      <c r="UIE243" s="7"/>
      <c r="UIF243" s="7"/>
      <c r="UIG243" s="7"/>
      <c r="UIH243" s="7"/>
      <c r="UII243" s="7"/>
      <c r="UIJ243" s="7"/>
      <c r="UIK243" s="7"/>
      <c r="UIL243" s="7"/>
      <c r="UIM243" s="7"/>
      <c r="UIN243" s="7"/>
      <c r="UIO243" s="7"/>
      <c r="UIP243" s="7"/>
      <c r="UIQ243" s="7"/>
      <c r="UIR243" s="7"/>
      <c r="UIS243" s="7"/>
      <c r="UIT243" s="7"/>
      <c r="UIU243" s="7"/>
      <c r="UIV243" s="7"/>
      <c r="UIW243" s="7"/>
      <c r="UIX243" s="7"/>
      <c r="UIY243" s="7"/>
      <c r="UIZ243" s="7"/>
      <c r="UJA243" s="7"/>
      <c r="UJB243" s="7"/>
      <c r="UJC243" s="7"/>
      <c r="UJD243" s="7"/>
      <c r="UJE243" s="7"/>
      <c r="UJF243" s="7"/>
      <c r="UJG243" s="7"/>
      <c r="UJH243" s="7"/>
      <c r="UJI243" s="7"/>
      <c r="UJJ243" s="7"/>
      <c r="UJK243" s="7"/>
      <c r="UJL243" s="7"/>
      <c r="UJM243" s="7"/>
      <c r="UJN243" s="7"/>
      <c r="UJO243" s="7"/>
      <c r="UJP243" s="7"/>
      <c r="UJQ243" s="7"/>
      <c r="UJR243" s="7"/>
      <c r="UJS243" s="7"/>
      <c r="UJT243" s="7"/>
      <c r="UJU243" s="7"/>
      <c r="UJV243" s="7"/>
      <c r="UJW243" s="7"/>
      <c r="UJX243" s="7"/>
      <c r="UJY243" s="7"/>
      <c r="UJZ243" s="7"/>
      <c r="UKA243" s="7"/>
      <c r="UKB243" s="7"/>
      <c r="UKC243" s="7"/>
      <c r="UKD243" s="7"/>
      <c r="UKE243" s="7"/>
      <c r="UKF243" s="7"/>
      <c r="UKG243" s="7"/>
      <c r="UKH243" s="7"/>
      <c r="UKI243" s="7"/>
      <c r="UKJ243" s="7"/>
      <c r="UKK243" s="7"/>
      <c r="UKL243" s="7"/>
      <c r="UKM243" s="7"/>
      <c r="UKN243" s="7"/>
      <c r="UKO243" s="7"/>
      <c r="UKP243" s="7"/>
      <c r="UKQ243" s="7"/>
      <c r="UKR243" s="7"/>
      <c r="UKS243" s="7"/>
      <c r="UKT243" s="7"/>
      <c r="UKU243" s="7"/>
      <c r="UKV243" s="7"/>
      <c r="UKW243" s="7"/>
      <c r="UKX243" s="7"/>
      <c r="UKY243" s="7"/>
      <c r="UKZ243" s="7"/>
      <c r="ULA243" s="7"/>
      <c r="ULB243" s="7"/>
      <c r="ULC243" s="7"/>
      <c r="ULD243" s="7"/>
      <c r="ULE243" s="7"/>
      <c r="ULF243" s="7"/>
      <c r="ULG243" s="7"/>
      <c r="ULH243" s="7"/>
      <c r="ULI243" s="7"/>
      <c r="ULJ243" s="7"/>
      <c r="ULK243" s="7"/>
      <c r="ULL243" s="7"/>
      <c r="ULM243" s="7"/>
      <c r="ULN243" s="7"/>
      <c r="ULO243" s="7"/>
      <c r="ULP243" s="7"/>
      <c r="ULQ243" s="7"/>
      <c r="ULR243" s="7"/>
      <c r="ULS243" s="7"/>
      <c r="ULT243" s="7"/>
      <c r="ULU243" s="7"/>
      <c r="ULV243" s="7"/>
      <c r="ULW243" s="7"/>
      <c r="ULX243" s="7"/>
      <c r="ULY243" s="7"/>
      <c r="ULZ243" s="7"/>
      <c r="UMA243" s="7"/>
      <c r="UMB243" s="7"/>
      <c r="UMC243" s="7"/>
      <c r="UMD243" s="7"/>
      <c r="UME243" s="7"/>
      <c r="UMF243" s="7"/>
      <c r="UMG243" s="7"/>
      <c r="UMH243" s="7"/>
      <c r="UMI243" s="7"/>
      <c r="UMJ243" s="7"/>
      <c r="UMK243" s="7"/>
      <c r="UML243" s="7"/>
      <c r="UMM243" s="7"/>
      <c r="UMN243" s="7"/>
      <c r="UMO243" s="7"/>
      <c r="UMP243" s="7"/>
      <c r="UMQ243" s="7"/>
      <c r="UMR243" s="7"/>
      <c r="UMS243" s="7"/>
      <c r="UMT243" s="7"/>
      <c r="UMU243" s="7"/>
      <c r="UMV243" s="7"/>
      <c r="UMW243" s="7"/>
      <c r="UMX243" s="7"/>
      <c r="UMY243" s="7"/>
      <c r="UMZ243" s="7"/>
      <c r="UNA243" s="7"/>
      <c r="UNB243" s="7"/>
      <c r="UNC243" s="7"/>
      <c r="UND243" s="7"/>
      <c r="UNE243" s="7"/>
      <c r="UNF243" s="7"/>
      <c r="UNG243" s="7"/>
      <c r="UNH243" s="7"/>
      <c r="UNI243" s="7"/>
      <c r="UNJ243" s="7"/>
      <c r="UNK243" s="7"/>
      <c r="UNL243" s="7"/>
      <c r="UNM243" s="7"/>
      <c r="UNN243" s="7"/>
      <c r="UNO243" s="7"/>
      <c r="UNP243" s="7"/>
      <c r="UNQ243" s="7"/>
      <c r="UNR243" s="7"/>
      <c r="UNS243" s="7"/>
      <c r="UNT243" s="7"/>
      <c r="UNU243" s="7"/>
      <c r="UNV243" s="7"/>
      <c r="UNW243" s="7"/>
      <c r="UNX243" s="7"/>
      <c r="UNY243" s="7"/>
      <c r="UNZ243" s="7"/>
      <c r="UOA243" s="7"/>
      <c r="UOB243" s="7"/>
      <c r="UOC243" s="7"/>
      <c r="UOD243" s="7"/>
      <c r="UOE243" s="7"/>
      <c r="UOF243" s="7"/>
      <c r="UOG243" s="7"/>
      <c r="UOH243" s="7"/>
      <c r="UOI243" s="7"/>
      <c r="UOJ243" s="7"/>
      <c r="UOK243" s="7"/>
      <c r="UOL243" s="7"/>
      <c r="UOM243" s="7"/>
      <c r="UON243" s="7"/>
      <c r="UOO243" s="7"/>
      <c r="UOP243" s="7"/>
      <c r="UOQ243" s="7"/>
      <c r="UOR243" s="7"/>
      <c r="UOS243" s="7"/>
      <c r="UOT243" s="7"/>
      <c r="UOU243" s="7"/>
      <c r="UOV243" s="7"/>
      <c r="UOW243" s="7"/>
      <c r="UOX243" s="7"/>
      <c r="UOY243" s="7"/>
      <c r="UOZ243" s="7"/>
      <c r="UPA243" s="7"/>
      <c r="UPB243" s="7"/>
      <c r="UPC243" s="7"/>
      <c r="UPD243" s="7"/>
      <c r="UPE243" s="7"/>
      <c r="UPF243" s="7"/>
      <c r="UPG243" s="7"/>
      <c r="UPH243" s="7"/>
      <c r="UPI243" s="7"/>
      <c r="UPJ243" s="7"/>
      <c r="UPK243" s="7"/>
      <c r="UPL243" s="7"/>
      <c r="UPM243" s="7"/>
      <c r="UPN243" s="7"/>
      <c r="UPO243" s="7"/>
      <c r="UPP243" s="7"/>
      <c r="UPQ243" s="7"/>
      <c r="UPR243" s="7"/>
      <c r="UPS243" s="7"/>
      <c r="UPT243" s="7"/>
      <c r="UPU243" s="7"/>
      <c r="UPV243" s="7"/>
      <c r="UPW243" s="7"/>
      <c r="UPX243" s="7"/>
      <c r="UPY243" s="7"/>
      <c r="UPZ243" s="7"/>
      <c r="UQA243" s="7"/>
      <c r="UQB243" s="7"/>
      <c r="UQC243" s="7"/>
      <c r="UQD243" s="7"/>
      <c r="UQE243" s="7"/>
      <c r="UQF243" s="7"/>
      <c r="UQG243" s="7"/>
      <c r="UQH243" s="7"/>
      <c r="UQI243" s="7"/>
      <c r="UQJ243" s="7"/>
      <c r="UQK243" s="7"/>
      <c r="UQL243" s="7"/>
      <c r="UQM243" s="7"/>
      <c r="UQN243" s="7"/>
      <c r="UQO243" s="7"/>
      <c r="UQP243" s="7"/>
      <c r="UQQ243" s="7"/>
      <c r="UQR243" s="7"/>
      <c r="UQS243" s="7"/>
      <c r="UQT243" s="7"/>
      <c r="UQU243" s="7"/>
      <c r="UQV243" s="7"/>
      <c r="UQW243" s="7"/>
      <c r="UQX243" s="7"/>
      <c r="UQY243" s="7"/>
      <c r="UQZ243" s="7"/>
      <c r="URA243" s="7"/>
      <c r="URB243" s="7"/>
      <c r="URC243" s="7"/>
      <c r="URD243" s="7"/>
      <c r="URE243" s="7"/>
      <c r="URF243" s="7"/>
      <c r="URG243" s="7"/>
      <c r="URH243" s="7"/>
      <c r="URI243" s="7"/>
      <c r="URJ243" s="7"/>
      <c r="URK243" s="7"/>
      <c r="URL243" s="7"/>
      <c r="URM243" s="7"/>
      <c r="URN243" s="7"/>
      <c r="URO243" s="7"/>
      <c r="URP243" s="7"/>
      <c r="URQ243" s="7"/>
      <c r="URR243" s="7"/>
      <c r="URS243" s="7"/>
      <c r="URT243" s="7"/>
      <c r="URU243" s="7"/>
      <c r="URV243" s="7"/>
      <c r="URW243" s="7"/>
      <c r="URX243" s="7"/>
      <c r="URY243" s="7"/>
      <c r="URZ243" s="7"/>
      <c r="USA243" s="7"/>
      <c r="USB243" s="7"/>
      <c r="USC243" s="7"/>
      <c r="USD243" s="7"/>
      <c r="USE243" s="7"/>
      <c r="USF243" s="7"/>
      <c r="USG243" s="7"/>
      <c r="USH243" s="7"/>
      <c r="USI243" s="7"/>
      <c r="USJ243" s="7"/>
      <c r="USK243" s="7"/>
      <c r="USL243" s="7"/>
      <c r="USM243" s="7"/>
      <c r="USN243" s="7"/>
      <c r="USO243" s="7"/>
      <c r="USP243" s="7"/>
      <c r="USQ243" s="7"/>
      <c r="USR243" s="7"/>
      <c r="USS243" s="7"/>
      <c r="UST243" s="7"/>
      <c r="USU243" s="7"/>
      <c r="USV243" s="7"/>
      <c r="USW243" s="7"/>
      <c r="USX243" s="7"/>
      <c r="USY243" s="7"/>
      <c r="USZ243" s="7"/>
      <c r="UTA243" s="7"/>
      <c r="UTB243" s="7"/>
      <c r="UTC243" s="7"/>
      <c r="UTD243" s="7"/>
      <c r="UTE243" s="7"/>
      <c r="UTF243" s="7"/>
      <c r="UTG243" s="7"/>
      <c r="UTH243" s="7"/>
      <c r="UTI243" s="7"/>
      <c r="UTJ243" s="7"/>
      <c r="UTK243" s="7"/>
      <c r="UTL243" s="7"/>
      <c r="UTM243" s="7"/>
      <c r="UTN243" s="7"/>
      <c r="UTO243" s="7"/>
      <c r="UTP243" s="7"/>
      <c r="UTQ243" s="7"/>
      <c r="UTR243" s="7"/>
      <c r="UTS243" s="7"/>
      <c r="UTT243" s="7"/>
      <c r="UTU243" s="7"/>
      <c r="UTV243" s="7"/>
      <c r="UTW243" s="7"/>
      <c r="UTX243" s="7"/>
      <c r="UTY243" s="7"/>
      <c r="UTZ243" s="7"/>
      <c r="UUA243" s="7"/>
      <c r="UUB243" s="7"/>
      <c r="UUC243" s="7"/>
      <c r="UUD243" s="7"/>
      <c r="UUE243" s="7"/>
      <c r="UUF243" s="7"/>
      <c r="UUG243" s="7"/>
      <c r="UUH243" s="7"/>
      <c r="UUI243" s="7"/>
      <c r="UUJ243" s="7"/>
      <c r="UUK243" s="7"/>
      <c r="UUL243" s="7"/>
      <c r="UUM243" s="7"/>
      <c r="UUN243" s="7"/>
      <c r="UUO243" s="7"/>
      <c r="UUP243" s="7"/>
      <c r="UUQ243" s="7"/>
      <c r="UUR243" s="7"/>
      <c r="UUS243" s="7"/>
      <c r="UUT243" s="7"/>
      <c r="UUU243" s="7"/>
      <c r="UUV243" s="7"/>
      <c r="UUW243" s="7"/>
      <c r="UUX243" s="7"/>
      <c r="UUY243" s="7"/>
      <c r="UUZ243" s="7"/>
      <c r="UVA243" s="7"/>
      <c r="UVB243" s="7"/>
      <c r="UVC243" s="7"/>
      <c r="UVD243" s="7"/>
      <c r="UVE243" s="7"/>
      <c r="UVF243" s="7"/>
      <c r="UVG243" s="7"/>
      <c r="UVH243" s="7"/>
      <c r="UVI243" s="7"/>
      <c r="UVJ243" s="7"/>
      <c r="UVK243" s="7"/>
      <c r="UVL243" s="7"/>
      <c r="UVM243" s="7"/>
      <c r="UVN243" s="7"/>
      <c r="UVO243" s="7"/>
      <c r="UVP243" s="7"/>
      <c r="UVQ243" s="7"/>
      <c r="UVR243" s="7"/>
      <c r="UVS243" s="7"/>
      <c r="UVT243" s="7"/>
      <c r="UVU243" s="7"/>
      <c r="UVV243" s="7"/>
      <c r="UVW243" s="7"/>
      <c r="UVX243" s="7"/>
      <c r="UVY243" s="7"/>
      <c r="UVZ243" s="7"/>
      <c r="UWA243" s="7"/>
      <c r="UWB243" s="7"/>
      <c r="UWC243" s="7"/>
      <c r="UWD243" s="7"/>
      <c r="UWE243" s="7"/>
      <c r="UWF243" s="7"/>
      <c r="UWG243" s="7"/>
      <c r="UWH243" s="7"/>
      <c r="UWI243" s="7"/>
      <c r="UWJ243" s="7"/>
      <c r="UWK243" s="7"/>
      <c r="UWL243" s="7"/>
      <c r="UWM243" s="7"/>
      <c r="UWN243" s="7"/>
      <c r="UWO243" s="7"/>
      <c r="UWP243" s="7"/>
      <c r="UWQ243" s="7"/>
      <c r="UWR243" s="7"/>
      <c r="UWS243" s="7"/>
      <c r="UWT243" s="7"/>
      <c r="UWU243" s="7"/>
      <c r="UWV243" s="7"/>
      <c r="UWW243" s="7"/>
      <c r="UWX243" s="7"/>
      <c r="UWY243" s="7"/>
      <c r="UWZ243" s="7"/>
      <c r="UXA243" s="7"/>
      <c r="UXB243" s="7"/>
      <c r="UXC243" s="7"/>
      <c r="UXD243" s="7"/>
      <c r="UXE243" s="7"/>
      <c r="UXF243" s="7"/>
      <c r="UXG243" s="7"/>
      <c r="UXH243" s="7"/>
      <c r="UXI243" s="7"/>
      <c r="UXJ243" s="7"/>
      <c r="UXK243" s="7"/>
      <c r="UXL243" s="7"/>
      <c r="UXM243" s="7"/>
      <c r="UXN243" s="7"/>
      <c r="UXO243" s="7"/>
      <c r="UXP243" s="7"/>
      <c r="UXQ243" s="7"/>
      <c r="UXR243" s="7"/>
      <c r="UXS243" s="7"/>
      <c r="UXT243" s="7"/>
      <c r="UXU243" s="7"/>
      <c r="UXV243" s="7"/>
      <c r="UXW243" s="7"/>
      <c r="UXX243" s="7"/>
      <c r="UXY243" s="7"/>
      <c r="UXZ243" s="7"/>
      <c r="UYA243" s="7"/>
      <c r="UYB243" s="7"/>
      <c r="UYC243" s="7"/>
      <c r="UYD243" s="7"/>
      <c r="UYE243" s="7"/>
      <c r="UYF243" s="7"/>
      <c r="UYG243" s="7"/>
      <c r="UYH243" s="7"/>
      <c r="UYI243" s="7"/>
      <c r="UYJ243" s="7"/>
      <c r="UYK243" s="7"/>
      <c r="UYL243" s="7"/>
      <c r="UYM243" s="7"/>
      <c r="UYN243" s="7"/>
      <c r="UYO243" s="7"/>
      <c r="UYP243" s="7"/>
      <c r="UYQ243" s="7"/>
      <c r="UYR243" s="7"/>
      <c r="UYS243" s="7"/>
      <c r="UYT243" s="7"/>
      <c r="UYU243" s="7"/>
      <c r="UYV243" s="7"/>
      <c r="UYW243" s="7"/>
      <c r="UYX243" s="7"/>
      <c r="UYY243" s="7"/>
      <c r="UYZ243" s="7"/>
      <c r="UZA243" s="7"/>
      <c r="UZB243" s="7"/>
      <c r="UZC243" s="7"/>
      <c r="UZD243" s="7"/>
      <c r="UZE243" s="7"/>
      <c r="UZF243" s="7"/>
      <c r="UZG243" s="7"/>
      <c r="UZH243" s="7"/>
      <c r="UZI243" s="7"/>
      <c r="UZJ243" s="7"/>
      <c r="UZK243" s="7"/>
      <c r="UZL243" s="7"/>
      <c r="UZM243" s="7"/>
      <c r="UZN243" s="7"/>
      <c r="UZO243" s="7"/>
      <c r="UZP243" s="7"/>
      <c r="UZQ243" s="7"/>
      <c r="UZR243" s="7"/>
      <c r="UZS243" s="7"/>
      <c r="UZT243" s="7"/>
      <c r="UZU243" s="7"/>
      <c r="UZV243" s="7"/>
      <c r="UZW243" s="7"/>
      <c r="UZX243" s="7"/>
      <c r="UZY243" s="7"/>
      <c r="UZZ243" s="7"/>
      <c r="VAA243" s="7"/>
      <c r="VAB243" s="7"/>
      <c r="VAC243" s="7"/>
      <c r="VAD243" s="7"/>
      <c r="VAE243" s="7"/>
      <c r="VAF243" s="7"/>
      <c r="VAG243" s="7"/>
      <c r="VAH243" s="7"/>
      <c r="VAI243" s="7"/>
      <c r="VAJ243" s="7"/>
      <c r="VAK243" s="7"/>
      <c r="VAL243" s="7"/>
      <c r="VAM243" s="7"/>
      <c r="VAN243" s="7"/>
      <c r="VAO243" s="7"/>
      <c r="VAP243" s="7"/>
      <c r="VAQ243" s="7"/>
      <c r="VAR243" s="7"/>
      <c r="VAS243" s="7"/>
      <c r="VAT243" s="7"/>
      <c r="VAU243" s="7"/>
      <c r="VAV243" s="7"/>
      <c r="VAW243" s="7"/>
      <c r="VAX243" s="7"/>
      <c r="VAY243" s="7"/>
      <c r="VAZ243" s="7"/>
      <c r="VBA243" s="7"/>
      <c r="VBB243" s="7"/>
      <c r="VBC243" s="7"/>
      <c r="VBD243" s="7"/>
      <c r="VBE243" s="7"/>
      <c r="VBF243" s="7"/>
      <c r="VBG243" s="7"/>
      <c r="VBH243" s="7"/>
      <c r="VBI243" s="7"/>
      <c r="VBJ243" s="7"/>
      <c r="VBK243" s="7"/>
      <c r="VBL243" s="7"/>
      <c r="VBM243" s="7"/>
      <c r="VBN243" s="7"/>
      <c r="VBO243" s="7"/>
      <c r="VBP243" s="7"/>
      <c r="VBQ243" s="7"/>
      <c r="VBR243" s="7"/>
      <c r="VBS243" s="7"/>
      <c r="VBT243" s="7"/>
      <c r="VBU243" s="7"/>
      <c r="VBV243" s="7"/>
      <c r="VBW243" s="7"/>
      <c r="VBX243" s="7"/>
      <c r="VBY243" s="7"/>
      <c r="VBZ243" s="7"/>
      <c r="VCA243" s="7"/>
      <c r="VCB243" s="7"/>
      <c r="VCC243" s="7"/>
      <c r="VCD243" s="7"/>
      <c r="VCE243" s="7"/>
      <c r="VCF243" s="7"/>
      <c r="VCG243" s="7"/>
      <c r="VCH243" s="7"/>
      <c r="VCI243" s="7"/>
      <c r="VCJ243" s="7"/>
      <c r="VCK243" s="7"/>
      <c r="VCL243" s="7"/>
      <c r="VCM243" s="7"/>
      <c r="VCN243" s="7"/>
      <c r="VCO243" s="7"/>
      <c r="VCP243" s="7"/>
      <c r="VCQ243" s="7"/>
      <c r="VCR243" s="7"/>
      <c r="VCS243" s="7"/>
      <c r="VCT243" s="7"/>
      <c r="VCU243" s="7"/>
      <c r="VCV243" s="7"/>
      <c r="VCW243" s="7"/>
      <c r="VCX243" s="7"/>
      <c r="VCY243" s="7"/>
      <c r="VCZ243" s="7"/>
      <c r="VDA243" s="7"/>
      <c r="VDB243" s="7"/>
      <c r="VDC243" s="7"/>
      <c r="VDD243" s="7"/>
      <c r="VDE243" s="7"/>
      <c r="VDF243" s="7"/>
      <c r="VDG243" s="7"/>
      <c r="VDH243" s="7"/>
      <c r="VDI243" s="7"/>
      <c r="VDJ243" s="7"/>
      <c r="VDK243" s="7"/>
      <c r="VDL243" s="7"/>
      <c r="VDM243" s="7"/>
      <c r="VDN243" s="7"/>
      <c r="VDO243" s="7"/>
      <c r="VDP243" s="7"/>
      <c r="VDQ243" s="7"/>
      <c r="VDR243" s="7"/>
      <c r="VDS243" s="7"/>
      <c r="VDT243" s="7"/>
      <c r="VDU243" s="7"/>
      <c r="VDV243" s="7"/>
      <c r="VDW243" s="7"/>
      <c r="VDX243" s="7"/>
      <c r="VDY243" s="7"/>
      <c r="VDZ243" s="7"/>
      <c r="VEA243" s="7"/>
      <c r="VEB243" s="7"/>
      <c r="VEC243" s="7"/>
      <c r="VED243" s="7"/>
      <c r="VEE243" s="7"/>
      <c r="VEF243" s="7"/>
      <c r="VEG243" s="7"/>
      <c r="VEH243" s="7"/>
      <c r="VEI243" s="7"/>
      <c r="VEJ243" s="7"/>
      <c r="VEK243" s="7"/>
      <c r="VEL243" s="7"/>
      <c r="VEM243" s="7"/>
      <c r="VEN243" s="7"/>
      <c r="VEO243" s="7"/>
      <c r="VEP243" s="7"/>
      <c r="VEQ243" s="7"/>
      <c r="VER243" s="7"/>
      <c r="VES243" s="7"/>
      <c r="VET243" s="7"/>
      <c r="VEU243" s="7"/>
      <c r="VEV243" s="7"/>
      <c r="VEW243" s="7"/>
      <c r="VEX243" s="7"/>
      <c r="VEY243" s="7"/>
      <c r="VEZ243" s="7"/>
      <c r="VFA243" s="7"/>
      <c r="VFB243" s="7"/>
      <c r="VFC243" s="7"/>
      <c r="VFD243" s="7"/>
      <c r="VFE243" s="7"/>
      <c r="VFF243" s="7"/>
      <c r="VFG243" s="7"/>
      <c r="VFH243" s="7"/>
      <c r="VFI243" s="7"/>
      <c r="VFJ243" s="7"/>
      <c r="VFK243" s="7"/>
      <c r="VFL243" s="7"/>
      <c r="VFM243" s="7"/>
      <c r="VFN243" s="7"/>
      <c r="VFO243" s="7"/>
      <c r="VFP243" s="7"/>
      <c r="VFQ243" s="7"/>
      <c r="VFR243" s="7"/>
      <c r="VFS243" s="7"/>
      <c r="VFT243" s="7"/>
      <c r="VFU243" s="7"/>
      <c r="VFV243" s="7"/>
      <c r="VFW243" s="7"/>
      <c r="VFX243" s="7"/>
      <c r="VFY243" s="7"/>
      <c r="VFZ243" s="7"/>
      <c r="VGA243" s="7"/>
      <c r="VGB243" s="7"/>
      <c r="VGC243" s="7"/>
      <c r="VGD243" s="7"/>
      <c r="VGE243" s="7"/>
      <c r="VGF243" s="7"/>
      <c r="VGG243" s="7"/>
      <c r="VGH243" s="7"/>
      <c r="VGI243" s="7"/>
      <c r="VGJ243" s="7"/>
      <c r="VGK243" s="7"/>
      <c r="VGL243" s="7"/>
      <c r="VGM243" s="7"/>
      <c r="VGN243" s="7"/>
      <c r="VGO243" s="7"/>
      <c r="VGP243" s="7"/>
      <c r="VGQ243" s="7"/>
      <c r="VGR243" s="7"/>
      <c r="VGS243" s="7"/>
      <c r="VGT243" s="7"/>
      <c r="VGU243" s="7"/>
      <c r="VGV243" s="7"/>
      <c r="VGW243" s="7"/>
      <c r="VGX243" s="7"/>
      <c r="VGY243" s="7"/>
      <c r="VGZ243" s="7"/>
      <c r="VHA243" s="7"/>
      <c r="VHB243" s="7"/>
      <c r="VHC243" s="7"/>
      <c r="VHD243" s="7"/>
      <c r="VHE243" s="7"/>
      <c r="VHF243" s="7"/>
      <c r="VHG243" s="7"/>
      <c r="VHH243" s="7"/>
      <c r="VHI243" s="7"/>
      <c r="VHJ243" s="7"/>
      <c r="VHK243" s="7"/>
      <c r="VHL243" s="7"/>
      <c r="VHM243" s="7"/>
      <c r="VHN243" s="7"/>
      <c r="VHO243" s="7"/>
      <c r="VHP243" s="7"/>
      <c r="VHQ243" s="7"/>
      <c r="VHR243" s="7"/>
      <c r="VHS243" s="7"/>
      <c r="VHT243" s="7"/>
      <c r="VHU243" s="7"/>
      <c r="VHV243" s="7"/>
      <c r="VHW243" s="7"/>
      <c r="VHX243" s="7"/>
      <c r="VHY243" s="7"/>
      <c r="VHZ243" s="7"/>
      <c r="VIA243" s="7"/>
      <c r="VIB243" s="7"/>
      <c r="VIC243" s="7"/>
      <c r="VID243" s="7"/>
      <c r="VIE243" s="7"/>
      <c r="VIF243" s="7"/>
      <c r="VIG243" s="7"/>
      <c r="VIH243" s="7"/>
      <c r="VII243" s="7"/>
      <c r="VIJ243" s="7"/>
      <c r="VIK243" s="7"/>
      <c r="VIL243" s="7"/>
      <c r="VIM243" s="7"/>
      <c r="VIN243" s="7"/>
      <c r="VIO243" s="7"/>
      <c r="VIP243" s="7"/>
      <c r="VIQ243" s="7"/>
      <c r="VIR243" s="7"/>
      <c r="VIS243" s="7"/>
      <c r="VIT243" s="7"/>
      <c r="VIU243" s="7"/>
      <c r="VIV243" s="7"/>
      <c r="VIW243" s="7"/>
      <c r="VIX243" s="7"/>
      <c r="VIY243" s="7"/>
      <c r="VIZ243" s="7"/>
      <c r="VJA243" s="7"/>
      <c r="VJB243" s="7"/>
      <c r="VJC243" s="7"/>
      <c r="VJD243" s="7"/>
      <c r="VJE243" s="7"/>
      <c r="VJF243" s="7"/>
      <c r="VJG243" s="7"/>
      <c r="VJH243" s="7"/>
      <c r="VJI243" s="7"/>
      <c r="VJJ243" s="7"/>
      <c r="VJK243" s="7"/>
      <c r="VJL243" s="7"/>
      <c r="VJM243" s="7"/>
      <c r="VJN243" s="7"/>
      <c r="VJO243" s="7"/>
      <c r="VJP243" s="7"/>
      <c r="VJQ243" s="7"/>
      <c r="VJR243" s="7"/>
      <c r="VJS243" s="7"/>
      <c r="VJT243" s="7"/>
      <c r="VJU243" s="7"/>
      <c r="VJV243" s="7"/>
      <c r="VJW243" s="7"/>
      <c r="VJX243" s="7"/>
      <c r="VJY243" s="7"/>
      <c r="VJZ243" s="7"/>
      <c r="VKA243" s="7"/>
      <c r="VKB243" s="7"/>
      <c r="VKC243" s="7"/>
      <c r="VKD243" s="7"/>
      <c r="VKE243" s="7"/>
      <c r="VKF243" s="7"/>
      <c r="VKG243" s="7"/>
      <c r="VKH243" s="7"/>
      <c r="VKI243" s="7"/>
      <c r="VKJ243" s="7"/>
      <c r="VKK243" s="7"/>
      <c r="VKL243" s="7"/>
      <c r="VKM243" s="7"/>
      <c r="VKN243" s="7"/>
      <c r="VKO243" s="7"/>
      <c r="VKP243" s="7"/>
      <c r="VKQ243" s="7"/>
      <c r="VKR243" s="7"/>
      <c r="VKS243" s="7"/>
      <c r="VKT243" s="7"/>
      <c r="VKU243" s="7"/>
      <c r="VKV243" s="7"/>
      <c r="VKW243" s="7"/>
      <c r="VKX243" s="7"/>
      <c r="VKY243" s="7"/>
      <c r="VKZ243" s="7"/>
      <c r="VLA243" s="7"/>
      <c r="VLB243" s="7"/>
      <c r="VLC243" s="7"/>
      <c r="VLD243" s="7"/>
      <c r="VLE243" s="7"/>
      <c r="VLF243" s="7"/>
      <c r="VLG243" s="7"/>
      <c r="VLH243" s="7"/>
      <c r="VLI243" s="7"/>
      <c r="VLJ243" s="7"/>
      <c r="VLK243" s="7"/>
      <c r="VLL243" s="7"/>
      <c r="VLM243" s="7"/>
      <c r="VLN243" s="7"/>
      <c r="VLO243" s="7"/>
      <c r="VLP243" s="7"/>
      <c r="VLQ243" s="7"/>
      <c r="VLR243" s="7"/>
      <c r="VLS243" s="7"/>
      <c r="VLT243" s="7"/>
      <c r="VLU243" s="7"/>
      <c r="VLV243" s="7"/>
      <c r="VLW243" s="7"/>
      <c r="VLX243" s="7"/>
      <c r="VLY243" s="7"/>
      <c r="VLZ243" s="7"/>
      <c r="VMA243" s="7"/>
      <c r="VMB243" s="7"/>
      <c r="VMC243" s="7"/>
      <c r="VMD243" s="7"/>
      <c r="VME243" s="7"/>
      <c r="VMF243" s="7"/>
      <c r="VMG243" s="7"/>
      <c r="VMH243" s="7"/>
      <c r="VMI243" s="7"/>
      <c r="VMJ243" s="7"/>
      <c r="VMK243" s="7"/>
      <c r="VML243" s="7"/>
      <c r="VMM243" s="7"/>
      <c r="VMN243" s="7"/>
      <c r="VMO243" s="7"/>
      <c r="VMP243" s="7"/>
      <c r="VMQ243" s="7"/>
      <c r="VMR243" s="7"/>
      <c r="VMS243" s="7"/>
      <c r="VMT243" s="7"/>
      <c r="VMU243" s="7"/>
      <c r="VMV243" s="7"/>
      <c r="VMW243" s="7"/>
      <c r="VMX243" s="7"/>
      <c r="VMY243" s="7"/>
      <c r="VMZ243" s="7"/>
      <c r="VNA243" s="7"/>
      <c r="VNB243" s="7"/>
      <c r="VNC243" s="7"/>
      <c r="VND243" s="7"/>
      <c r="VNE243" s="7"/>
      <c r="VNF243" s="7"/>
      <c r="VNG243" s="7"/>
      <c r="VNH243" s="7"/>
      <c r="VNI243" s="7"/>
      <c r="VNJ243" s="7"/>
      <c r="VNK243" s="7"/>
      <c r="VNL243" s="7"/>
      <c r="VNM243" s="7"/>
      <c r="VNN243" s="7"/>
      <c r="VNO243" s="7"/>
      <c r="VNP243" s="7"/>
      <c r="VNQ243" s="7"/>
      <c r="VNR243" s="7"/>
      <c r="VNS243" s="7"/>
      <c r="VNT243" s="7"/>
      <c r="VNU243" s="7"/>
      <c r="VNV243" s="7"/>
      <c r="VNW243" s="7"/>
      <c r="VNX243" s="7"/>
      <c r="VNY243" s="7"/>
      <c r="VNZ243" s="7"/>
      <c r="VOA243" s="7"/>
      <c r="VOB243" s="7"/>
      <c r="VOC243" s="7"/>
      <c r="VOD243" s="7"/>
      <c r="VOE243" s="7"/>
      <c r="VOF243" s="7"/>
      <c r="VOG243" s="7"/>
      <c r="VOH243" s="7"/>
      <c r="VOI243" s="7"/>
      <c r="VOJ243" s="7"/>
      <c r="VOK243" s="7"/>
      <c r="VOL243" s="7"/>
      <c r="VOM243" s="7"/>
      <c r="VON243" s="7"/>
      <c r="VOO243" s="7"/>
      <c r="VOP243" s="7"/>
      <c r="VOQ243" s="7"/>
      <c r="VOR243" s="7"/>
      <c r="VOS243" s="7"/>
      <c r="VOT243" s="7"/>
      <c r="VOU243" s="7"/>
      <c r="VOV243" s="7"/>
      <c r="VOW243" s="7"/>
      <c r="VOX243" s="7"/>
      <c r="VOY243" s="7"/>
      <c r="VOZ243" s="7"/>
      <c r="VPA243" s="7"/>
      <c r="VPB243" s="7"/>
      <c r="VPC243" s="7"/>
      <c r="VPD243" s="7"/>
      <c r="VPE243" s="7"/>
      <c r="VPF243" s="7"/>
      <c r="VPG243" s="7"/>
      <c r="VPH243" s="7"/>
      <c r="VPI243" s="7"/>
      <c r="VPJ243" s="7"/>
      <c r="VPK243" s="7"/>
      <c r="VPL243" s="7"/>
      <c r="VPM243" s="7"/>
      <c r="VPN243" s="7"/>
      <c r="VPO243" s="7"/>
      <c r="VPP243" s="7"/>
      <c r="VPQ243" s="7"/>
      <c r="VPR243" s="7"/>
      <c r="VPS243" s="7"/>
      <c r="VPT243" s="7"/>
      <c r="VPU243" s="7"/>
      <c r="VPV243" s="7"/>
      <c r="VPW243" s="7"/>
      <c r="VPX243" s="7"/>
      <c r="VPY243" s="7"/>
      <c r="VPZ243" s="7"/>
      <c r="VQA243" s="7"/>
      <c r="VQB243" s="7"/>
      <c r="VQC243" s="7"/>
      <c r="VQD243" s="7"/>
      <c r="VQE243" s="7"/>
      <c r="VQF243" s="7"/>
      <c r="VQG243" s="7"/>
      <c r="VQH243" s="7"/>
      <c r="VQI243" s="7"/>
      <c r="VQJ243" s="7"/>
      <c r="VQK243" s="7"/>
      <c r="VQL243" s="7"/>
      <c r="VQM243" s="7"/>
      <c r="VQN243" s="7"/>
      <c r="VQO243" s="7"/>
      <c r="VQP243" s="7"/>
      <c r="VQQ243" s="7"/>
      <c r="VQR243" s="7"/>
      <c r="VQS243" s="7"/>
      <c r="VQT243" s="7"/>
      <c r="VQU243" s="7"/>
      <c r="VQV243" s="7"/>
      <c r="VQW243" s="7"/>
      <c r="VQX243" s="7"/>
      <c r="VQY243" s="7"/>
      <c r="VQZ243" s="7"/>
      <c r="VRA243" s="7"/>
      <c r="VRB243" s="7"/>
      <c r="VRC243" s="7"/>
      <c r="VRD243" s="7"/>
      <c r="VRE243" s="7"/>
      <c r="VRF243" s="7"/>
      <c r="VRG243" s="7"/>
      <c r="VRH243" s="7"/>
      <c r="VRI243" s="7"/>
      <c r="VRJ243" s="7"/>
      <c r="VRK243" s="7"/>
      <c r="VRL243" s="7"/>
      <c r="VRM243" s="7"/>
      <c r="VRN243" s="7"/>
      <c r="VRO243" s="7"/>
      <c r="VRP243" s="7"/>
      <c r="VRQ243" s="7"/>
      <c r="VRR243" s="7"/>
      <c r="VRS243" s="7"/>
      <c r="VRT243" s="7"/>
      <c r="VRU243" s="7"/>
      <c r="VRV243" s="7"/>
      <c r="VRW243" s="7"/>
      <c r="VRX243" s="7"/>
      <c r="VRY243" s="7"/>
      <c r="VRZ243" s="7"/>
      <c r="VSA243" s="7"/>
      <c r="VSB243" s="7"/>
      <c r="VSC243" s="7"/>
      <c r="VSD243" s="7"/>
      <c r="VSE243" s="7"/>
      <c r="VSF243" s="7"/>
      <c r="VSG243" s="7"/>
      <c r="VSH243" s="7"/>
      <c r="VSI243" s="7"/>
      <c r="VSJ243" s="7"/>
      <c r="VSK243" s="7"/>
      <c r="VSL243" s="7"/>
      <c r="VSM243" s="7"/>
      <c r="VSN243" s="7"/>
      <c r="VSO243" s="7"/>
      <c r="VSP243" s="7"/>
      <c r="VSQ243" s="7"/>
      <c r="VSR243" s="7"/>
      <c r="VSS243" s="7"/>
      <c r="VST243" s="7"/>
      <c r="VSU243" s="7"/>
      <c r="VSV243" s="7"/>
      <c r="VSW243" s="7"/>
      <c r="VSX243" s="7"/>
      <c r="VSY243" s="7"/>
      <c r="VSZ243" s="7"/>
      <c r="VTA243" s="7"/>
      <c r="VTB243" s="7"/>
      <c r="VTC243" s="7"/>
      <c r="VTD243" s="7"/>
      <c r="VTE243" s="7"/>
      <c r="VTF243" s="7"/>
      <c r="VTG243" s="7"/>
      <c r="VTH243" s="7"/>
      <c r="VTI243" s="7"/>
      <c r="VTJ243" s="7"/>
      <c r="VTK243" s="7"/>
      <c r="VTL243" s="7"/>
      <c r="VTM243" s="7"/>
      <c r="VTN243" s="7"/>
      <c r="VTO243" s="7"/>
      <c r="VTP243" s="7"/>
      <c r="VTQ243" s="7"/>
      <c r="VTR243" s="7"/>
      <c r="VTS243" s="7"/>
      <c r="VTT243" s="7"/>
      <c r="VTU243" s="7"/>
      <c r="VTV243" s="7"/>
      <c r="VTW243" s="7"/>
      <c r="VTX243" s="7"/>
      <c r="VTY243" s="7"/>
      <c r="VTZ243" s="7"/>
      <c r="VUA243" s="7"/>
      <c r="VUB243" s="7"/>
      <c r="VUC243" s="7"/>
      <c r="VUD243" s="7"/>
      <c r="VUE243" s="7"/>
      <c r="VUF243" s="7"/>
      <c r="VUG243" s="7"/>
      <c r="VUH243" s="7"/>
      <c r="VUI243" s="7"/>
      <c r="VUJ243" s="7"/>
      <c r="VUK243" s="7"/>
      <c r="VUL243" s="7"/>
      <c r="VUM243" s="7"/>
      <c r="VUN243" s="7"/>
      <c r="VUO243" s="7"/>
      <c r="VUP243" s="7"/>
      <c r="VUQ243" s="7"/>
      <c r="VUR243" s="7"/>
      <c r="VUS243" s="7"/>
      <c r="VUT243" s="7"/>
      <c r="VUU243" s="7"/>
      <c r="VUV243" s="7"/>
      <c r="VUW243" s="7"/>
      <c r="VUX243" s="7"/>
      <c r="VUY243" s="7"/>
      <c r="VUZ243" s="7"/>
      <c r="VVA243" s="7"/>
      <c r="VVB243" s="7"/>
      <c r="VVC243" s="7"/>
      <c r="VVD243" s="7"/>
      <c r="VVE243" s="7"/>
      <c r="VVF243" s="7"/>
      <c r="VVG243" s="7"/>
      <c r="VVH243" s="7"/>
      <c r="VVI243" s="7"/>
      <c r="VVJ243" s="7"/>
      <c r="VVK243" s="7"/>
      <c r="VVL243" s="7"/>
      <c r="VVM243" s="7"/>
      <c r="VVN243" s="7"/>
      <c r="VVO243" s="7"/>
      <c r="VVP243" s="7"/>
      <c r="VVQ243" s="7"/>
      <c r="VVR243" s="7"/>
      <c r="VVS243" s="7"/>
      <c r="VVT243" s="7"/>
      <c r="VVU243" s="7"/>
      <c r="VVV243" s="7"/>
      <c r="VVW243" s="7"/>
      <c r="VVX243" s="7"/>
      <c r="VVY243" s="7"/>
      <c r="VVZ243" s="7"/>
      <c r="VWA243" s="7"/>
      <c r="VWB243" s="7"/>
      <c r="VWC243" s="7"/>
      <c r="VWD243" s="7"/>
      <c r="VWE243" s="7"/>
      <c r="VWF243" s="7"/>
      <c r="VWG243" s="7"/>
      <c r="VWH243" s="7"/>
      <c r="VWI243" s="7"/>
      <c r="VWJ243" s="7"/>
      <c r="VWK243" s="7"/>
      <c r="VWL243" s="7"/>
      <c r="VWM243" s="7"/>
      <c r="VWN243" s="7"/>
      <c r="VWO243" s="7"/>
      <c r="VWP243" s="7"/>
      <c r="VWQ243" s="7"/>
      <c r="VWR243" s="7"/>
      <c r="VWS243" s="7"/>
      <c r="VWT243" s="7"/>
      <c r="VWU243" s="7"/>
      <c r="VWV243" s="7"/>
      <c r="VWW243" s="7"/>
      <c r="VWX243" s="7"/>
      <c r="VWY243" s="7"/>
      <c r="VWZ243" s="7"/>
      <c r="VXA243" s="7"/>
      <c r="VXB243" s="7"/>
      <c r="VXC243" s="7"/>
      <c r="VXD243" s="7"/>
      <c r="VXE243" s="7"/>
      <c r="VXF243" s="7"/>
      <c r="VXG243" s="7"/>
      <c r="VXH243" s="7"/>
      <c r="VXI243" s="7"/>
      <c r="VXJ243" s="7"/>
      <c r="VXK243" s="7"/>
      <c r="VXL243" s="7"/>
      <c r="VXM243" s="7"/>
      <c r="VXN243" s="7"/>
      <c r="VXO243" s="7"/>
      <c r="VXP243" s="7"/>
      <c r="VXQ243" s="7"/>
      <c r="VXR243" s="7"/>
      <c r="VXS243" s="7"/>
      <c r="VXT243" s="7"/>
      <c r="VXU243" s="7"/>
      <c r="VXV243" s="7"/>
      <c r="VXW243" s="7"/>
      <c r="VXX243" s="7"/>
      <c r="VXY243" s="7"/>
      <c r="VXZ243" s="7"/>
      <c r="VYA243" s="7"/>
      <c r="VYB243" s="7"/>
      <c r="VYC243" s="7"/>
      <c r="VYD243" s="7"/>
      <c r="VYE243" s="7"/>
      <c r="VYF243" s="7"/>
      <c r="VYG243" s="7"/>
      <c r="VYH243" s="7"/>
      <c r="VYI243" s="7"/>
      <c r="VYJ243" s="7"/>
      <c r="VYK243" s="7"/>
      <c r="VYL243" s="7"/>
      <c r="VYM243" s="7"/>
      <c r="VYN243" s="7"/>
      <c r="VYO243" s="7"/>
      <c r="VYP243" s="7"/>
      <c r="VYQ243" s="7"/>
      <c r="VYR243" s="7"/>
      <c r="VYS243" s="7"/>
      <c r="VYT243" s="7"/>
      <c r="VYU243" s="7"/>
      <c r="VYV243" s="7"/>
      <c r="VYW243" s="7"/>
      <c r="VYX243" s="7"/>
      <c r="VYY243" s="7"/>
      <c r="VYZ243" s="7"/>
      <c r="VZA243" s="7"/>
      <c r="VZB243" s="7"/>
      <c r="VZC243" s="7"/>
      <c r="VZD243" s="7"/>
      <c r="VZE243" s="7"/>
      <c r="VZF243" s="7"/>
      <c r="VZG243" s="7"/>
      <c r="VZH243" s="7"/>
      <c r="VZI243" s="7"/>
      <c r="VZJ243" s="7"/>
      <c r="VZK243" s="7"/>
      <c r="VZL243" s="7"/>
      <c r="VZM243" s="7"/>
      <c r="VZN243" s="7"/>
      <c r="VZO243" s="7"/>
      <c r="VZP243" s="7"/>
      <c r="VZQ243" s="7"/>
      <c r="VZR243" s="7"/>
      <c r="VZS243" s="7"/>
      <c r="VZT243" s="7"/>
      <c r="VZU243" s="7"/>
      <c r="VZV243" s="7"/>
      <c r="VZW243" s="7"/>
      <c r="VZX243" s="7"/>
      <c r="VZY243" s="7"/>
      <c r="VZZ243" s="7"/>
      <c r="WAA243" s="7"/>
      <c r="WAB243" s="7"/>
      <c r="WAC243" s="7"/>
      <c r="WAD243" s="7"/>
      <c r="WAE243" s="7"/>
      <c r="WAF243" s="7"/>
      <c r="WAG243" s="7"/>
      <c r="WAH243" s="7"/>
      <c r="WAI243" s="7"/>
      <c r="WAJ243" s="7"/>
      <c r="WAK243" s="7"/>
      <c r="WAL243" s="7"/>
      <c r="WAM243" s="7"/>
      <c r="WAN243" s="7"/>
      <c r="WAO243" s="7"/>
      <c r="WAP243" s="7"/>
      <c r="WAQ243" s="7"/>
      <c r="WAR243" s="7"/>
      <c r="WAS243" s="7"/>
      <c r="WAT243" s="7"/>
      <c r="WAU243" s="7"/>
      <c r="WAV243" s="7"/>
      <c r="WAW243" s="7"/>
      <c r="WAX243" s="7"/>
      <c r="WAY243" s="7"/>
      <c r="WAZ243" s="7"/>
      <c r="WBA243" s="7"/>
      <c r="WBB243" s="7"/>
      <c r="WBC243" s="7"/>
      <c r="WBD243" s="7"/>
      <c r="WBE243" s="7"/>
      <c r="WBF243" s="7"/>
      <c r="WBG243" s="7"/>
      <c r="WBH243" s="7"/>
      <c r="WBI243" s="7"/>
      <c r="WBJ243" s="7"/>
      <c r="WBK243" s="7"/>
      <c r="WBL243" s="7"/>
      <c r="WBM243" s="7"/>
      <c r="WBN243" s="7"/>
      <c r="WBO243" s="7"/>
      <c r="WBP243" s="7"/>
      <c r="WBQ243" s="7"/>
      <c r="WBR243" s="7"/>
      <c r="WBS243" s="7"/>
      <c r="WBT243" s="7"/>
      <c r="WBU243" s="7"/>
      <c r="WBV243" s="7"/>
      <c r="WBW243" s="7"/>
      <c r="WBX243" s="7"/>
      <c r="WBY243" s="7"/>
      <c r="WBZ243" s="7"/>
      <c r="WCA243" s="7"/>
      <c r="WCB243" s="7"/>
      <c r="WCC243" s="7"/>
      <c r="WCD243" s="7"/>
      <c r="WCE243" s="7"/>
      <c r="WCF243" s="7"/>
      <c r="WCG243" s="7"/>
      <c r="WCH243" s="7"/>
      <c r="WCI243" s="7"/>
      <c r="WCJ243" s="7"/>
      <c r="WCK243" s="7"/>
      <c r="WCL243" s="7"/>
      <c r="WCM243" s="7"/>
      <c r="WCN243" s="7"/>
      <c r="WCO243" s="7"/>
      <c r="WCP243" s="7"/>
      <c r="WCQ243" s="7"/>
      <c r="WCR243" s="7"/>
      <c r="WCS243" s="7"/>
      <c r="WCT243" s="7"/>
      <c r="WCU243" s="7"/>
      <c r="WCV243" s="7"/>
      <c r="WCW243" s="7"/>
      <c r="WCX243" s="7"/>
      <c r="WCY243" s="7"/>
      <c r="WCZ243" s="7"/>
      <c r="WDA243" s="7"/>
      <c r="WDB243" s="7"/>
      <c r="WDC243" s="7"/>
      <c r="WDD243" s="7"/>
      <c r="WDE243" s="7"/>
      <c r="WDF243" s="7"/>
      <c r="WDG243" s="7"/>
      <c r="WDH243" s="7"/>
      <c r="WDI243" s="7"/>
      <c r="WDJ243" s="7"/>
      <c r="WDK243" s="7"/>
      <c r="WDL243" s="7"/>
      <c r="WDM243" s="7"/>
      <c r="WDN243" s="7"/>
      <c r="WDO243" s="7"/>
      <c r="WDP243" s="7"/>
      <c r="WDQ243" s="7"/>
      <c r="WDR243" s="7"/>
      <c r="WDS243" s="7"/>
      <c r="WDT243" s="7"/>
      <c r="WDU243" s="7"/>
      <c r="WDV243" s="7"/>
      <c r="WDW243" s="7"/>
      <c r="WDX243" s="7"/>
      <c r="WDY243" s="7"/>
      <c r="WDZ243" s="7"/>
      <c r="WEA243" s="7"/>
      <c r="WEB243" s="7"/>
      <c r="WEC243" s="7"/>
      <c r="WED243" s="7"/>
      <c r="WEE243" s="7"/>
      <c r="WEF243" s="7"/>
      <c r="WEG243" s="7"/>
      <c r="WEH243" s="7"/>
      <c r="WEI243" s="7"/>
      <c r="WEJ243" s="7"/>
      <c r="WEK243" s="7"/>
      <c r="WEL243" s="7"/>
      <c r="WEM243" s="7"/>
      <c r="WEN243" s="7"/>
      <c r="WEO243" s="7"/>
      <c r="WEP243" s="7"/>
      <c r="WEQ243" s="7"/>
      <c r="WER243" s="7"/>
      <c r="WES243" s="7"/>
      <c r="WET243" s="7"/>
      <c r="WEU243" s="7"/>
      <c r="WEV243" s="7"/>
      <c r="WEW243" s="7"/>
      <c r="WEX243" s="7"/>
      <c r="WEY243" s="7"/>
      <c r="WEZ243" s="7"/>
      <c r="WFA243" s="7"/>
      <c r="WFB243" s="7"/>
      <c r="WFC243" s="7"/>
      <c r="WFD243" s="7"/>
      <c r="WFE243" s="7"/>
      <c r="WFF243" s="7"/>
      <c r="WFG243" s="7"/>
      <c r="WFH243" s="7"/>
      <c r="WFI243" s="7"/>
      <c r="WFJ243" s="7"/>
      <c r="WFK243" s="7"/>
      <c r="WFL243" s="7"/>
      <c r="WFM243" s="7"/>
      <c r="WFN243" s="7"/>
      <c r="WFO243" s="7"/>
      <c r="WFP243" s="7"/>
      <c r="WFQ243" s="7"/>
      <c r="WFR243" s="7"/>
      <c r="WFS243" s="7"/>
      <c r="WFT243" s="7"/>
      <c r="WFU243" s="7"/>
      <c r="WFV243" s="7"/>
      <c r="WFW243" s="7"/>
      <c r="WFX243" s="7"/>
      <c r="WFY243" s="7"/>
      <c r="WFZ243" s="7"/>
      <c r="WGA243" s="7"/>
      <c r="WGB243" s="7"/>
      <c r="WGC243" s="7"/>
      <c r="WGD243" s="7"/>
      <c r="WGE243" s="7"/>
      <c r="WGF243" s="7"/>
      <c r="WGG243" s="7"/>
      <c r="WGH243" s="7"/>
      <c r="WGI243" s="7"/>
      <c r="WGJ243" s="7"/>
      <c r="WGK243" s="7"/>
      <c r="WGL243" s="7"/>
      <c r="WGM243" s="7"/>
      <c r="WGN243" s="7"/>
      <c r="WGO243" s="7"/>
      <c r="WGP243" s="7"/>
      <c r="WGQ243" s="7"/>
      <c r="WGR243" s="7"/>
      <c r="WGS243" s="7"/>
      <c r="WGT243" s="7"/>
      <c r="WGU243" s="7"/>
      <c r="WGV243" s="7"/>
      <c r="WGW243" s="7"/>
      <c r="WGX243" s="7"/>
      <c r="WGY243" s="7"/>
      <c r="WGZ243" s="7"/>
      <c r="WHA243" s="7"/>
      <c r="WHB243" s="7"/>
      <c r="WHC243" s="7"/>
      <c r="WHD243" s="7"/>
      <c r="WHE243" s="7"/>
      <c r="WHF243" s="7"/>
      <c r="WHG243" s="7"/>
      <c r="WHH243" s="7"/>
      <c r="WHI243" s="7"/>
      <c r="WHJ243" s="7"/>
      <c r="WHK243" s="7"/>
      <c r="WHL243" s="7"/>
      <c r="WHM243" s="7"/>
      <c r="WHN243" s="7"/>
      <c r="WHO243" s="7"/>
      <c r="WHP243" s="7"/>
      <c r="WHQ243" s="7"/>
      <c r="WHR243" s="7"/>
      <c r="WHS243" s="7"/>
      <c r="WHT243" s="7"/>
      <c r="WHU243" s="7"/>
      <c r="WHV243" s="7"/>
      <c r="WHW243" s="7"/>
      <c r="WHX243" s="7"/>
      <c r="WHY243" s="7"/>
      <c r="WHZ243" s="7"/>
      <c r="WIA243" s="7"/>
      <c r="WIB243" s="7"/>
      <c r="WIC243" s="7"/>
      <c r="WID243" s="7"/>
      <c r="WIE243" s="7"/>
      <c r="WIF243" s="7"/>
      <c r="WIG243" s="7"/>
      <c r="WIH243" s="7"/>
      <c r="WII243" s="7"/>
      <c r="WIJ243" s="7"/>
      <c r="WIK243" s="7"/>
      <c r="WIL243" s="7"/>
      <c r="WIM243" s="7"/>
      <c r="WIN243" s="7"/>
      <c r="WIO243" s="7"/>
      <c r="WIP243" s="7"/>
      <c r="WIQ243" s="7"/>
      <c r="WIR243" s="7"/>
      <c r="WIS243" s="7"/>
      <c r="WIT243" s="7"/>
      <c r="WIU243" s="7"/>
      <c r="WIV243" s="7"/>
      <c r="WIW243" s="7"/>
      <c r="WIX243" s="7"/>
      <c r="WIY243" s="7"/>
      <c r="WIZ243" s="7"/>
      <c r="WJA243" s="7"/>
      <c r="WJB243" s="7"/>
      <c r="WJC243" s="7"/>
      <c r="WJD243" s="7"/>
      <c r="WJE243" s="7"/>
      <c r="WJF243" s="7"/>
      <c r="WJG243" s="7"/>
      <c r="WJH243" s="7"/>
      <c r="WJI243" s="7"/>
      <c r="WJJ243" s="7"/>
      <c r="WJK243" s="7"/>
      <c r="WJL243" s="7"/>
      <c r="WJM243" s="7"/>
      <c r="WJN243" s="7"/>
      <c r="WJO243" s="7"/>
      <c r="WJP243" s="7"/>
      <c r="WJQ243" s="7"/>
      <c r="WJR243" s="7"/>
      <c r="WJS243" s="7"/>
      <c r="WJT243" s="7"/>
      <c r="WJU243" s="7"/>
      <c r="WJV243" s="7"/>
      <c r="WJW243" s="7"/>
      <c r="WJX243" s="7"/>
      <c r="WJY243" s="7"/>
      <c r="WJZ243" s="7"/>
      <c r="WKA243" s="7"/>
      <c r="WKB243" s="7"/>
      <c r="WKC243" s="7"/>
      <c r="WKD243" s="7"/>
      <c r="WKE243" s="7"/>
      <c r="WKF243" s="7"/>
      <c r="WKG243" s="7"/>
      <c r="WKH243" s="7"/>
      <c r="WKI243" s="7"/>
      <c r="WKJ243" s="7"/>
      <c r="WKK243" s="7"/>
      <c r="WKL243" s="7"/>
      <c r="WKM243" s="7"/>
      <c r="WKN243" s="7"/>
      <c r="WKO243" s="7"/>
      <c r="WKP243" s="7"/>
      <c r="WKQ243" s="7"/>
      <c r="WKR243" s="7"/>
      <c r="WKS243" s="7"/>
      <c r="WKT243" s="7"/>
      <c r="WKU243" s="7"/>
      <c r="WKV243" s="7"/>
      <c r="WKW243" s="7"/>
      <c r="WKX243" s="7"/>
      <c r="WKY243" s="7"/>
      <c r="WKZ243" s="7"/>
      <c r="WLA243" s="7"/>
      <c r="WLB243" s="7"/>
      <c r="WLC243" s="7"/>
      <c r="WLD243" s="7"/>
      <c r="WLE243" s="7"/>
      <c r="WLF243" s="7"/>
      <c r="WLG243" s="7"/>
      <c r="WLH243" s="7"/>
      <c r="WLI243" s="7"/>
      <c r="WLJ243" s="7"/>
      <c r="WLK243" s="7"/>
      <c r="WLL243" s="7"/>
      <c r="WLM243" s="7"/>
      <c r="WLN243" s="7"/>
      <c r="WLO243" s="7"/>
      <c r="WLP243" s="7"/>
      <c r="WLQ243" s="7"/>
      <c r="WLR243" s="7"/>
      <c r="WLS243" s="7"/>
      <c r="WLT243" s="7"/>
      <c r="WLU243" s="7"/>
      <c r="WLV243" s="7"/>
      <c r="WLW243" s="7"/>
      <c r="WLX243" s="7"/>
      <c r="WLY243" s="7"/>
      <c r="WLZ243" s="7"/>
      <c r="WMA243" s="7"/>
      <c r="WMB243" s="7"/>
      <c r="WMC243" s="7"/>
      <c r="WMD243" s="7"/>
      <c r="WME243" s="7"/>
      <c r="WMF243" s="7"/>
      <c r="WMG243" s="7"/>
      <c r="WMH243" s="7"/>
      <c r="WMI243" s="7"/>
      <c r="WMJ243" s="7"/>
      <c r="WMK243" s="7"/>
      <c r="WML243" s="7"/>
      <c r="WMM243" s="7"/>
      <c r="WMN243" s="7"/>
      <c r="WMO243" s="7"/>
      <c r="WMP243" s="7"/>
      <c r="WMQ243" s="7"/>
      <c r="WMR243" s="7"/>
      <c r="WMS243" s="7"/>
      <c r="WMT243" s="7"/>
      <c r="WMU243" s="7"/>
      <c r="WMV243" s="7"/>
      <c r="WMW243" s="7"/>
      <c r="WMX243" s="7"/>
      <c r="WMY243" s="7"/>
      <c r="WMZ243" s="7"/>
      <c r="WNA243" s="7"/>
      <c r="WNB243" s="7"/>
      <c r="WNC243" s="7"/>
      <c r="WND243" s="7"/>
      <c r="WNE243" s="7"/>
      <c r="WNF243" s="7"/>
      <c r="WNG243" s="7"/>
      <c r="WNH243" s="7"/>
      <c r="WNI243" s="7"/>
      <c r="WNJ243" s="7"/>
      <c r="WNK243" s="7"/>
      <c r="WNL243" s="7"/>
      <c r="WNM243" s="7"/>
      <c r="WNN243" s="7"/>
      <c r="WNO243" s="7"/>
      <c r="WNP243" s="7"/>
      <c r="WNQ243" s="7"/>
      <c r="WNR243" s="7"/>
      <c r="WNS243" s="7"/>
      <c r="WNT243" s="7"/>
      <c r="WNU243" s="7"/>
      <c r="WNV243" s="7"/>
      <c r="WNW243" s="7"/>
      <c r="WNX243" s="7"/>
      <c r="WNY243" s="7"/>
      <c r="WNZ243" s="7"/>
      <c r="WOA243" s="7"/>
      <c r="WOB243" s="7"/>
      <c r="WOC243" s="7"/>
      <c r="WOD243" s="7"/>
      <c r="WOE243" s="7"/>
      <c r="WOF243" s="7"/>
      <c r="WOG243" s="7"/>
      <c r="WOH243" s="7"/>
      <c r="WOI243" s="7"/>
      <c r="WOJ243" s="7"/>
      <c r="WOK243" s="7"/>
      <c r="WOL243" s="7"/>
      <c r="WOM243" s="7"/>
      <c r="WON243" s="7"/>
      <c r="WOO243" s="7"/>
      <c r="WOP243" s="7"/>
      <c r="WOQ243" s="7"/>
      <c r="WOR243" s="7"/>
      <c r="WOS243" s="7"/>
      <c r="WOT243" s="7"/>
      <c r="WOU243" s="7"/>
      <c r="WOV243" s="7"/>
      <c r="WOW243" s="7"/>
      <c r="WOX243" s="7"/>
      <c r="WOY243" s="7"/>
      <c r="WOZ243" s="7"/>
      <c r="WPA243" s="7"/>
      <c r="WPB243" s="7"/>
      <c r="WPC243" s="7"/>
      <c r="WPD243" s="7"/>
      <c r="WPE243" s="7"/>
      <c r="WPF243" s="7"/>
      <c r="WPG243" s="7"/>
      <c r="WPH243" s="7"/>
      <c r="WPI243" s="7"/>
      <c r="WPJ243" s="7"/>
      <c r="WPK243" s="7"/>
      <c r="WPL243" s="7"/>
      <c r="WPM243" s="7"/>
      <c r="WPN243" s="7"/>
      <c r="WPO243" s="7"/>
      <c r="WPP243" s="7"/>
      <c r="WPQ243" s="7"/>
      <c r="WPR243" s="7"/>
      <c r="WPS243" s="7"/>
      <c r="WPT243" s="7"/>
      <c r="WPU243" s="7"/>
      <c r="WPV243" s="7"/>
      <c r="WPW243" s="7"/>
      <c r="WPX243" s="7"/>
      <c r="WPY243" s="7"/>
      <c r="WPZ243" s="7"/>
      <c r="WQA243" s="7"/>
      <c r="WQB243" s="7"/>
      <c r="WQC243" s="7"/>
      <c r="WQD243" s="7"/>
      <c r="WQE243" s="7"/>
      <c r="WQF243" s="7"/>
      <c r="WQG243" s="7"/>
      <c r="WQH243" s="7"/>
      <c r="WQI243" s="7"/>
      <c r="WQJ243" s="7"/>
      <c r="WQK243" s="7"/>
      <c r="WQL243" s="7"/>
      <c r="WQM243" s="7"/>
      <c r="WQN243" s="7"/>
      <c r="WQO243" s="7"/>
      <c r="WQP243" s="7"/>
      <c r="WQQ243" s="7"/>
      <c r="WQR243" s="7"/>
      <c r="WQS243" s="7"/>
      <c r="WQT243" s="7"/>
      <c r="WQU243" s="7"/>
      <c r="WQV243" s="7"/>
      <c r="WQW243" s="7"/>
      <c r="WQX243" s="7"/>
      <c r="WQY243" s="7"/>
      <c r="WQZ243" s="7"/>
      <c r="WRA243" s="7"/>
      <c r="WRB243" s="7"/>
      <c r="WRC243" s="7"/>
      <c r="WRD243" s="7"/>
      <c r="WRE243" s="7"/>
      <c r="WRF243" s="7"/>
      <c r="WRG243" s="7"/>
      <c r="WRH243" s="7"/>
      <c r="WRI243" s="7"/>
      <c r="WRJ243" s="7"/>
      <c r="WRK243" s="7"/>
      <c r="WRL243" s="7"/>
      <c r="WRM243" s="7"/>
      <c r="WRN243" s="7"/>
      <c r="WRO243" s="7"/>
      <c r="WRP243" s="7"/>
      <c r="WRQ243" s="7"/>
      <c r="WRR243" s="7"/>
      <c r="WRS243" s="7"/>
      <c r="WRT243" s="7"/>
      <c r="WRU243" s="7"/>
      <c r="WRV243" s="7"/>
      <c r="WRW243" s="7"/>
      <c r="WRX243" s="7"/>
      <c r="WRY243" s="7"/>
      <c r="WRZ243" s="7"/>
      <c r="WSA243" s="7"/>
      <c r="WSB243" s="7"/>
      <c r="WSC243" s="7"/>
      <c r="WSD243" s="7"/>
      <c r="WSE243" s="7"/>
      <c r="WSF243" s="7"/>
      <c r="WSG243" s="7"/>
      <c r="WSH243" s="7"/>
      <c r="WSI243" s="7"/>
      <c r="WSJ243" s="7"/>
      <c r="WSK243" s="7"/>
      <c r="WSL243" s="7"/>
      <c r="WSM243" s="7"/>
      <c r="WSN243" s="7"/>
      <c r="WSO243" s="7"/>
      <c r="WSP243" s="7"/>
      <c r="WSQ243" s="7"/>
      <c r="WSR243" s="7"/>
      <c r="WSS243" s="7"/>
      <c r="WST243" s="7"/>
      <c r="WSU243" s="7"/>
      <c r="WSV243" s="7"/>
      <c r="WSW243" s="7"/>
      <c r="WSX243" s="7"/>
      <c r="WSY243" s="7"/>
      <c r="WSZ243" s="7"/>
      <c r="WTA243" s="7"/>
      <c r="WTB243" s="7"/>
      <c r="WTC243" s="7"/>
      <c r="WTD243" s="7"/>
      <c r="WTE243" s="7"/>
      <c r="WTF243" s="7"/>
      <c r="WTG243" s="7"/>
      <c r="WTH243" s="7"/>
      <c r="WTI243" s="7"/>
      <c r="WTJ243" s="7"/>
      <c r="WTK243" s="7"/>
      <c r="WTL243" s="7"/>
      <c r="WTM243" s="7"/>
      <c r="WTN243" s="7"/>
      <c r="WTO243" s="7"/>
      <c r="WTP243" s="7"/>
      <c r="WTQ243" s="7"/>
      <c r="WTR243" s="7"/>
      <c r="WTS243" s="7"/>
      <c r="WTT243" s="7"/>
      <c r="WTU243" s="7"/>
      <c r="WTV243" s="7"/>
      <c r="WTW243" s="7"/>
      <c r="WTX243" s="7"/>
      <c r="WTY243" s="7"/>
      <c r="WTZ243" s="7"/>
      <c r="WUA243" s="7"/>
      <c r="WUB243" s="7"/>
      <c r="WUC243" s="7"/>
      <c r="WUD243" s="7"/>
      <c r="WUE243" s="7"/>
      <c r="WUF243" s="7"/>
      <c r="WUG243" s="7"/>
      <c r="WUH243" s="7"/>
      <c r="WUI243" s="7"/>
      <c r="WUJ243" s="7"/>
      <c r="WUK243" s="7"/>
      <c r="WUL243" s="7"/>
      <c r="WUM243" s="7"/>
      <c r="WUN243" s="7"/>
      <c r="WUO243" s="7"/>
      <c r="WUP243" s="7"/>
      <c r="WUQ243" s="7"/>
      <c r="WUR243" s="7"/>
      <c r="WUS243" s="7"/>
      <c r="WUT243" s="7"/>
      <c r="WUU243" s="7"/>
      <c r="WUV243" s="7"/>
      <c r="WUW243" s="7"/>
      <c r="WUX243" s="7"/>
      <c r="WUY243" s="7"/>
      <c r="WUZ243" s="7"/>
      <c r="WVA243" s="7"/>
      <c r="WVB243" s="7"/>
      <c r="WVC243" s="7"/>
      <c r="WVD243" s="7"/>
      <c r="WVE243" s="7"/>
      <c r="WVF243" s="7"/>
      <c r="WVG243" s="7"/>
      <c r="WVH243" s="7"/>
      <c r="WVI243" s="7"/>
      <c r="WVJ243" s="7"/>
      <c r="WVK243" s="7"/>
      <c r="WVL243" s="7"/>
      <c r="WVM243" s="7"/>
      <c r="WVN243" s="7"/>
      <c r="WVO243" s="7"/>
      <c r="WVP243" s="7"/>
      <c r="WVQ243" s="7"/>
      <c r="WVR243" s="7"/>
      <c r="WVS243" s="7"/>
      <c r="WVT243" s="7"/>
      <c r="WVU243" s="7"/>
      <c r="WVV243" s="7"/>
      <c r="WVW243" s="7"/>
      <c r="WVX243" s="7"/>
      <c r="WVY243" s="7"/>
      <c r="WVZ243" s="7"/>
      <c r="WWA243" s="7"/>
      <c r="WWB243" s="7"/>
      <c r="WWC243" s="7"/>
      <c r="WWD243" s="7"/>
      <c r="WWE243" s="7"/>
      <c r="WWF243" s="7"/>
      <c r="WWG243" s="7"/>
      <c r="WWH243" s="7"/>
      <c r="WWI243" s="7"/>
      <c r="WWJ243" s="7"/>
      <c r="WWK243" s="7"/>
      <c r="WWL243" s="7"/>
      <c r="WWM243" s="7"/>
      <c r="WWN243" s="7"/>
      <c r="WWO243" s="7"/>
      <c r="WWP243" s="7"/>
      <c r="WWQ243" s="7"/>
      <c r="WWR243" s="7"/>
      <c r="WWS243" s="7"/>
      <c r="WWT243" s="7"/>
      <c r="WWU243" s="7"/>
      <c r="WWV243" s="7"/>
      <c r="WWW243" s="7"/>
      <c r="WWX243" s="7"/>
      <c r="WWY243" s="7"/>
      <c r="WWZ243" s="7"/>
      <c r="WXA243" s="7"/>
      <c r="WXB243" s="7"/>
      <c r="WXC243" s="7"/>
      <c r="WXD243" s="7"/>
      <c r="WXE243" s="7"/>
      <c r="WXF243" s="7"/>
      <c r="WXG243" s="7"/>
      <c r="WXH243" s="7"/>
      <c r="WXI243" s="7"/>
      <c r="WXJ243" s="7"/>
      <c r="WXK243" s="7"/>
      <c r="WXL243" s="7"/>
      <c r="WXM243" s="7"/>
      <c r="WXN243" s="7"/>
      <c r="WXO243" s="7"/>
      <c r="WXP243" s="7"/>
      <c r="WXQ243" s="7"/>
      <c r="WXR243" s="7"/>
      <c r="WXS243" s="7"/>
      <c r="WXT243" s="7"/>
      <c r="WXU243" s="7"/>
      <c r="WXV243" s="7"/>
      <c r="WXW243" s="7"/>
      <c r="WXX243" s="7"/>
      <c r="WXY243" s="7"/>
      <c r="WXZ243" s="7"/>
      <c r="WYA243" s="7"/>
      <c r="WYB243" s="7"/>
      <c r="WYC243" s="7"/>
      <c r="WYD243" s="7"/>
      <c r="WYE243" s="7"/>
      <c r="WYF243" s="7"/>
      <c r="WYG243" s="7"/>
      <c r="WYH243" s="7"/>
      <c r="WYI243" s="7"/>
      <c r="WYJ243" s="7"/>
      <c r="WYK243" s="7"/>
      <c r="WYL243" s="7"/>
      <c r="WYM243" s="7"/>
      <c r="WYN243" s="7"/>
      <c r="WYO243" s="7"/>
      <c r="WYP243" s="7"/>
      <c r="WYQ243" s="7"/>
      <c r="WYR243" s="7"/>
      <c r="WYS243" s="7"/>
      <c r="WYT243" s="7"/>
      <c r="WYU243" s="7"/>
      <c r="WYV243" s="7"/>
      <c r="WYW243" s="7"/>
      <c r="WYX243" s="7"/>
      <c r="WYY243" s="7"/>
      <c r="WYZ243" s="7"/>
      <c r="WZA243" s="7"/>
      <c r="WZB243" s="7"/>
      <c r="WZC243" s="7"/>
      <c r="WZD243" s="7"/>
      <c r="WZE243" s="7"/>
      <c r="WZF243" s="7"/>
      <c r="WZG243" s="7"/>
      <c r="WZH243" s="7"/>
      <c r="WZI243" s="7"/>
      <c r="WZJ243" s="7"/>
      <c r="WZK243" s="7"/>
      <c r="WZL243" s="7"/>
      <c r="WZM243" s="7"/>
      <c r="WZN243" s="7"/>
      <c r="WZO243" s="7"/>
      <c r="WZP243" s="7"/>
      <c r="WZQ243" s="7"/>
      <c r="WZR243" s="7"/>
      <c r="WZS243" s="7"/>
      <c r="WZT243" s="7"/>
      <c r="WZU243" s="7"/>
      <c r="WZV243" s="7"/>
      <c r="WZW243" s="7"/>
      <c r="WZX243" s="7"/>
      <c r="WZY243" s="7"/>
      <c r="WZZ243" s="7"/>
      <c r="XAA243" s="7"/>
      <c r="XAB243" s="7"/>
      <c r="XAC243" s="7"/>
      <c r="XAD243" s="7"/>
      <c r="XAE243" s="7"/>
      <c r="XAF243" s="7"/>
      <c r="XAG243" s="7"/>
      <c r="XAH243" s="7"/>
      <c r="XAI243" s="7"/>
      <c r="XAJ243" s="7"/>
      <c r="XAK243" s="7"/>
      <c r="XAL243" s="7"/>
      <c r="XAM243" s="7"/>
      <c r="XAN243" s="7"/>
      <c r="XAO243" s="7"/>
      <c r="XAP243" s="7"/>
      <c r="XAQ243" s="7"/>
      <c r="XAR243" s="7"/>
      <c r="XAS243" s="7"/>
      <c r="XAT243" s="7"/>
      <c r="XAU243" s="7"/>
      <c r="XAV243" s="7"/>
      <c r="XAW243" s="7"/>
      <c r="XAX243" s="7"/>
      <c r="XAY243" s="7"/>
      <c r="XAZ243" s="7"/>
      <c r="XBA243" s="7"/>
      <c r="XBB243" s="7"/>
      <c r="XBC243" s="7"/>
      <c r="XBD243" s="7"/>
      <c r="XBE243" s="7"/>
      <c r="XBF243" s="7"/>
      <c r="XBG243" s="7"/>
      <c r="XBH243" s="7"/>
      <c r="XBI243" s="7"/>
      <c r="XBJ243" s="7"/>
      <c r="XBK243" s="7"/>
      <c r="XBL243" s="7"/>
      <c r="XBM243" s="7"/>
      <c r="XBN243" s="7"/>
      <c r="XBO243" s="7"/>
      <c r="XBP243" s="7"/>
      <c r="XBQ243" s="7"/>
      <c r="XBR243" s="7"/>
      <c r="XBS243" s="7"/>
      <c r="XBT243" s="7"/>
      <c r="XBU243" s="7"/>
      <c r="XBV243" s="7"/>
      <c r="XBW243" s="7"/>
      <c r="XBX243" s="7"/>
      <c r="XBY243" s="7"/>
      <c r="XBZ243" s="7"/>
      <c r="XCA243" s="7"/>
      <c r="XCB243" s="7"/>
      <c r="XCC243" s="7"/>
      <c r="XCD243" s="7"/>
      <c r="XCE243" s="7"/>
      <c r="XCF243" s="7"/>
      <c r="XCG243" s="7"/>
      <c r="XCH243" s="7"/>
      <c r="XCI243" s="7"/>
      <c r="XCJ243" s="7"/>
      <c r="XCK243" s="7"/>
      <c r="XCL243" s="7"/>
      <c r="XCM243" s="7"/>
      <c r="XCN243" s="7"/>
      <c r="XCO243" s="7"/>
      <c r="XCP243" s="7"/>
      <c r="XCQ243" s="7"/>
      <c r="XCR243" s="7"/>
      <c r="XCS243" s="7"/>
      <c r="XCT243" s="7"/>
      <c r="XCU243" s="7"/>
      <c r="XCV243" s="7"/>
      <c r="XCW243" s="7"/>
      <c r="XCX243" s="7"/>
      <c r="XCY243" s="7"/>
      <c r="XCZ243" s="7"/>
      <c r="XDA243" s="7"/>
      <c r="XDB243" s="7"/>
      <c r="XDC243" s="7"/>
      <c r="XDD243" s="7"/>
      <c r="XDE243" s="7"/>
      <c r="XDF243" s="7"/>
      <c r="XDG243" s="7"/>
      <c r="XDH243" s="7"/>
      <c r="XDI243" s="7"/>
      <c r="XDJ243" s="7"/>
      <c r="XDK243" s="7"/>
      <c r="XDL243" s="7"/>
      <c r="XDM243" s="7"/>
      <c r="XDN243" s="7"/>
      <c r="XDO243" s="7"/>
      <c r="XDP243" s="7"/>
      <c r="XDQ243" s="7"/>
      <c r="XDR243" s="7"/>
      <c r="XDS243" s="7"/>
      <c r="XDT243" s="7"/>
      <c r="XDU243" s="7"/>
      <c r="XDV243" s="7"/>
      <c r="XDW243" s="7"/>
      <c r="XDX243" s="7"/>
      <c r="XDY243" s="7"/>
      <c r="XDZ243" s="7"/>
      <c r="XEA243" s="7"/>
      <c r="XEB243" s="7"/>
      <c r="XEC243" s="7"/>
      <c r="XED243" s="7"/>
      <c r="XEE243" s="7"/>
      <c r="XEF243" s="7"/>
      <c r="XEG243" s="7"/>
      <c r="XEH243" s="7"/>
      <c r="XEI243" s="7"/>
      <c r="XEJ243" s="7"/>
      <c r="XEK243" s="7"/>
      <c r="XEL243" s="7"/>
      <c r="XEM243" s="7"/>
      <c r="XEN243" s="7"/>
      <c r="XEO243" s="7"/>
      <c r="XEP243" s="7"/>
      <c r="XEQ243" s="7"/>
      <c r="XER243" s="7"/>
      <c r="XES243" s="7"/>
      <c r="XET243" s="7"/>
      <c r="XEU243" s="7"/>
      <c r="XEV243" s="7"/>
      <c r="XEW243" s="7"/>
      <c r="XEX243" s="7"/>
      <c r="XEY243" s="7"/>
      <c r="XEZ243" s="7"/>
      <c r="XFA243" s="7"/>
      <c r="XFB243" s="7"/>
    </row>
    <row r="244" spans="1:16382" s="33" customFormat="1" ht="15" customHeight="1" x14ac:dyDescent="0.25">
      <c r="A244" s="5" t="s">
        <v>57</v>
      </c>
      <c r="B244" s="4">
        <v>3565</v>
      </c>
      <c r="C244" s="5">
        <v>183902</v>
      </c>
      <c r="D244" s="5">
        <v>1</v>
      </c>
      <c r="E244" s="31" t="s">
        <v>61</v>
      </c>
      <c r="F244" s="31" t="s">
        <v>62</v>
      </c>
      <c r="G244" s="80">
        <v>100</v>
      </c>
      <c r="H244" s="41">
        <v>100</v>
      </c>
      <c r="I244" s="119">
        <f t="shared" si="15"/>
        <v>0</v>
      </c>
      <c r="J244" s="35">
        <v>45236</v>
      </c>
      <c r="K244" s="35"/>
      <c r="L244" s="108">
        <v>100</v>
      </c>
      <c r="M244" s="106">
        <v>45233</v>
      </c>
      <c r="N244" s="108">
        <v>19458</v>
      </c>
      <c r="O244" s="108">
        <v>0</v>
      </c>
      <c r="P244" s="36">
        <v>15.38</v>
      </c>
      <c r="Q244" s="32">
        <f t="shared" si="17"/>
        <v>1538</v>
      </c>
    </row>
    <row r="245" spans="1:16382" s="33" customFormat="1" ht="15" customHeight="1" x14ac:dyDescent="0.25">
      <c r="A245" s="6" t="s">
        <v>57</v>
      </c>
      <c r="B245" s="190">
        <v>3619</v>
      </c>
      <c r="C245" s="6">
        <v>184417</v>
      </c>
      <c r="D245" s="6">
        <v>9</v>
      </c>
      <c r="E245" s="120" t="s">
        <v>61</v>
      </c>
      <c r="F245" s="120" t="s">
        <v>62</v>
      </c>
      <c r="G245" s="120">
        <v>100</v>
      </c>
      <c r="H245" s="6">
        <v>100</v>
      </c>
      <c r="I245" s="136">
        <f t="shared" si="15"/>
        <v>0</v>
      </c>
      <c r="J245" s="123">
        <v>45254</v>
      </c>
      <c r="K245" s="35"/>
      <c r="L245" s="108">
        <v>100</v>
      </c>
      <c r="M245" s="106">
        <v>45244</v>
      </c>
      <c r="N245" s="108">
        <v>19503</v>
      </c>
      <c r="O245" s="108">
        <v>0</v>
      </c>
      <c r="P245" s="36">
        <v>15.38</v>
      </c>
      <c r="Q245" s="32">
        <f t="shared" si="17"/>
        <v>1538</v>
      </c>
    </row>
    <row r="246" spans="1:16382" s="33" customFormat="1" ht="15" customHeight="1" x14ac:dyDescent="0.25">
      <c r="A246" s="5" t="s">
        <v>57</v>
      </c>
      <c r="B246" s="5">
        <v>3204</v>
      </c>
      <c r="C246" s="5">
        <v>178742</v>
      </c>
      <c r="D246" s="5">
        <v>20</v>
      </c>
      <c r="E246" s="31" t="s">
        <v>138</v>
      </c>
      <c r="F246" s="31" t="s">
        <v>139</v>
      </c>
      <c r="G246" s="121">
        <v>2000</v>
      </c>
      <c r="H246" s="44">
        <v>35</v>
      </c>
      <c r="I246" s="5">
        <f t="shared" si="15"/>
        <v>0</v>
      </c>
      <c r="J246" s="35">
        <v>45226</v>
      </c>
      <c r="K246" s="35"/>
      <c r="L246" s="4">
        <v>35</v>
      </c>
      <c r="M246" s="35">
        <v>45205</v>
      </c>
      <c r="N246" s="4">
        <v>19321</v>
      </c>
      <c r="O246" s="4">
        <v>0</v>
      </c>
      <c r="P246" s="36"/>
      <c r="Q246" s="32"/>
    </row>
    <row r="247" spans="1:16382" s="33" customFormat="1" ht="15" customHeight="1" x14ac:dyDescent="0.25">
      <c r="A247" s="38" t="s">
        <v>57</v>
      </c>
      <c r="B247" s="5">
        <v>3204</v>
      </c>
      <c r="C247" s="5">
        <v>178742</v>
      </c>
      <c r="D247" s="5">
        <v>20</v>
      </c>
      <c r="E247" s="31" t="s">
        <v>138</v>
      </c>
      <c r="F247" s="31" t="s">
        <v>139</v>
      </c>
      <c r="G247" s="121">
        <v>2000</v>
      </c>
      <c r="H247" s="44">
        <v>435</v>
      </c>
      <c r="I247" s="5">
        <f t="shared" si="15"/>
        <v>0</v>
      </c>
      <c r="J247" s="35">
        <v>45226</v>
      </c>
      <c r="K247" s="35"/>
      <c r="L247" s="4">
        <v>435</v>
      </c>
      <c r="M247" s="35">
        <v>45224</v>
      </c>
      <c r="N247" s="4">
        <v>19411</v>
      </c>
      <c r="O247" s="4">
        <v>0</v>
      </c>
      <c r="P247" s="36"/>
      <c r="Q247" s="32"/>
    </row>
    <row r="248" spans="1:16382" s="33" customFormat="1" ht="15" customHeight="1" x14ac:dyDescent="0.25">
      <c r="A248" s="202" t="s">
        <v>57</v>
      </c>
      <c r="B248" s="202">
        <v>3204</v>
      </c>
      <c r="C248" s="202">
        <v>178742</v>
      </c>
      <c r="D248" s="202">
        <v>20</v>
      </c>
      <c r="E248" s="203" t="s">
        <v>138</v>
      </c>
      <c r="F248" s="203" t="s">
        <v>139</v>
      </c>
      <c r="G248" s="204">
        <v>2000</v>
      </c>
      <c r="H248" s="205">
        <v>19</v>
      </c>
      <c r="I248" s="202">
        <f t="shared" si="15"/>
        <v>19</v>
      </c>
      <c r="J248" s="206" t="s">
        <v>337</v>
      </c>
      <c r="K248" s="35"/>
      <c r="L248" s="4"/>
      <c r="M248" s="35"/>
      <c r="N248" s="4"/>
      <c r="O248" s="4"/>
      <c r="P248" s="36">
        <v>21.71</v>
      </c>
      <c r="Q248" s="32">
        <f>P248*H248</f>
        <v>412.49</v>
      </c>
    </row>
    <row r="249" spans="1:16382" s="33" customFormat="1" ht="15" customHeight="1" x14ac:dyDescent="0.25">
      <c r="A249" s="5" t="s">
        <v>57</v>
      </c>
      <c r="B249" s="5">
        <v>3452</v>
      </c>
      <c r="C249" s="5">
        <v>182298</v>
      </c>
      <c r="D249" s="5">
        <v>1</v>
      </c>
      <c r="E249" s="31" t="s">
        <v>140</v>
      </c>
      <c r="F249" s="31" t="s">
        <v>141</v>
      </c>
      <c r="G249" s="80">
        <v>200</v>
      </c>
      <c r="H249" s="41">
        <v>200</v>
      </c>
      <c r="I249" s="119">
        <f t="shared" si="15"/>
        <v>0</v>
      </c>
      <c r="J249" s="35">
        <v>45229</v>
      </c>
      <c r="K249" s="35"/>
      <c r="L249" s="4">
        <v>200</v>
      </c>
      <c r="M249" s="35">
        <v>45224</v>
      </c>
      <c r="N249" s="4">
        <v>19407</v>
      </c>
      <c r="O249" s="4">
        <v>0</v>
      </c>
      <c r="P249" s="36">
        <v>107.38</v>
      </c>
      <c r="Q249" s="32">
        <f>P249*H249</f>
        <v>21476</v>
      </c>
    </row>
    <row r="250" spans="1:16382" s="33" customFormat="1" ht="15" customHeight="1" x14ac:dyDescent="0.25">
      <c r="A250" s="182" t="s">
        <v>57</v>
      </c>
      <c r="B250" s="182">
        <v>3619</v>
      </c>
      <c r="C250" s="182">
        <v>184417</v>
      </c>
      <c r="D250" s="182">
        <v>11</v>
      </c>
      <c r="E250" s="185" t="s">
        <v>63</v>
      </c>
      <c r="F250" s="185" t="s">
        <v>64</v>
      </c>
      <c r="G250" s="183">
        <v>300</v>
      </c>
      <c r="H250" s="184">
        <v>300</v>
      </c>
      <c r="I250" s="199">
        <f t="shared" si="15"/>
        <v>0</v>
      </c>
      <c r="J250" s="171">
        <v>45243</v>
      </c>
      <c r="K250" s="35"/>
      <c r="L250" s="4">
        <v>300</v>
      </c>
      <c r="M250" s="35">
        <v>45244</v>
      </c>
      <c r="N250" s="4">
        <v>19503</v>
      </c>
      <c r="O250" s="4">
        <v>0</v>
      </c>
      <c r="P250" s="36">
        <v>41.31</v>
      </c>
      <c r="Q250" s="32">
        <f>P250*G250</f>
        <v>12393</v>
      </c>
    </row>
    <row r="251" spans="1:16382" s="33" customFormat="1" ht="15" customHeight="1" x14ac:dyDescent="0.25">
      <c r="A251" s="182" t="s">
        <v>57</v>
      </c>
      <c r="B251" s="182">
        <v>3640</v>
      </c>
      <c r="C251" s="182">
        <v>184417</v>
      </c>
      <c r="D251" s="182">
        <v>12</v>
      </c>
      <c r="E251" s="185" t="s">
        <v>63</v>
      </c>
      <c r="F251" s="185" t="s">
        <v>64</v>
      </c>
      <c r="G251" s="183">
        <v>300</v>
      </c>
      <c r="H251" s="184">
        <v>300</v>
      </c>
      <c r="I251" s="199">
        <f t="shared" si="15"/>
        <v>0</v>
      </c>
      <c r="J251" s="171">
        <v>45258</v>
      </c>
      <c r="K251" s="35"/>
      <c r="L251" s="4">
        <v>300</v>
      </c>
      <c r="M251" s="35">
        <v>45252</v>
      </c>
      <c r="N251" s="4">
        <v>19539</v>
      </c>
      <c r="O251" s="4">
        <v>0</v>
      </c>
      <c r="P251" s="36">
        <v>41.31</v>
      </c>
      <c r="Q251" s="32">
        <f>P251*G251</f>
        <v>12393</v>
      </c>
    </row>
    <row r="252" spans="1:16382" s="33" customFormat="1" ht="15" customHeight="1" x14ac:dyDescent="0.25">
      <c r="A252" s="16" t="s">
        <v>57</v>
      </c>
      <c r="B252" s="16">
        <v>3482</v>
      </c>
      <c r="C252" s="16">
        <v>182437</v>
      </c>
      <c r="D252" s="16">
        <v>1</v>
      </c>
      <c r="E252" s="42" t="s">
        <v>142</v>
      </c>
      <c r="F252" s="42" t="s">
        <v>143</v>
      </c>
      <c r="G252" s="80">
        <v>500</v>
      </c>
      <c r="H252" s="41">
        <v>500</v>
      </c>
      <c r="I252" s="114">
        <f t="shared" si="15"/>
        <v>0</v>
      </c>
      <c r="J252" s="35">
        <v>45229</v>
      </c>
      <c r="K252" s="35"/>
      <c r="L252" s="4">
        <v>500</v>
      </c>
      <c r="M252" s="35">
        <v>45224</v>
      </c>
      <c r="N252" s="4">
        <v>19412</v>
      </c>
      <c r="O252" s="4">
        <v>0</v>
      </c>
      <c r="P252" s="36">
        <v>8.75</v>
      </c>
      <c r="Q252" s="32">
        <f>P252*H252</f>
        <v>4375</v>
      </c>
    </row>
    <row r="253" spans="1:16382" s="33" customFormat="1" ht="15" customHeight="1" x14ac:dyDescent="0.25">
      <c r="A253" s="182" t="s">
        <v>57</v>
      </c>
      <c r="B253" s="182">
        <v>3374</v>
      </c>
      <c r="C253" s="182">
        <v>180913</v>
      </c>
      <c r="D253" s="182">
        <v>4</v>
      </c>
      <c r="E253" s="185" t="s">
        <v>67</v>
      </c>
      <c r="F253" s="185" t="s">
        <v>68</v>
      </c>
      <c r="G253" s="80">
        <v>100</v>
      </c>
      <c r="H253" s="41">
        <v>100</v>
      </c>
      <c r="I253" s="199">
        <f t="shared" si="15"/>
        <v>0</v>
      </c>
      <c r="J253" s="171">
        <v>45254</v>
      </c>
      <c r="K253" s="35"/>
      <c r="L253" s="4">
        <v>100</v>
      </c>
      <c r="M253" s="35">
        <v>45233</v>
      </c>
      <c r="N253" s="4">
        <v>19458</v>
      </c>
      <c r="O253" s="4">
        <v>1</v>
      </c>
      <c r="P253" s="36">
        <v>34.200000000000003</v>
      </c>
      <c r="Q253" s="32">
        <f>P253*H253</f>
        <v>3420.0000000000005</v>
      </c>
    </row>
    <row r="254" spans="1:16382" s="33" customFormat="1" ht="15" customHeight="1" x14ac:dyDescent="0.25">
      <c r="A254" s="6" t="s">
        <v>57</v>
      </c>
      <c r="B254" s="6">
        <v>3530</v>
      </c>
      <c r="C254" s="6">
        <v>183228</v>
      </c>
      <c r="D254" s="6">
        <v>2</v>
      </c>
      <c r="E254" s="120" t="s">
        <v>159</v>
      </c>
      <c r="F254" s="120" t="s">
        <v>160</v>
      </c>
      <c r="G254" s="121">
        <v>500</v>
      </c>
      <c r="H254" s="44">
        <v>500</v>
      </c>
      <c r="I254" s="136">
        <f t="shared" si="15"/>
        <v>0</v>
      </c>
      <c r="J254" s="123">
        <v>45258</v>
      </c>
      <c r="K254" s="35"/>
      <c r="L254" s="4">
        <v>500</v>
      </c>
      <c r="M254" s="35">
        <v>45233</v>
      </c>
      <c r="N254" s="4">
        <v>19455</v>
      </c>
      <c r="O254" s="4">
        <v>0</v>
      </c>
      <c r="P254" s="36">
        <v>13.7</v>
      </c>
      <c r="Q254" s="32">
        <f>P254*H254</f>
        <v>6850</v>
      </c>
    </row>
    <row r="255" spans="1:16382" s="33" customFormat="1" ht="15" customHeight="1" x14ac:dyDescent="0.25">
      <c r="A255" s="16" t="s">
        <v>57</v>
      </c>
      <c r="B255" s="16">
        <v>3604</v>
      </c>
      <c r="C255" s="16">
        <v>184364</v>
      </c>
      <c r="D255" s="16">
        <v>1</v>
      </c>
      <c r="E255" s="42" t="s">
        <v>144</v>
      </c>
      <c r="F255" s="42" t="s">
        <v>145</v>
      </c>
      <c r="G255" s="80">
        <v>300</v>
      </c>
      <c r="H255" s="41">
        <v>45</v>
      </c>
      <c r="I255" s="114">
        <f t="shared" si="15"/>
        <v>0</v>
      </c>
      <c r="J255" s="35">
        <v>45321</v>
      </c>
      <c r="K255" s="35"/>
      <c r="L255" s="4">
        <v>45</v>
      </c>
      <c r="M255" s="35">
        <v>45229</v>
      </c>
      <c r="N255" s="4">
        <v>19437</v>
      </c>
      <c r="O255" s="4">
        <v>0</v>
      </c>
      <c r="P255" s="36"/>
      <c r="Q255" s="32"/>
    </row>
    <row r="256" spans="1:16382" s="33" customFormat="1" ht="15" customHeight="1" x14ac:dyDescent="0.25">
      <c r="A256" s="182" t="s">
        <v>57</v>
      </c>
      <c r="B256" s="182">
        <v>3619</v>
      </c>
      <c r="C256" s="182">
        <v>184417</v>
      </c>
      <c r="D256" s="182">
        <v>16</v>
      </c>
      <c r="E256" s="185" t="s">
        <v>71</v>
      </c>
      <c r="F256" s="185" t="s">
        <v>72</v>
      </c>
      <c r="G256" s="183">
        <v>220</v>
      </c>
      <c r="H256" s="184">
        <v>220</v>
      </c>
      <c r="I256" s="199">
        <f t="shared" si="15"/>
        <v>0</v>
      </c>
      <c r="J256" s="171">
        <v>45258</v>
      </c>
      <c r="K256" s="35"/>
      <c r="L256" s="4">
        <v>220</v>
      </c>
      <c r="M256" s="35">
        <v>45252</v>
      </c>
      <c r="N256" s="4">
        <v>19538</v>
      </c>
      <c r="O256" s="4">
        <v>0</v>
      </c>
      <c r="P256" s="36">
        <v>12.4</v>
      </c>
      <c r="Q256" s="32">
        <f t="shared" ref="Q256:Q265" si="18">P256*H256</f>
        <v>2728</v>
      </c>
    </row>
    <row r="257" spans="1:18" s="33" customFormat="1" ht="15" customHeight="1" x14ac:dyDescent="0.25">
      <c r="A257" s="5" t="s">
        <v>57</v>
      </c>
      <c r="B257" s="5">
        <v>3501</v>
      </c>
      <c r="C257" s="5">
        <v>182965</v>
      </c>
      <c r="D257" s="5">
        <v>2</v>
      </c>
      <c r="E257" s="31" t="s">
        <v>146</v>
      </c>
      <c r="F257" s="31" t="s">
        <v>147</v>
      </c>
      <c r="G257" s="80">
        <v>102</v>
      </c>
      <c r="H257" s="41">
        <v>102</v>
      </c>
      <c r="I257" s="119">
        <f t="shared" si="15"/>
        <v>0</v>
      </c>
      <c r="J257" s="35">
        <v>45211</v>
      </c>
      <c r="K257" s="107"/>
      <c r="L257" s="108">
        <v>102</v>
      </c>
      <c r="M257" s="106">
        <v>45205</v>
      </c>
      <c r="N257" s="108">
        <v>19315</v>
      </c>
      <c r="O257" s="108">
        <v>0</v>
      </c>
      <c r="P257" s="36">
        <v>13.01</v>
      </c>
      <c r="Q257" s="32">
        <f t="shared" si="18"/>
        <v>1327.02</v>
      </c>
    </row>
    <row r="258" spans="1:18" s="33" customFormat="1" ht="15" customHeight="1" x14ac:dyDescent="0.25">
      <c r="A258" s="16" t="s">
        <v>57</v>
      </c>
      <c r="B258" s="16">
        <v>3518</v>
      </c>
      <c r="C258" s="16">
        <v>183092</v>
      </c>
      <c r="D258" s="16">
        <v>4</v>
      </c>
      <c r="E258" s="42" t="s">
        <v>146</v>
      </c>
      <c r="F258" s="42" t="s">
        <v>147</v>
      </c>
      <c r="G258" s="80">
        <v>50</v>
      </c>
      <c r="H258" s="41">
        <v>50</v>
      </c>
      <c r="I258" s="114">
        <f t="shared" si="15"/>
        <v>0</v>
      </c>
      <c r="J258" s="35">
        <v>45230</v>
      </c>
      <c r="K258" s="35"/>
      <c r="L258" s="4">
        <v>50</v>
      </c>
      <c r="M258" s="35">
        <v>45205</v>
      </c>
      <c r="N258" s="4">
        <v>19315</v>
      </c>
      <c r="O258" s="4">
        <v>0</v>
      </c>
      <c r="P258" s="36">
        <v>13.01</v>
      </c>
      <c r="Q258" s="32">
        <f t="shared" si="18"/>
        <v>650.5</v>
      </c>
    </row>
    <row r="259" spans="1:18" s="33" customFormat="1" ht="15" customHeight="1" x14ac:dyDescent="0.25">
      <c r="A259" s="6" t="s">
        <v>57</v>
      </c>
      <c r="B259" s="6">
        <v>3461</v>
      </c>
      <c r="C259" s="6">
        <v>182296</v>
      </c>
      <c r="D259" s="6">
        <v>18</v>
      </c>
      <c r="E259" s="151" t="s">
        <v>81</v>
      </c>
      <c r="F259" s="151" t="s">
        <v>82</v>
      </c>
      <c r="G259" s="121">
        <v>1000</v>
      </c>
      <c r="H259" s="44">
        <v>389</v>
      </c>
      <c r="I259" s="122">
        <f t="shared" si="15"/>
        <v>0</v>
      </c>
      <c r="J259" s="123">
        <v>45254</v>
      </c>
      <c r="K259" s="35"/>
      <c r="L259" s="4">
        <v>389</v>
      </c>
      <c r="M259" s="35">
        <v>45247</v>
      </c>
      <c r="N259" s="4">
        <v>19519</v>
      </c>
      <c r="O259" s="4">
        <v>0</v>
      </c>
      <c r="P259" s="36">
        <v>24.93</v>
      </c>
      <c r="Q259" s="32">
        <f t="shared" si="18"/>
        <v>9697.77</v>
      </c>
    </row>
    <row r="260" spans="1:18" s="33" customFormat="1" ht="15" customHeight="1" x14ac:dyDescent="0.25">
      <c r="A260" s="5" t="s">
        <v>57</v>
      </c>
      <c r="B260" s="5">
        <v>3518</v>
      </c>
      <c r="C260" s="5">
        <v>183092</v>
      </c>
      <c r="D260" s="5">
        <v>22</v>
      </c>
      <c r="E260" s="31" t="s">
        <v>85</v>
      </c>
      <c r="F260" s="31" t="s">
        <v>179</v>
      </c>
      <c r="G260" s="80">
        <v>1000</v>
      </c>
      <c r="H260" s="41">
        <v>386</v>
      </c>
      <c r="I260" s="119">
        <f t="shared" si="15"/>
        <v>0</v>
      </c>
      <c r="J260" s="35">
        <v>45236</v>
      </c>
      <c r="K260" s="106"/>
      <c r="L260" s="108">
        <v>386</v>
      </c>
      <c r="M260" s="106">
        <v>45233</v>
      </c>
      <c r="N260" s="108">
        <v>19458</v>
      </c>
      <c r="O260" s="108">
        <v>0</v>
      </c>
      <c r="P260" s="36">
        <v>39.950000000000003</v>
      </c>
      <c r="Q260" s="32">
        <f t="shared" si="18"/>
        <v>15420.7</v>
      </c>
    </row>
    <row r="261" spans="1:18" s="33" customFormat="1" ht="15" customHeight="1" x14ac:dyDescent="0.25">
      <c r="A261" s="6" t="s">
        <v>57</v>
      </c>
      <c r="B261" s="6">
        <v>3461</v>
      </c>
      <c r="C261" s="6">
        <v>182296</v>
      </c>
      <c r="D261" s="6">
        <v>19</v>
      </c>
      <c r="E261" s="120" t="s">
        <v>85</v>
      </c>
      <c r="F261" s="120" t="s">
        <v>179</v>
      </c>
      <c r="G261" s="192">
        <v>1000</v>
      </c>
      <c r="H261" s="193">
        <v>450</v>
      </c>
      <c r="I261" s="136">
        <f t="shared" si="15"/>
        <v>0</v>
      </c>
      <c r="J261" s="123">
        <v>45254</v>
      </c>
      <c r="K261" s="35"/>
      <c r="L261" s="108">
        <v>450</v>
      </c>
      <c r="M261" s="106">
        <v>45247</v>
      </c>
      <c r="N261" s="108">
        <v>19519</v>
      </c>
      <c r="O261" s="108">
        <v>0</v>
      </c>
      <c r="P261" s="36">
        <v>39.950000000000003</v>
      </c>
      <c r="Q261" s="32">
        <f t="shared" si="18"/>
        <v>17977.5</v>
      </c>
    </row>
    <row r="262" spans="1:18" s="33" customFormat="1" ht="15" customHeight="1" x14ac:dyDescent="0.25">
      <c r="A262" s="6" t="s">
        <v>57</v>
      </c>
      <c r="B262" s="6">
        <v>3518</v>
      </c>
      <c r="C262" s="6">
        <v>183229</v>
      </c>
      <c r="D262" s="6">
        <v>5</v>
      </c>
      <c r="E262" s="120" t="s">
        <v>88</v>
      </c>
      <c r="F262" s="120" t="s">
        <v>89</v>
      </c>
      <c r="G262" s="192">
        <v>500</v>
      </c>
      <c r="H262" s="193">
        <v>500</v>
      </c>
      <c r="I262" s="136">
        <f t="shared" si="15"/>
        <v>0</v>
      </c>
      <c r="J262" s="123">
        <v>45254</v>
      </c>
      <c r="K262" s="106"/>
      <c r="L262" s="108">
        <v>500</v>
      </c>
      <c r="M262" s="106">
        <v>45247</v>
      </c>
      <c r="N262" s="108">
        <v>19519</v>
      </c>
      <c r="O262" s="108">
        <v>0</v>
      </c>
      <c r="P262" s="36">
        <v>23.05</v>
      </c>
      <c r="Q262" s="32">
        <f t="shared" si="18"/>
        <v>11525</v>
      </c>
    </row>
    <row r="263" spans="1:18" s="33" customFormat="1" ht="15.75" customHeight="1" x14ac:dyDescent="0.25">
      <c r="A263" s="134" t="s">
        <v>9</v>
      </c>
      <c r="B263" s="134">
        <v>3556</v>
      </c>
      <c r="C263" s="134">
        <v>5500007922</v>
      </c>
      <c r="D263" s="134" t="s">
        <v>6</v>
      </c>
      <c r="E263" s="146" t="s">
        <v>25</v>
      </c>
      <c r="F263" s="146" t="s">
        <v>151</v>
      </c>
      <c r="G263" s="31">
        <v>50</v>
      </c>
      <c r="H263" s="5">
        <v>50</v>
      </c>
      <c r="I263" s="137">
        <f t="shared" si="15"/>
        <v>50</v>
      </c>
      <c r="J263" s="263">
        <v>45306</v>
      </c>
      <c r="K263" s="264"/>
      <c r="L263" s="265"/>
      <c r="M263" s="264"/>
      <c r="N263" s="265"/>
      <c r="O263" s="265"/>
      <c r="P263" s="74">
        <v>23.78</v>
      </c>
      <c r="Q263" s="32">
        <f t="shared" si="18"/>
        <v>1189</v>
      </c>
    </row>
    <row r="264" spans="1:18" s="37" customFormat="1" ht="15" customHeight="1" x14ac:dyDescent="0.25">
      <c r="A264" s="182" t="s">
        <v>57</v>
      </c>
      <c r="B264" s="182">
        <v>3616</v>
      </c>
      <c r="C264" s="182">
        <v>184416</v>
      </c>
      <c r="D264" s="182">
        <v>2</v>
      </c>
      <c r="E264" s="185" t="s">
        <v>99</v>
      </c>
      <c r="F264" s="185" t="s">
        <v>100</v>
      </c>
      <c r="G264" s="183">
        <v>100</v>
      </c>
      <c r="H264" s="184">
        <v>40</v>
      </c>
      <c r="I264" s="140">
        <f t="shared" si="15"/>
        <v>0</v>
      </c>
      <c r="J264" s="171">
        <v>45239</v>
      </c>
      <c r="K264" s="35"/>
      <c r="L264" s="4">
        <v>40</v>
      </c>
      <c r="M264" s="35">
        <v>45238</v>
      </c>
      <c r="N264" s="4">
        <v>19479</v>
      </c>
      <c r="O264" s="4">
        <v>0</v>
      </c>
      <c r="P264" s="36">
        <v>35.31</v>
      </c>
      <c r="Q264" s="32">
        <f t="shared" si="18"/>
        <v>1412.4</v>
      </c>
      <c r="R264" s="33"/>
    </row>
    <row r="265" spans="1:18" s="7" customFormat="1" ht="15" customHeight="1" x14ac:dyDescent="0.25">
      <c r="A265" s="6" t="s">
        <v>57</v>
      </c>
      <c r="B265" s="191">
        <v>3616</v>
      </c>
      <c r="C265" s="191">
        <v>184416</v>
      </c>
      <c r="D265" s="191">
        <v>10</v>
      </c>
      <c r="E265" s="120" t="s">
        <v>99</v>
      </c>
      <c r="F265" s="120" t="s">
        <v>100</v>
      </c>
      <c r="G265" s="121">
        <v>100</v>
      </c>
      <c r="H265" s="44">
        <v>88</v>
      </c>
      <c r="I265" s="122">
        <f t="shared" ref="I265:I328" si="19">H265-L265</f>
        <v>0</v>
      </c>
      <c r="J265" s="124">
        <v>45254</v>
      </c>
      <c r="K265" s="107"/>
      <c r="L265" s="108">
        <v>88</v>
      </c>
      <c r="M265" s="106">
        <v>45247</v>
      </c>
      <c r="N265" s="108">
        <v>19522</v>
      </c>
      <c r="O265" s="108">
        <v>0</v>
      </c>
      <c r="P265" s="36">
        <v>35.31</v>
      </c>
      <c r="Q265" s="71">
        <f t="shared" si="18"/>
        <v>3107.28</v>
      </c>
      <c r="R265" s="33"/>
    </row>
    <row r="266" spans="1:18" s="33" customFormat="1" ht="15" customHeight="1" x14ac:dyDescent="0.25">
      <c r="A266" s="16" t="s">
        <v>31</v>
      </c>
      <c r="B266" s="16">
        <v>3645</v>
      </c>
      <c r="C266" s="16">
        <v>100491</v>
      </c>
      <c r="D266" s="16">
        <v>1</v>
      </c>
      <c r="E266" s="42" t="s">
        <v>260</v>
      </c>
      <c r="F266" s="42" t="s">
        <v>24</v>
      </c>
      <c r="G266" s="80">
        <v>120</v>
      </c>
      <c r="H266" s="41">
        <v>120</v>
      </c>
      <c r="I266" s="114">
        <f t="shared" si="19"/>
        <v>-15</v>
      </c>
      <c r="J266" s="43">
        <v>45240</v>
      </c>
      <c r="K266" s="107"/>
      <c r="L266" s="108">
        <v>135</v>
      </c>
      <c r="M266" s="106"/>
      <c r="N266" s="108"/>
      <c r="O266" s="108">
        <v>0</v>
      </c>
      <c r="P266" s="36"/>
      <c r="Q266" s="32"/>
    </row>
    <row r="267" spans="1:18" s="33" customFormat="1" ht="15" customHeight="1" x14ac:dyDescent="0.25">
      <c r="A267" s="5" t="s">
        <v>16</v>
      </c>
      <c r="B267" s="5">
        <v>3632</v>
      </c>
      <c r="C267" s="5">
        <v>37783</v>
      </c>
      <c r="D267" s="5">
        <v>1</v>
      </c>
      <c r="E267" s="31" t="s">
        <v>55</v>
      </c>
      <c r="F267" s="31" t="s">
        <v>56</v>
      </c>
      <c r="G267" s="80">
        <v>250</v>
      </c>
      <c r="H267" s="41">
        <v>86</v>
      </c>
      <c r="I267" s="119">
        <f t="shared" si="19"/>
        <v>0</v>
      </c>
      <c r="J267" s="35">
        <v>45250</v>
      </c>
      <c r="K267" s="35"/>
      <c r="L267" s="108">
        <v>86</v>
      </c>
      <c r="M267" s="106">
        <v>45231</v>
      </c>
      <c r="N267" s="108">
        <v>19454</v>
      </c>
      <c r="O267" s="108">
        <v>0</v>
      </c>
      <c r="P267" s="36"/>
      <c r="Q267" s="32">
        <f t="shared" ref="Q267:Q297" si="20">P267*H267</f>
        <v>0</v>
      </c>
    </row>
    <row r="268" spans="1:18" s="33" customFormat="1" ht="15" customHeight="1" x14ac:dyDescent="0.25">
      <c r="A268" s="5" t="s">
        <v>16</v>
      </c>
      <c r="B268" s="5">
        <v>3632</v>
      </c>
      <c r="C268" s="5">
        <v>37783</v>
      </c>
      <c r="D268" s="5">
        <v>1</v>
      </c>
      <c r="E268" s="31" t="s">
        <v>55</v>
      </c>
      <c r="F268" s="31" t="s">
        <v>56</v>
      </c>
      <c r="G268" s="80">
        <v>250</v>
      </c>
      <c r="H268" s="41">
        <v>81</v>
      </c>
      <c r="I268" s="119">
        <f t="shared" si="19"/>
        <v>0</v>
      </c>
      <c r="J268" s="35">
        <v>45250</v>
      </c>
      <c r="K268" s="35"/>
      <c r="L268" s="108">
        <v>81</v>
      </c>
      <c r="M268" s="106">
        <v>45236</v>
      </c>
      <c r="N268" s="108">
        <v>19467</v>
      </c>
      <c r="O268" s="108">
        <v>0</v>
      </c>
      <c r="P268" s="36">
        <v>64.930000000000007</v>
      </c>
      <c r="Q268" s="32">
        <f t="shared" si="20"/>
        <v>5259.3300000000008</v>
      </c>
    </row>
    <row r="269" spans="1:18" s="33" customFormat="1" ht="15" customHeight="1" x14ac:dyDescent="0.25">
      <c r="A269" s="5" t="s">
        <v>16</v>
      </c>
      <c r="B269" s="5">
        <v>3632</v>
      </c>
      <c r="C269" s="5">
        <v>37783</v>
      </c>
      <c r="D269" s="5">
        <v>1</v>
      </c>
      <c r="E269" s="31" t="s">
        <v>55</v>
      </c>
      <c r="F269" s="31" t="s">
        <v>56</v>
      </c>
      <c r="G269" s="80">
        <v>250</v>
      </c>
      <c r="H269" s="41">
        <v>83</v>
      </c>
      <c r="I269" s="119">
        <f t="shared" si="19"/>
        <v>0</v>
      </c>
      <c r="J269" s="35">
        <v>45250</v>
      </c>
      <c r="K269" s="35"/>
      <c r="L269" s="108">
        <v>83</v>
      </c>
      <c r="M269" s="106">
        <v>45236</v>
      </c>
      <c r="N269" s="108">
        <v>19468</v>
      </c>
      <c r="O269" s="108">
        <v>0</v>
      </c>
      <c r="P269" s="36">
        <v>64.930000000000007</v>
      </c>
      <c r="Q269" s="32">
        <f t="shared" si="20"/>
        <v>5389.1900000000005</v>
      </c>
    </row>
    <row r="270" spans="1:18" s="33" customFormat="1" ht="15" customHeight="1" x14ac:dyDescent="0.25">
      <c r="A270" s="134" t="s">
        <v>32</v>
      </c>
      <c r="B270" s="302">
        <v>3582</v>
      </c>
      <c r="C270" s="302">
        <v>51000589</v>
      </c>
      <c r="D270" s="302" t="s">
        <v>6</v>
      </c>
      <c r="E270" s="278" t="s">
        <v>20</v>
      </c>
      <c r="F270" s="146" t="s">
        <v>21</v>
      </c>
      <c r="G270" s="146">
        <v>43</v>
      </c>
      <c r="H270" s="134">
        <v>43</v>
      </c>
      <c r="I270" s="180">
        <f t="shared" si="19"/>
        <v>43</v>
      </c>
      <c r="J270" s="148">
        <v>45237</v>
      </c>
      <c r="K270" s="107"/>
      <c r="L270" s="108"/>
      <c r="M270" s="106"/>
      <c r="N270" s="108"/>
      <c r="O270" s="108"/>
      <c r="P270" s="36">
        <v>9.23</v>
      </c>
      <c r="Q270" s="32">
        <f t="shared" si="20"/>
        <v>396.89000000000004</v>
      </c>
    </row>
    <row r="271" spans="1:18" s="33" customFormat="1" ht="15" customHeight="1" x14ac:dyDescent="0.25">
      <c r="A271" s="5" t="s">
        <v>9</v>
      </c>
      <c r="B271" s="5">
        <v>3661</v>
      </c>
      <c r="C271" s="5">
        <v>5500007922</v>
      </c>
      <c r="D271" s="5" t="s">
        <v>6</v>
      </c>
      <c r="E271" s="78" t="s">
        <v>25</v>
      </c>
      <c r="F271" s="78" t="s">
        <v>193</v>
      </c>
      <c r="G271" s="31">
        <v>50</v>
      </c>
      <c r="H271" s="5">
        <v>50</v>
      </c>
      <c r="I271" s="119">
        <f t="shared" si="19"/>
        <v>-11</v>
      </c>
      <c r="J271" s="35">
        <v>45293</v>
      </c>
      <c r="K271" s="35"/>
      <c r="L271" s="4">
        <v>61</v>
      </c>
      <c r="M271" s="35">
        <v>45264</v>
      </c>
      <c r="N271" s="4">
        <v>19602</v>
      </c>
      <c r="O271" s="4">
        <v>0</v>
      </c>
      <c r="P271" s="36">
        <v>23.78</v>
      </c>
      <c r="Q271" s="32">
        <f t="shared" si="20"/>
        <v>1189</v>
      </c>
    </row>
    <row r="272" spans="1:18" s="33" customFormat="1" ht="15" customHeight="1" x14ac:dyDescent="0.25">
      <c r="A272" s="182" t="s">
        <v>57</v>
      </c>
      <c r="B272" s="182">
        <v>3558</v>
      </c>
      <c r="C272" s="182">
        <v>183790</v>
      </c>
      <c r="D272" s="182">
        <v>4</v>
      </c>
      <c r="E272" s="185" t="s">
        <v>112</v>
      </c>
      <c r="F272" s="185" t="s">
        <v>113</v>
      </c>
      <c r="G272" s="183">
        <v>100</v>
      </c>
      <c r="H272" s="184">
        <v>100</v>
      </c>
      <c r="I272" s="199">
        <f t="shared" si="19"/>
        <v>0</v>
      </c>
      <c r="J272" s="171">
        <v>45236</v>
      </c>
      <c r="K272" s="35"/>
      <c r="L272" s="108">
        <v>100</v>
      </c>
      <c r="M272" s="106">
        <v>45233</v>
      </c>
      <c r="N272" s="108">
        <v>19458</v>
      </c>
      <c r="O272" s="108">
        <v>0</v>
      </c>
      <c r="P272" s="36">
        <v>18.690000000000001</v>
      </c>
      <c r="Q272" s="32">
        <f t="shared" si="20"/>
        <v>1869.0000000000002</v>
      </c>
    </row>
    <row r="273" spans="1:17" s="33" customFormat="1" ht="15" customHeight="1" x14ac:dyDescent="0.25">
      <c r="A273" s="182" t="s">
        <v>57</v>
      </c>
      <c r="B273" s="214">
        <v>3558</v>
      </c>
      <c r="C273" s="214">
        <v>183790</v>
      </c>
      <c r="D273" s="214">
        <v>5</v>
      </c>
      <c r="E273" s="185" t="s">
        <v>118</v>
      </c>
      <c r="F273" s="185" t="s">
        <v>119</v>
      </c>
      <c r="G273" s="183">
        <v>200</v>
      </c>
      <c r="H273" s="184">
        <v>100</v>
      </c>
      <c r="I273" s="140">
        <f t="shared" si="19"/>
        <v>0</v>
      </c>
      <c r="J273" s="177">
        <v>45254</v>
      </c>
      <c r="K273" s="107"/>
      <c r="L273" s="108">
        <v>100</v>
      </c>
      <c r="M273" s="106">
        <v>45233</v>
      </c>
      <c r="N273" s="108">
        <v>19457</v>
      </c>
      <c r="O273" s="108">
        <v>0</v>
      </c>
      <c r="P273" s="36">
        <v>102.64</v>
      </c>
      <c r="Q273" s="32">
        <f t="shared" si="20"/>
        <v>10264</v>
      </c>
    </row>
    <row r="274" spans="1:17" s="33" customFormat="1" ht="15" customHeight="1" x14ac:dyDescent="0.25">
      <c r="A274" s="6" t="s">
        <v>57</v>
      </c>
      <c r="B274" s="191">
        <v>3558</v>
      </c>
      <c r="C274" s="191">
        <v>183790</v>
      </c>
      <c r="D274" s="191">
        <v>9</v>
      </c>
      <c r="E274" s="120" t="s">
        <v>118</v>
      </c>
      <c r="F274" s="120" t="s">
        <v>119</v>
      </c>
      <c r="G274" s="121">
        <v>200</v>
      </c>
      <c r="H274" s="44">
        <v>100</v>
      </c>
      <c r="I274" s="122">
        <f t="shared" si="19"/>
        <v>0</v>
      </c>
      <c r="J274" s="124">
        <v>45254</v>
      </c>
      <c r="K274" s="107"/>
      <c r="L274" s="108">
        <v>100</v>
      </c>
      <c r="M274" s="106">
        <v>45247</v>
      </c>
      <c r="N274" s="108">
        <v>19521</v>
      </c>
      <c r="O274" s="108">
        <v>0</v>
      </c>
      <c r="P274" s="36">
        <v>102.64</v>
      </c>
      <c r="Q274" s="32">
        <f t="shared" si="20"/>
        <v>10264</v>
      </c>
    </row>
    <row r="275" spans="1:17" s="33" customFormat="1" ht="15" customHeight="1" x14ac:dyDescent="0.25">
      <c r="A275" s="134" t="s">
        <v>9</v>
      </c>
      <c r="B275" s="202">
        <v>3575</v>
      </c>
      <c r="C275" s="202">
        <v>5500015214</v>
      </c>
      <c r="D275" s="202" t="s">
        <v>6</v>
      </c>
      <c r="E275" s="203" t="s">
        <v>22</v>
      </c>
      <c r="F275" s="203" t="s">
        <v>193</v>
      </c>
      <c r="G275" s="204">
        <v>160</v>
      </c>
      <c r="H275" s="205">
        <v>144</v>
      </c>
      <c r="I275" s="241">
        <f t="shared" si="19"/>
        <v>144</v>
      </c>
      <c r="J275" s="206">
        <v>45236</v>
      </c>
      <c r="K275" s="242">
        <v>47</v>
      </c>
      <c r="L275" s="108"/>
      <c r="M275" s="106"/>
      <c r="N275" s="108"/>
      <c r="O275" s="108"/>
      <c r="P275" s="36">
        <v>60.83</v>
      </c>
      <c r="Q275" s="32">
        <f t="shared" si="20"/>
        <v>8759.52</v>
      </c>
    </row>
    <row r="276" spans="1:17" s="33" customFormat="1" ht="15" customHeight="1" x14ac:dyDescent="0.25">
      <c r="A276" s="5" t="s">
        <v>211</v>
      </c>
      <c r="B276" s="5">
        <v>3649</v>
      </c>
      <c r="C276" s="5" t="s">
        <v>312</v>
      </c>
      <c r="D276" s="5">
        <v>2</v>
      </c>
      <c r="E276" s="31" t="s">
        <v>314</v>
      </c>
      <c r="F276" s="31" t="s">
        <v>317</v>
      </c>
      <c r="G276" s="80">
        <v>50</v>
      </c>
      <c r="H276" s="41">
        <v>50</v>
      </c>
      <c r="I276" s="119">
        <f t="shared" si="19"/>
        <v>-6</v>
      </c>
      <c r="J276" s="35">
        <v>45253</v>
      </c>
      <c r="K276" s="35"/>
      <c r="L276" s="108">
        <v>56</v>
      </c>
      <c r="M276" s="106">
        <v>45240</v>
      </c>
      <c r="N276" s="108">
        <v>19492</v>
      </c>
      <c r="O276" s="108">
        <v>0</v>
      </c>
      <c r="P276" s="36">
        <v>32.28</v>
      </c>
      <c r="Q276" s="32">
        <f t="shared" si="20"/>
        <v>1614</v>
      </c>
    </row>
    <row r="277" spans="1:17" s="33" customFormat="1" ht="15" customHeight="1" x14ac:dyDescent="0.25">
      <c r="A277" s="5" t="s">
        <v>211</v>
      </c>
      <c r="B277" s="5">
        <v>3649</v>
      </c>
      <c r="C277" s="5" t="s">
        <v>312</v>
      </c>
      <c r="D277" s="5">
        <v>1</v>
      </c>
      <c r="E277" s="31" t="s">
        <v>313</v>
      </c>
      <c r="F277" s="31" t="s">
        <v>318</v>
      </c>
      <c r="G277" s="80">
        <v>50</v>
      </c>
      <c r="H277" s="41">
        <v>50</v>
      </c>
      <c r="I277" s="119">
        <f t="shared" si="19"/>
        <v>-5</v>
      </c>
      <c r="J277" s="35">
        <v>45253</v>
      </c>
      <c r="K277" s="35"/>
      <c r="L277" s="108">
        <v>55</v>
      </c>
      <c r="M277" s="106">
        <v>45240</v>
      </c>
      <c r="N277" s="108">
        <v>19492</v>
      </c>
      <c r="O277" s="108">
        <v>0</v>
      </c>
      <c r="P277" s="36">
        <v>21.24</v>
      </c>
      <c r="Q277" s="32">
        <f t="shared" si="20"/>
        <v>1062</v>
      </c>
    </row>
    <row r="278" spans="1:17" s="33" customFormat="1" ht="14.25" customHeight="1" x14ac:dyDescent="0.25">
      <c r="A278" s="5" t="s">
        <v>211</v>
      </c>
      <c r="B278" s="5">
        <v>3649</v>
      </c>
      <c r="C278" s="5" t="s">
        <v>312</v>
      </c>
      <c r="D278" s="5">
        <v>3</v>
      </c>
      <c r="E278" s="31" t="s">
        <v>315</v>
      </c>
      <c r="F278" s="31" t="s">
        <v>316</v>
      </c>
      <c r="G278" s="31">
        <v>60</v>
      </c>
      <c r="H278" s="5">
        <v>55</v>
      </c>
      <c r="I278" s="119">
        <f t="shared" si="19"/>
        <v>0</v>
      </c>
      <c r="J278" s="35">
        <v>45253</v>
      </c>
      <c r="K278" s="35"/>
      <c r="L278" s="108">
        <v>55</v>
      </c>
      <c r="M278" s="106">
        <v>45240</v>
      </c>
      <c r="N278" s="108">
        <v>19492</v>
      </c>
      <c r="O278" s="108">
        <v>0</v>
      </c>
      <c r="P278" s="36">
        <v>6.1</v>
      </c>
      <c r="Q278" s="32">
        <f t="shared" si="20"/>
        <v>335.5</v>
      </c>
    </row>
    <row r="279" spans="1:17" s="33" customFormat="1" ht="15" customHeight="1" x14ac:dyDescent="0.25">
      <c r="A279" s="202" t="s">
        <v>16</v>
      </c>
      <c r="B279" s="202">
        <v>3639</v>
      </c>
      <c r="C279" s="202">
        <v>37824</v>
      </c>
      <c r="D279" s="202">
        <v>1</v>
      </c>
      <c r="E279" s="203" t="s">
        <v>309</v>
      </c>
      <c r="F279" s="203" t="s">
        <v>310</v>
      </c>
      <c r="G279" s="147">
        <v>50</v>
      </c>
      <c r="H279" s="135">
        <v>3</v>
      </c>
      <c r="I279" s="241">
        <f t="shared" si="19"/>
        <v>3</v>
      </c>
      <c r="J279" s="206">
        <v>45233</v>
      </c>
      <c r="K279" s="106"/>
      <c r="L279" s="108"/>
      <c r="M279" s="108"/>
      <c r="N279" s="93"/>
      <c r="O279" s="228"/>
      <c r="P279" s="36">
        <v>169.22</v>
      </c>
      <c r="Q279" s="32">
        <f t="shared" si="20"/>
        <v>507.65999999999997</v>
      </c>
    </row>
    <row r="280" spans="1:17" s="33" customFormat="1" ht="15" customHeight="1" x14ac:dyDescent="0.25">
      <c r="A280" s="182" t="s">
        <v>57</v>
      </c>
      <c r="B280" s="182">
        <v>3336</v>
      </c>
      <c r="C280" s="182">
        <v>180043</v>
      </c>
      <c r="D280" s="182">
        <v>15</v>
      </c>
      <c r="E280" s="185" t="s">
        <v>130</v>
      </c>
      <c r="F280" s="185" t="s">
        <v>131</v>
      </c>
      <c r="G280" s="185">
        <v>150</v>
      </c>
      <c r="H280" s="182">
        <v>117</v>
      </c>
      <c r="I280" s="199">
        <f t="shared" si="19"/>
        <v>0</v>
      </c>
      <c r="J280" s="171">
        <v>45239</v>
      </c>
      <c r="K280" s="35"/>
      <c r="L280" s="4">
        <v>117</v>
      </c>
      <c r="M280" s="35">
        <v>45233</v>
      </c>
      <c r="N280" s="4">
        <v>19458</v>
      </c>
      <c r="O280" s="4">
        <v>0</v>
      </c>
      <c r="P280" s="36">
        <v>39.97</v>
      </c>
      <c r="Q280" s="32">
        <f t="shared" si="20"/>
        <v>4676.49</v>
      </c>
    </row>
    <row r="281" spans="1:17" s="33" customFormat="1" ht="15" customHeight="1" x14ac:dyDescent="0.25">
      <c r="A281" s="5" t="s">
        <v>57</v>
      </c>
      <c r="B281" s="5">
        <v>3519</v>
      </c>
      <c r="C281" s="5">
        <v>183228</v>
      </c>
      <c r="D281" s="5">
        <v>1</v>
      </c>
      <c r="E281" s="31" t="s">
        <v>132</v>
      </c>
      <c r="F281" s="31" t="s">
        <v>133</v>
      </c>
      <c r="G281" s="31">
        <v>500</v>
      </c>
      <c r="H281" s="5">
        <v>500</v>
      </c>
      <c r="I281" s="119">
        <f t="shared" si="19"/>
        <v>0</v>
      </c>
      <c r="J281" s="35">
        <v>45236</v>
      </c>
      <c r="K281" s="35"/>
      <c r="L281" s="4">
        <v>500</v>
      </c>
      <c r="M281" s="35">
        <v>45233</v>
      </c>
      <c r="N281" s="4">
        <v>19456</v>
      </c>
      <c r="O281" s="4">
        <v>0</v>
      </c>
      <c r="P281" s="36">
        <v>15.96</v>
      </c>
      <c r="Q281" s="32">
        <f t="shared" si="20"/>
        <v>7980</v>
      </c>
    </row>
    <row r="282" spans="1:17" s="33" customFormat="1" ht="15" customHeight="1" x14ac:dyDescent="0.25">
      <c r="A282" s="134" t="s">
        <v>57</v>
      </c>
      <c r="B282" s="134">
        <v>3350</v>
      </c>
      <c r="C282" s="134">
        <v>180522</v>
      </c>
      <c r="D282" s="134">
        <v>4</v>
      </c>
      <c r="E282" s="146" t="s">
        <v>132</v>
      </c>
      <c r="F282" s="146" t="s">
        <v>133</v>
      </c>
      <c r="G282" s="147">
        <v>40</v>
      </c>
      <c r="H282" s="135">
        <v>40</v>
      </c>
      <c r="I282" s="180">
        <f t="shared" si="19"/>
        <v>40</v>
      </c>
      <c r="J282" s="148">
        <v>45245</v>
      </c>
      <c r="K282" s="106"/>
      <c r="L282" s="108"/>
      <c r="M282" s="106"/>
      <c r="N282" s="108"/>
      <c r="O282" s="108"/>
      <c r="P282" s="36">
        <v>15.96</v>
      </c>
      <c r="Q282" s="32">
        <f t="shared" si="20"/>
        <v>638.40000000000009</v>
      </c>
    </row>
    <row r="283" spans="1:17" s="33" customFormat="1" ht="15" customHeight="1" x14ac:dyDescent="0.25">
      <c r="A283" s="6" t="s">
        <v>32</v>
      </c>
      <c r="B283" s="190">
        <v>3607</v>
      </c>
      <c r="C283" s="6">
        <v>51000589</v>
      </c>
      <c r="D283" s="6" t="s">
        <v>6</v>
      </c>
      <c r="E283" s="151" t="s">
        <v>239</v>
      </c>
      <c r="F283" s="151" t="s">
        <v>23</v>
      </c>
      <c r="G283" s="80">
        <v>200</v>
      </c>
      <c r="H283" s="41">
        <v>57</v>
      </c>
      <c r="I283" s="122">
        <f t="shared" si="19"/>
        <v>0</v>
      </c>
      <c r="J283" s="123">
        <v>45260</v>
      </c>
      <c r="K283" s="35"/>
      <c r="L283" s="4">
        <v>57</v>
      </c>
      <c r="M283" s="35">
        <v>45237</v>
      </c>
      <c r="N283" s="4">
        <v>19473</v>
      </c>
      <c r="O283" s="4">
        <v>0</v>
      </c>
      <c r="P283" s="36">
        <v>169.25</v>
      </c>
      <c r="Q283" s="32">
        <f t="shared" si="20"/>
        <v>9647.25</v>
      </c>
    </row>
    <row r="284" spans="1:17" s="33" customFormat="1" ht="15" customHeight="1" x14ac:dyDescent="0.25">
      <c r="A284" s="6" t="s">
        <v>32</v>
      </c>
      <c r="B284" s="190">
        <v>3607</v>
      </c>
      <c r="C284" s="6">
        <v>51000589</v>
      </c>
      <c r="D284" s="6" t="s">
        <v>6</v>
      </c>
      <c r="E284" s="120" t="s">
        <v>239</v>
      </c>
      <c r="F284" s="120" t="s">
        <v>23</v>
      </c>
      <c r="G284" s="80">
        <v>200</v>
      </c>
      <c r="H284" s="41">
        <v>86</v>
      </c>
      <c r="I284" s="122">
        <f t="shared" si="19"/>
        <v>0</v>
      </c>
      <c r="J284" s="123">
        <v>45260</v>
      </c>
      <c r="K284" s="35"/>
      <c r="L284" s="4">
        <v>86</v>
      </c>
      <c r="M284" s="35">
        <v>45247</v>
      </c>
      <c r="N284" s="4">
        <v>19526</v>
      </c>
      <c r="O284" s="4">
        <v>0</v>
      </c>
      <c r="P284" s="36">
        <v>169.25</v>
      </c>
      <c r="Q284" s="32">
        <f t="shared" si="20"/>
        <v>14555.5</v>
      </c>
    </row>
    <row r="285" spans="1:17" s="33" customFormat="1" ht="15" customHeight="1" x14ac:dyDescent="0.25">
      <c r="A285" s="6" t="s">
        <v>32</v>
      </c>
      <c r="B285" s="6">
        <v>3607</v>
      </c>
      <c r="C285" s="6">
        <v>51000589</v>
      </c>
      <c r="D285" s="6" t="s">
        <v>6</v>
      </c>
      <c r="E285" s="120" t="s">
        <v>241</v>
      </c>
      <c r="F285" s="120" t="s">
        <v>8</v>
      </c>
      <c r="G285" s="31">
        <v>112</v>
      </c>
      <c r="H285" s="5">
        <v>91</v>
      </c>
      <c r="I285" s="122">
        <f t="shared" si="19"/>
        <v>0</v>
      </c>
      <c r="J285" s="123">
        <v>45260</v>
      </c>
      <c r="K285" s="35"/>
      <c r="L285" s="4">
        <v>91</v>
      </c>
      <c r="M285" s="35">
        <v>45247</v>
      </c>
      <c r="N285" s="4">
        <v>19526</v>
      </c>
      <c r="O285" s="4">
        <v>0</v>
      </c>
      <c r="P285" s="36">
        <v>31.12</v>
      </c>
      <c r="Q285" s="32">
        <f t="shared" si="20"/>
        <v>2831.92</v>
      </c>
    </row>
    <row r="286" spans="1:17" s="33" customFormat="1" ht="15" customHeight="1" x14ac:dyDescent="0.25">
      <c r="A286" s="6" t="s">
        <v>32</v>
      </c>
      <c r="B286" s="6">
        <v>3607</v>
      </c>
      <c r="C286" s="6">
        <v>51000589</v>
      </c>
      <c r="D286" s="6" t="s">
        <v>6</v>
      </c>
      <c r="E286" s="120" t="s">
        <v>242</v>
      </c>
      <c r="F286" s="120" t="s">
        <v>8</v>
      </c>
      <c r="G286" s="31">
        <v>112</v>
      </c>
      <c r="H286" s="5">
        <v>5</v>
      </c>
      <c r="I286" s="122">
        <f t="shared" si="19"/>
        <v>0</v>
      </c>
      <c r="J286" s="123">
        <v>45260</v>
      </c>
      <c r="K286" s="35"/>
      <c r="L286" s="4">
        <v>5</v>
      </c>
      <c r="M286" s="35">
        <v>45247</v>
      </c>
      <c r="N286" s="4">
        <v>19526</v>
      </c>
      <c r="O286" s="4">
        <v>0</v>
      </c>
      <c r="P286" s="36">
        <v>43.75</v>
      </c>
      <c r="Q286" s="32">
        <f t="shared" si="20"/>
        <v>218.75</v>
      </c>
    </row>
    <row r="287" spans="1:17" s="33" customFormat="1" ht="15" customHeight="1" x14ac:dyDescent="0.25">
      <c r="A287" s="6" t="s">
        <v>34</v>
      </c>
      <c r="B287" s="6">
        <v>3544</v>
      </c>
      <c r="C287" s="6">
        <v>344883</v>
      </c>
      <c r="D287" s="6" t="s">
        <v>6</v>
      </c>
      <c r="E287" s="120" t="s">
        <v>39</v>
      </c>
      <c r="F287" s="120" t="s">
        <v>40</v>
      </c>
      <c r="G287" s="31">
        <v>5</v>
      </c>
      <c r="H287" s="5">
        <v>5</v>
      </c>
      <c r="I287" s="122">
        <f t="shared" si="19"/>
        <v>0</v>
      </c>
      <c r="J287" s="123">
        <v>45246</v>
      </c>
      <c r="K287" s="35"/>
      <c r="L287" s="4">
        <v>5</v>
      </c>
      <c r="M287" s="35">
        <v>45247</v>
      </c>
      <c r="N287" s="4">
        <v>19528</v>
      </c>
      <c r="O287" s="4">
        <v>0</v>
      </c>
      <c r="P287" s="36">
        <v>6.8</v>
      </c>
      <c r="Q287" s="32">
        <f t="shared" si="20"/>
        <v>34</v>
      </c>
    </row>
    <row r="288" spans="1:17" s="33" customFormat="1" ht="15" customHeight="1" x14ac:dyDescent="0.25">
      <c r="A288" s="6" t="s">
        <v>34</v>
      </c>
      <c r="B288" s="6">
        <v>3545</v>
      </c>
      <c r="C288" s="6">
        <v>344882</v>
      </c>
      <c r="D288" s="6" t="s">
        <v>6</v>
      </c>
      <c r="E288" s="120" t="s">
        <v>35</v>
      </c>
      <c r="F288" s="120" t="s">
        <v>43</v>
      </c>
      <c r="G288" s="31">
        <v>5</v>
      </c>
      <c r="H288" s="5">
        <v>5</v>
      </c>
      <c r="I288" s="122">
        <f t="shared" si="19"/>
        <v>0</v>
      </c>
      <c r="J288" s="123">
        <v>45244</v>
      </c>
      <c r="K288" s="35"/>
      <c r="L288" s="4">
        <v>5</v>
      </c>
      <c r="M288" s="35">
        <v>45247</v>
      </c>
      <c r="N288" s="4">
        <v>19528</v>
      </c>
      <c r="O288" s="4">
        <v>0</v>
      </c>
      <c r="P288" s="36">
        <v>3929.75</v>
      </c>
      <c r="Q288" s="32">
        <f t="shared" si="20"/>
        <v>19648.75</v>
      </c>
    </row>
    <row r="289" spans="1:18" s="33" customFormat="1" ht="15" customHeight="1" x14ac:dyDescent="0.25">
      <c r="A289" s="6" t="s">
        <v>31</v>
      </c>
      <c r="B289" s="6"/>
      <c r="C289" s="6">
        <v>100492</v>
      </c>
      <c r="D289" s="6">
        <v>1</v>
      </c>
      <c r="E289" s="120" t="s">
        <v>263</v>
      </c>
      <c r="F289" s="120" t="s">
        <v>164</v>
      </c>
      <c r="G289" s="120">
        <v>200</v>
      </c>
      <c r="H289" s="6">
        <v>54</v>
      </c>
      <c r="I289" s="122">
        <f t="shared" si="19"/>
        <v>54</v>
      </c>
      <c r="J289" s="123">
        <v>45235</v>
      </c>
      <c r="K289" s="35"/>
      <c r="L289" s="4"/>
      <c r="M289" s="35"/>
      <c r="N289" s="4"/>
      <c r="O289" s="4">
        <v>0</v>
      </c>
      <c r="P289" s="36">
        <v>60.96</v>
      </c>
      <c r="Q289" s="32">
        <f t="shared" si="20"/>
        <v>3291.84</v>
      </c>
    </row>
    <row r="290" spans="1:18" s="33" customFormat="1" ht="15" customHeight="1" x14ac:dyDescent="0.25">
      <c r="A290" s="6" t="s">
        <v>31</v>
      </c>
      <c r="B290" s="6">
        <v>3635</v>
      </c>
      <c r="C290" s="6">
        <v>100493</v>
      </c>
      <c r="D290" s="6">
        <v>1</v>
      </c>
      <c r="E290" s="120" t="s">
        <v>263</v>
      </c>
      <c r="F290" s="120" t="s">
        <v>164</v>
      </c>
      <c r="G290" s="120">
        <v>120</v>
      </c>
      <c r="H290" s="6">
        <v>120</v>
      </c>
      <c r="I290" s="122">
        <f t="shared" si="19"/>
        <v>120</v>
      </c>
      <c r="J290" s="123">
        <v>45235</v>
      </c>
      <c r="K290" s="35"/>
      <c r="L290" s="4"/>
      <c r="M290" s="35"/>
      <c r="N290" s="4"/>
      <c r="O290" s="4">
        <v>0</v>
      </c>
      <c r="P290" s="36">
        <v>60.96</v>
      </c>
      <c r="Q290" s="32">
        <f t="shared" si="20"/>
        <v>7315.2</v>
      </c>
    </row>
    <row r="291" spans="1:18" s="33" customFormat="1" ht="15" customHeight="1" x14ac:dyDescent="0.25">
      <c r="A291" s="6" t="s">
        <v>16</v>
      </c>
      <c r="B291" s="6">
        <v>3659</v>
      </c>
      <c r="C291" s="6">
        <v>37922</v>
      </c>
      <c r="D291" s="6">
        <v>1</v>
      </c>
      <c r="E291" s="120" t="s">
        <v>55</v>
      </c>
      <c r="F291" s="120" t="s">
        <v>56</v>
      </c>
      <c r="G291" s="31">
        <v>40</v>
      </c>
      <c r="H291" s="5">
        <v>40</v>
      </c>
      <c r="I291" s="122">
        <f t="shared" si="19"/>
        <v>0</v>
      </c>
      <c r="J291" s="35">
        <v>45252</v>
      </c>
      <c r="K291" s="35"/>
      <c r="L291" s="4">
        <v>40</v>
      </c>
      <c r="M291" s="35">
        <v>45247</v>
      </c>
      <c r="N291" s="4">
        <v>19529</v>
      </c>
      <c r="O291" s="4">
        <v>0</v>
      </c>
      <c r="P291" s="36">
        <v>64.95</v>
      </c>
      <c r="Q291" s="32">
        <f t="shared" si="20"/>
        <v>2598</v>
      </c>
    </row>
    <row r="292" spans="1:18" s="37" customFormat="1" ht="15" customHeight="1" x14ac:dyDescent="0.25">
      <c r="A292" s="6" t="s">
        <v>57</v>
      </c>
      <c r="B292" s="6">
        <v>3530</v>
      </c>
      <c r="C292" s="6">
        <v>183436</v>
      </c>
      <c r="D292" s="6">
        <v>1</v>
      </c>
      <c r="E292" s="120" t="s">
        <v>132</v>
      </c>
      <c r="F292" s="120" t="s">
        <v>133</v>
      </c>
      <c r="G292" s="121">
        <v>941</v>
      </c>
      <c r="H292" s="44">
        <v>941</v>
      </c>
      <c r="I292" s="122">
        <f t="shared" si="19"/>
        <v>0</v>
      </c>
      <c r="J292" s="123">
        <v>45254</v>
      </c>
      <c r="K292" s="35"/>
      <c r="L292" s="4">
        <v>941</v>
      </c>
      <c r="M292" s="35">
        <v>45247</v>
      </c>
      <c r="N292" s="4">
        <v>19520</v>
      </c>
      <c r="O292" s="4">
        <v>0</v>
      </c>
      <c r="P292" s="36">
        <v>15.96</v>
      </c>
      <c r="Q292" s="32">
        <f t="shared" si="20"/>
        <v>15018.36</v>
      </c>
      <c r="R292" s="33"/>
    </row>
    <row r="293" spans="1:18" s="33" customFormat="1" ht="15" customHeight="1" x14ac:dyDescent="0.25">
      <c r="A293" s="6" t="s">
        <v>57</v>
      </c>
      <c r="B293" s="6">
        <v>3619</v>
      </c>
      <c r="C293" s="6">
        <v>184417</v>
      </c>
      <c r="D293" s="6">
        <v>1</v>
      </c>
      <c r="E293" s="120" t="s">
        <v>136</v>
      </c>
      <c r="F293" s="120" t="s">
        <v>137</v>
      </c>
      <c r="G293" s="121">
        <v>1000</v>
      </c>
      <c r="H293" s="44">
        <v>200</v>
      </c>
      <c r="I293" s="136">
        <f t="shared" si="19"/>
        <v>0</v>
      </c>
      <c r="J293" s="123">
        <v>45254</v>
      </c>
      <c r="K293" s="35"/>
      <c r="L293" s="108">
        <v>200</v>
      </c>
      <c r="M293" s="106">
        <v>45244</v>
      </c>
      <c r="N293" s="108">
        <v>19503</v>
      </c>
      <c r="O293" s="108">
        <v>1</v>
      </c>
      <c r="P293" s="36">
        <v>8.56</v>
      </c>
      <c r="Q293" s="32">
        <f t="shared" si="20"/>
        <v>1712</v>
      </c>
    </row>
    <row r="294" spans="1:18" s="33" customFormat="1" ht="12.75" customHeight="1" x14ac:dyDescent="0.25">
      <c r="A294" s="6" t="s">
        <v>57</v>
      </c>
      <c r="B294" s="6">
        <v>3619</v>
      </c>
      <c r="C294" s="304">
        <v>184417</v>
      </c>
      <c r="D294" s="6">
        <v>34</v>
      </c>
      <c r="E294" s="120" t="s">
        <v>136</v>
      </c>
      <c r="F294" s="120" t="s">
        <v>137</v>
      </c>
      <c r="G294" s="121">
        <v>1000</v>
      </c>
      <c r="H294" s="304">
        <v>800</v>
      </c>
      <c r="I294" s="136">
        <f t="shared" si="19"/>
        <v>0</v>
      </c>
      <c r="J294" s="123">
        <v>45254</v>
      </c>
      <c r="K294" s="35"/>
      <c r="L294" s="4">
        <v>800</v>
      </c>
      <c r="M294" s="35">
        <v>45247</v>
      </c>
      <c r="N294" s="4">
        <v>19519</v>
      </c>
      <c r="O294" s="4">
        <v>0</v>
      </c>
      <c r="P294" s="93">
        <v>8.56</v>
      </c>
      <c r="Q294" s="32">
        <f t="shared" si="20"/>
        <v>6848</v>
      </c>
    </row>
    <row r="295" spans="1:18" s="33" customFormat="1" ht="15" customHeight="1" x14ac:dyDescent="0.25">
      <c r="A295" s="134" t="s">
        <v>32</v>
      </c>
      <c r="B295" s="242">
        <v>3605</v>
      </c>
      <c r="C295" s="134">
        <v>51000589</v>
      </c>
      <c r="D295" s="134" t="s">
        <v>6</v>
      </c>
      <c r="E295" s="146" t="s">
        <v>195</v>
      </c>
      <c r="F295" s="146" t="s">
        <v>194</v>
      </c>
      <c r="G295" s="115">
        <v>50</v>
      </c>
      <c r="H295" s="70">
        <v>50</v>
      </c>
      <c r="I295" s="180">
        <f t="shared" si="19"/>
        <v>50</v>
      </c>
      <c r="J295" s="148" t="s">
        <v>320</v>
      </c>
      <c r="K295" s="148"/>
      <c r="L295" s="108"/>
      <c r="M295" s="106"/>
      <c r="N295" s="108"/>
      <c r="O295" s="108"/>
      <c r="P295" s="36">
        <v>152.15</v>
      </c>
      <c r="Q295" s="71">
        <f t="shared" si="20"/>
        <v>7607.5</v>
      </c>
    </row>
    <row r="296" spans="1:18" s="33" customFormat="1" ht="15" customHeight="1" x14ac:dyDescent="0.25">
      <c r="A296" s="134" t="s">
        <v>57</v>
      </c>
      <c r="B296" s="134">
        <v>3432</v>
      </c>
      <c r="C296" s="134">
        <v>181756</v>
      </c>
      <c r="D296" s="134">
        <v>3</v>
      </c>
      <c r="E296" s="146" t="s">
        <v>146</v>
      </c>
      <c r="F296" s="146" t="s">
        <v>147</v>
      </c>
      <c r="G296" s="306">
        <v>4</v>
      </c>
      <c r="H296" s="307">
        <v>4</v>
      </c>
      <c r="I296" s="180">
        <f t="shared" si="19"/>
        <v>4</v>
      </c>
      <c r="J296" s="148">
        <v>45241</v>
      </c>
      <c r="K296" s="35"/>
      <c r="L296" s="108"/>
      <c r="M296" s="106"/>
      <c r="N296" s="108"/>
      <c r="O296" s="108"/>
      <c r="P296" s="36">
        <v>13.01</v>
      </c>
      <c r="Q296" s="71">
        <f t="shared" si="20"/>
        <v>52.04</v>
      </c>
    </row>
    <row r="297" spans="1:18" s="33" customFormat="1" ht="15" customHeight="1" x14ac:dyDescent="0.25">
      <c r="A297" s="6" t="s">
        <v>32</v>
      </c>
      <c r="B297" s="190">
        <v>3637</v>
      </c>
      <c r="C297" s="208">
        <v>275174</v>
      </c>
      <c r="D297" s="6" t="s">
        <v>6</v>
      </c>
      <c r="E297" s="120" t="s">
        <v>238</v>
      </c>
      <c r="F297" s="120" t="s">
        <v>250</v>
      </c>
      <c r="G297" s="115">
        <v>450</v>
      </c>
      <c r="H297" s="70">
        <v>243</v>
      </c>
      <c r="I297" s="136">
        <f t="shared" si="19"/>
        <v>0</v>
      </c>
      <c r="J297" s="123">
        <v>45245</v>
      </c>
      <c r="K297" s="35"/>
      <c r="L297" s="108">
        <v>243</v>
      </c>
      <c r="M297" s="106">
        <v>45247</v>
      </c>
      <c r="N297" s="108">
        <v>19526</v>
      </c>
      <c r="O297" s="108">
        <v>0</v>
      </c>
      <c r="P297" s="36">
        <v>48.89</v>
      </c>
      <c r="Q297" s="71">
        <f t="shared" si="20"/>
        <v>11880.27</v>
      </c>
    </row>
    <row r="298" spans="1:18" s="33" customFormat="1" ht="15" customHeight="1" x14ac:dyDescent="0.25">
      <c r="A298" s="6" t="s">
        <v>247</v>
      </c>
      <c r="B298" s="209">
        <v>3698</v>
      </c>
      <c r="C298" s="191">
        <v>21773</v>
      </c>
      <c r="D298" s="191">
        <v>2</v>
      </c>
      <c r="E298" s="151" t="s">
        <v>384</v>
      </c>
      <c r="F298" s="120" t="s">
        <v>387</v>
      </c>
      <c r="G298" s="31">
        <v>4</v>
      </c>
      <c r="H298" s="5">
        <v>4</v>
      </c>
      <c r="I298" s="136">
        <f t="shared" si="19"/>
        <v>0</v>
      </c>
      <c r="J298" s="123">
        <v>45261</v>
      </c>
      <c r="K298" s="107"/>
      <c r="L298" s="108">
        <v>4</v>
      </c>
      <c r="M298" s="106">
        <v>45265</v>
      </c>
      <c r="N298" s="108">
        <v>19613</v>
      </c>
      <c r="O298" s="108">
        <v>0</v>
      </c>
      <c r="P298" s="36"/>
      <c r="Q298" s="32"/>
    </row>
    <row r="299" spans="1:18" s="33" customFormat="1" ht="14.25" customHeight="1" x14ac:dyDescent="0.25">
      <c r="A299" s="6" t="s">
        <v>247</v>
      </c>
      <c r="B299" s="190">
        <v>3698</v>
      </c>
      <c r="C299" s="6">
        <v>21773</v>
      </c>
      <c r="D299" s="6">
        <v>3</v>
      </c>
      <c r="E299" s="120" t="s">
        <v>385</v>
      </c>
      <c r="F299" s="120" t="s">
        <v>388</v>
      </c>
      <c r="G299" s="115">
        <v>4</v>
      </c>
      <c r="H299" s="70">
        <v>4</v>
      </c>
      <c r="I299" s="136">
        <f t="shared" si="19"/>
        <v>0</v>
      </c>
      <c r="J299" s="123">
        <v>45261</v>
      </c>
      <c r="K299" s="35"/>
      <c r="L299" s="108">
        <v>4</v>
      </c>
      <c r="M299" s="106">
        <v>45265</v>
      </c>
      <c r="N299" s="108">
        <v>19613</v>
      </c>
      <c r="O299" s="108">
        <v>0</v>
      </c>
      <c r="P299" s="36"/>
      <c r="Q299" s="32"/>
    </row>
    <row r="300" spans="1:18" s="33" customFormat="1" ht="15" customHeight="1" x14ac:dyDescent="0.25">
      <c r="A300" s="6" t="s">
        <v>247</v>
      </c>
      <c r="B300" s="190">
        <v>3698</v>
      </c>
      <c r="C300" s="6">
        <v>21773</v>
      </c>
      <c r="D300" s="6">
        <v>1</v>
      </c>
      <c r="E300" s="120" t="s">
        <v>383</v>
      </c>
      <c r="F300" s="120" t="s">
        <v>386</v>
      </c>
      <c r="G300" s="31">
        <v>2</v>
      </c>
      <c r="H300" s="5">
        <v>2</v>
      </c>
      <c r="I300" s="136">
        <f t="shared" si="19"/>
        <v>0</v>
      </c>
      <c r="J300" s="123">
        <v>45261</v>
      </c>
      <c r="K300" s="35"/>
      <c r="L300" s="108">
        <v>2</v>
      </c>
      <c r="M300" s="106">
        <v>45265</v>
      </c>
      <c r="N300" s="108">
        <v>19613</v>
      </c>
      <c r="O300" s="108">
        <v>0</v>
      </c>
      <c r="P300" s="36"/>
      <c r="Q300" s="32"/>
    </row>
  </sheetData>
  <autoFilter ref="A1:Q300">
    <sortState ref="A5:Q300">
      <sortCondition ref="O1:O300"/>
    </sortState>
  </autoFilter>
  <sortState ref="A6:O54">
    <sortCondition ref="F39"/>
  </sortState>
  <customSheetViews>
    <customSheetView guid="{8DFF655C-62BA-4527-8B82-3263C3734441}" topLeftCell="A19">
      <selection activeCell="H20" sqref="A20:H67"/>
      <pageMargins left="0.511811024" right="0.511811024" top="0.78740157499999996" bottom="0.78740157499999996" header="0.31496062000000002" footer="0.31496062000000002"/>
      <pageSetup orientation="landscape" r:id="rId1"/>
    </customSheetView>
    <customSheetView guid="{095A3D2E-B082-45FD-B82E-E63CCAF3ADFE}" topLeftCell="A19">
      <selection activeCell="H20" sqref="A20:H67"/>
      <pageMargins left="0.511811024" right="0.511811024" top="0.78740157499999996" bottom="0.78740157499999996" header="0.31496062000000002" footer="0.31496062000000002"/>
      <pageSetup orientation="landscape" r:id="rId2"/>
    </customSheetView>
    <customSheetView guid="{BCAC6F9D-A5D3-4BF4-A6B7-85B9B6C91B10}" showPageBreaks="1" topLeftCell="A9">
      <selection activeCell="E3" sqref="A3:E27"/>
      <pageMargins left="0.511811024" right="0.511811024" top="0.78740157499999996" bottom="0.78740157499999996" header="0.31496062000000002" footer="0.31496062000000002"/>
      <pageSetup orientation="landscape" r:id="rId3"/>
    </customSheetView>
  </customSheetViews>
  <conditionalFormatting sqref="A2:J20">
    <cfRule type="timePeriod" dxfId="985" priority="938" timePeriod="nextWeek">
      <formula>AND(ROUNDDOWN(A2,0)-TODAY()&gt;(7-WEEKDAY(TODAY())),ROUNDDOWN(A2,0)-TODAY()&lt;(15-WEEKDAY(TODAY())))</formula>
    </cfRule>
    <cfRule type="timePeriod" dxfId="984" priority="939" timePeriod="yesterday">
      <formula>FLOOR(A2,1)=TODAY()-1</formula>
    </cfRule>
    <cfRule type="timePeriod" dxfId="983" priority="940" timePeriod="today">
      <formula>FLOOR(A2,1)=TODAY()</formula>
    </cfRule>
    <cfRule type="timePeriod" dxfId="982" priority="941" timePeriod="yesterday">
      <formula>FLOOR(A2,1)=TODAY()-1</formula>
    </cfRule>
    <cfRule type="timePeriod" dxfId="981" priority="942" timePeriod="today">
      <formula>FLOOR(A2,1)=TODAY()</formula>
    </cfRule>
  </conditionalFormatting>
  <conditionalFormatting sqref="I2:I20">
    <cfRule type="cellIs" dxfId="980" priority="943" operator="equal">
      <formula>0</formula>
    </cfRule>
  </conditionalFormatting>
  <conditionalFormatting sqref="I21">
    <cfRule type="cellIs" dxfId="979" priority="937" operator="equal">
      <formula>0</formula>
    </cfRule>
  </conditionalFormatting>
  <conditionalFormatting sqref="A21:J21">
    <cfRule type="timePeriod" dxfId="978" priority="932" timePeriod="nextWeek">
      <formula>AND(ROUNDDOWN(A21,0)-TODAY()&gt;(7-WEEKDAY(TODAY())),ROUNDDOWN(A21,0)-TODAY()&lt;(15-WEEKDAY(TODAY())))</formula>
    </cfRule>
    <cfRule type="timePeriod" dxfId="977" priority="933" timePeriod="yesterday">
      <formula>FLOOR(A21,1)=TODAY()-1</formula>
    </cfRule>
    <cfRule type="timePeriod" dxfId="976" priority="934" timePeriod="today">
      <formula>FLOOR(A21,1)=TODAY()</formula>
    </cfRule>
    <cfRule type="timePeriod" dxfId="975" priority="935" timePeriod="yesterday">
      <formula>FLOOR(A21,1)=TODAY()-1</formula>
    </cfRule>
    <cfRule type="timePeriod" dxfId="974" priority="936" timePeriod="today">
      <formula>FLOOR(A21,1)=TODAY()</formula>
    </cfRule>
  </conditionalFormatting>
  <conditionalFormatting sqref="I22">
    <cfRule type="cellIs" dxfId="973" priority="931" operator="equal">
      <formula>0</formula>
    </cfRule>
  </conditionalFormatting>
  <conditionalFormatting sqref="A22:K22">
    <cfRule type="timePeriod" dxfId="972" priority="926" timePeriod="nextWeek">
      <formula>AND(ROUNDDOWN(A22,0)-TODAY()&gt;(7-WEEKDAY(TODAY())),ROUNDDOWN(A22,0)-TODAY()&lt;(15-WEEKDAY(TODAY())))</formula>
    </cfRule>
    <cfRule type="timePeriod" dxfId="971" priority="927" timePeriod="yesterday">
      <formula>FLOOR(A22,1)=TODAY()-1</formula>
    </cfRule>
    <cfRule type="timePeriod" dxfId="970" priority="928" timePeriod="today">
      <formula>FLOOR(A22,1)=TODAY()</formula>
    </cfRule>
    <cfRule type="timePeriod" dxfId="969" priority="929" timePeriod="yesterday">
      <formula>FLOOR(A22,1)=TODAY()-1</formula>
    </cfRule>
    <cfRule type="timePeriod" dxfId="968" priority="930" timePeriod="today">
      <formula>FLOOR(A22,1)=TODAY()</formula>
    </cfRule>
  </conditionalFormatting>
  <conditionalFormatting sqref="I23">
    <cfRule type="cellIs" dxfId="967" priority="925" operator="equal">
      <formula>0</formula>
    </cfRule>
  </conditionalFormatting>
  <conditionalFormatting sqref="A23:K23">
    <cfRule type="timePeriod" dxfId="966" priority="920" timePeriod="nextWeek">
      <formula>AND(ROUNDDOWN(A23,0)-TODAY()&gt;(7-WEEKDAY(TODAY())),ROUNDDOWN(A23,0)-TODAY()&lt;(15-WEEKDAY(TODAY())))</formula>
    </cfRule>
    <cfRule type="timePeriod" dxfId="965" priority="921" timePeriod="yesterday">
      <formula>FLOOR(A23,1)=TODAY()-1</formula>
    </cfRule>
    <cfRule type="timePeriod" dxfId="964" priority="922" timePeriod="today">
      <formula>FLOOR(A23,1)=TODAY()</formula>
    </cfRule>
    <cfRule type="timePeriod" dxfId="963" priority="923" timePeriod="yesterday">
      <formula>FLOOR(A23,1)=TODAY()-1</formula>
    </cfRule>
    <cfRule type="timePeriod" dxfId="962" priority="924" timePeriod="today">
      <formula>FLOOR(A23,1)=TODAY()</formula>
    </cfRule>
  </conditionalFormatting>
  <conditionalFormatting sqref="I24">
    <cfRule type="cellIs" dxfId="961" priority="919" operator="equal">
      <formula>0</formula>
    </cfRule>
  </conditionalFormatting>
  <conditionalFormatting sqref="A24:K24">
    <cfRule type="timePeriod" dxfId="960" priority="914" timePeriod="nextWeek">
      <formula>AND(ROUNDDOWN(A24,0)-TODAY()&gt;(7-WEEKDAY(TODAY())),ROUNDDOWN(A24,0)-TODAY()&lt;(15-WEEKDAY(TODAY())))</formula>
    </cfRule>
    <cfRule type="timePeriod" dxfId="959" priority="915" timePeriod="yesterday">
      <formula>FLOOR(A24,1)=TODAY()-1</formula>
    </cfRule>
    <cfRule type="timePeriod" dxfId="958" priority="916" timePeriod="today">
      <formula>FLOOR(A24,1)=TODAY()</formula>
    </cfRule>
    <cfRule type="timePeriod" dxfId="957" priority="917" timePeriod="yesterday">
      <formula>FLOOR(A24,1)=TODAY()-1</formula>
    </cfRule>
    <cfRule type="timePeriod" dxfId="956" priority="918" timePeriod="today">
      <formula>FLOOR(A24,1)=TODAY()</formula>
    </cfRule>
  </conditionalFormatting>
  <conditionalFormatting sqref="I25">
    <cfRule type="cellIs" dxfId="955" priority="913" operator="equal">
      <formula>0</formula>
    </cfRule>
  </conditionalFormatting>
  <conditionalFormatting sqref="A25:K25">
    <cfRule type="timePeriod" dxfId="954" priority="908" timePeriod="nextWeek">
      <formula>AND(ROUNDDOWN(A25,0)-TODAY()&gt;(7-WEEKDAY(TODAY())),ROUNDDOWN(A25,0)-TODAY()&lt;(15-WEEKDAY(TODAY())))</formula>
    </cfRule>
    <cfRule type="timePeriod" dxfId="953" priority="909" timePeriod="yesterday">
      <formula>FLOOR(A25,1)=TODAY()-1</formula>
    </cfRule>
    <cfRule type="timePeriod" dxfId="952" priority="910" timePeriod="today">
      <formula>FLOOR(A25,1)=TODAY()</formula>
    </cfRule>
    <cfRule type="timePeriod" dxfId="951" priority="911" timePeriod="yesterday">
      <formula>FLOOR(A25,1)=TODAY()-1</formula>
    </cfRule>
    <cfRule type="timePeriod" dxfId="950" priority="912" timePeriod="today">
      <formula>FLOOR(A25,1)=TODAY()</formula>
    </cfRule>
  </conditionalFormatting>
  <conditionalFormatting sqref="I26">
    <cfRule type="cellIs" dxfId="949" priority="907" operator="equal">
      <formula>0</formula>
    </cfRule>
  </conditionalFormatting>
  <conditionalFormatting sqref="A26:K26">
    <cfRule type="timePeriod" dxfId="948" priority="902" timePeriod="nextWeek">
      <formula>AND(ROUNDDOWN(A26,0)-TODAY()&gt;(7-WEEKDAY(TODAY())),ROUNDDOWN(A26,0)-TODAY()&lt;(15-WEEKDAY(TODAY())))</formula>
    </cfRule>
    <cfRule type="timePeriod" dxfId="947" priority="903" timePeriod="yesterday">
      <formula>FLOOR(A26,1)=TODAY()-1</formula>
    </cfRule>
    <cfRule type="timePeriod" dxfId="946" priority="904" timePeriod="today">
      <formula>FLOOR(A26,1)=TODAY()</formula>
    </cfRule>
    <cfRule type="timePeriod" dxfId="945" priority="905" timePeriod="yesterday">
      <formula>FLOOR(A26,1)=TODAY()-1</formula>
    </cfRule>
    <cfRule type="timePeriod" dxfId="944" priority="906" timePeriod="today">
      <formula>FLOOR(A26,1)=TODAY()</formula>
    </cfRule>
  </conditionalFormatting>
  <conditionalFormatting sqref="I27">
    <cfRule type="cellIs" dxfId="943" priority="901" operator="equal">
      <formula>0</formula>
    </cfRule>
  </conditionalFormatting>
  <conditionalFormatting sqref="A27:K27">
    <cfRule type="timePeriod" dxfId="942" priority="896" timePeriod="nextWeek">
      <formula>AND(ROUNDDOWN(A27,0)-TODAY()&gt;(7-WEEKDAY(TODAY())),ROUNDDOWN(A27,0)-TODAY()&lt;(15-WEEKDAY(TODAY())))</formula>
    </cfRule>
    <cfRule type="timePeriod" dxfId="941" priority="897" timePeriod="yesterday">
      <formula>FLOOR(A27,1)=TODAY()-1</formula>
    </cfRule>
    <cfRule type="timePeriod" dxfId="940" priority="898" timePeriod="today">
      <formula>FLOOR(A27,1)=TODAY()</formula>
    </cfRule>
    <cfRule type="timePeriod" dxfId="939" priority="899" timePeriod="yesterday">
      <formula>FLOOR(A27,1)=TODAY()-1</formula>
    </cfRule>
    <cfRule type="timePeriod" dxfId="938" priority="900" timePeriod="today">
      <formula>FLOOR(A27,1)=TODAY()</formula>
    </cfRule>
  </conditionalFormatting>
  <conditionalFormatting sqref="I28">
    <cfRule type="cellIs" dxfId="937" priority="895" operator="equal">
      <formula>0</formula>
    </cfRule>
  </conditionalFormatting>
  <conditionalFormatting sqref="A28:K28">
    <cfRule type="timePeriod" dxfId="936" priority="890" timePeriod="nextWeek">
      <formula>AND(ROUNDDOWN(A28,0)-TODAY()&gt;(7-WEEKDAY(TODAY())),ROUNDDOWN(A28,0)-TODAY()&lt;(15-WEEKDAY(TODAY())))</formula>
    </cfRule>
    <cfRule type="timePeriod" dxfId="935" priority="891" timePeriod="yesterday">
      <formula>FLOOR(A28,1)=TODAY()-1</formula>
    </cfRule>
    <cfRule type="timePeriod" dxfId="934" priority="892" timePeriod="today">
      <formula>FLOOR(A28,1)=TODAY()</formula>
    </cfRule>
    <cfRule type="timePeriod" dxfId="933" priority="893" timePeriod="yesterday">
      <formula>FLOOR(A28,1)=TODAY()-1</formula>
    </cfRule>
    <cfRule type="timePeriod" dxfId="932" priority="894" timePeriod="today">
      <formula>FLOOR(A28,1)=TODAY()</formula>
    </cfRule>
  </conditionalFormatting>
  <conditionalFormatting sqref="I29:I30">
    <cfRule type="cellIs" dxfId="931" priority="889" operator="equal">
      <formula>0</formula>
    </cfRule>
  </conditionalFormatting>
  <conditionalFormatting sqref="A29:K30">
    <cfRule type="timePeriod" dxfId="930" priority="884" timePeriod="nextWeek">
      <formula>AND(ROUNDDOWN(A29,0)-TODAY()&gt;(7-WEEKDAY(TODAY())),ROUNDDOWN(A29,0)-TODAY()&lt;(15-WEEKDAY(TODAY())))</formula>
    </cfRule>
    <cfRule type="timePeriod" dxfId="929" priority="885" timePeriod="yesterday">
      <formula>FLOOR(A29,1)=TODAY()-1</formula>
    </cfRule>
    <cfRule type="timePeriod" dxfId="928" priority="886" timePeriod="today">
      <formula>FLOOR(A29,1)=TODAY()</formula>
    </cfRule>
    <cfRule type="timePeriod" dxfId="927" priority="887" timePeriod="yesterday">
      <formula>FLOOR(A29,1)=TODAY()-1</formula>
    </cfRule>
    <cfRule type="timePeriod" dxfId="926" priority="888" timePeriod="today">
      <formula>FLOOR(A29,1)=TODAY()</formula>
    </cfRule>
  </conditionalFormatting>
  <conditionalFormatting sqref="I31">
    <cfRule type="cellIs" dxfId="925" priority="883" operator="equal">
      <formula>0</formula>
    </cfRule>
  </conditionalFormatting>
  <conditionalFormatting sqref="A31:K31">
    <cfRule type="timePeriod" dxfId="924" priority="878" timePeriod="nextWeek">
      <formula>AND(ROUNDDOWN(A31,0)-TODAY()&gt;(7-WEEKDAY(TODAY())),ROUNDDOWN(A31,0)-TODAY()&lt;(15-WEEKDAY(TODAY())))</formula>
    </cfRule>
    <cfRule type="timePeriod" dxfId="923" priority="879" timePeriod="yesterday">
      <formula>FLOOR(A31,1)=TODAY()-1</formula>
    </cfRule>
    <cfRule type="timePeriod" dxfId="922" priority="880" timePeriod="today">
      <formula>FLOOR(A31,1)=TODAY()</formula>
    </cfRule>
    <cfRule type="timePeriod" dxfId="921" priority="881" timePeriod="yesterday">
      <formula>FLOOR(A31,1)=TODAY()-1</formula>
    </cfRule>
    <cfRule type="timePeriod" dxfId="920" priority="882" timePeriod="today">
      <formula>FLOOR(A31,1)=TODAY()</formula>
    </cfRule>
  </conditionalFormatting>
  <conditionalFormatting sqref="I32">
    <cfRule type="cellIs" dxfId="919" priority="877" operator="equal">
      <formula>0</formula>
    </cfRule>
  </conditionalFormatting>
  <conditionalFormatting sqref="A32:K32">
    <cfRule type="timePeriod" dxfId="918" priority="872" timePeriod="nextWeek">
      <formula>AND(ROUNDDOWN(A32,0)-TODAY()&gt;(7-WEEKDAY(TODAY())),ROUNDDOWN(A32,0)-TODAY()&lt;(15-WEEKDAY(TODAY())))</formula>
    </cfRule>
    <cfRule type="timePeriod" dxfId="917" priority="873" timePeriod="yesterday">
      <formula>FLOOR(A32,1)=TODAY()-1</formula>
    </cfRule>
    <cfRule type="timePeriod" dxfId="916" priority="874" timePeriod="today">
      <formula>FLOOR(A32,1)=TODAY()</formula>
    </cfRule>
    <cfRule type="timePeriod" dxfId="915" priority="875" timePeriod="yesterday">
      <formula>FLOOR(A32,1)=TODAY()-1</formula>
    </cfRule>
    <cfRule type="timePeriod" dxfId="914" priority="876" timePeriod="today">
      <formula>FLOOR(A32,1)=TODAY()</formula>
    </cfRule>
  </conditionalFormatting>
  <conditionalFormatting sqref="I33">
    <cfRule type="cellIs" dxfId="913" priority="871" operator="equal">
      <formula>0</formula>
    </cfRule>
  </conditionalFormatting>
  <conditionalFormatting sqref="A33:K33">
    <cfRule type="timePeriod" dxfId="912" priority="866" timePeriod="nextWeek">
      <formula>AND(ROUNDDOWN(A33,0)-TODAY()&gt;(7-WEEKDAY(TODAY())),ROUNDDOWN(A33,0)-TODAY()&lt;(15-WEEKDAY(TODAY())))</formula>
    </cfRule>
    <cfRule type="timePeriod" dxfId="911" priority="867" timePeriod="yesterday">
      <formula>FLOOR(A33,1)=TODAY()-1</formula>
    </cfRule>
    <cfRule type="timePeriod" dxfId="910" priority="868" timePeriod="today">
      <formula>FLOOR(A33,1)=TODAY()</formula>
    </cfRule>
    <cfRule type="timePeriod" dxfId="909" priority="869" timePeriod="yesterday">
      <formula>FLOOR(A33,1)=TODAY()-1</formula>
    </cfRule>
    <cfRule type="timePeriod" dxfId="908" priority="870" timePeriod="today">
      <formula>FLOOR(A33,1)=TODAY()</formula>
    </cfRule>
  </conditionalFormatting>
  <conditionalFormatting sqref="I34">
    <cfRule type="cellIs" dxfId="907" priority="865" operator="equal">
      <formula>0</formula>
    </cfRule>
  </conditionalFormatting>
  <conditionalFormatting sqref="A34:K34">
    <cfRule type="timePeriod" dxfId="906" priority="860" timePeriod="nextWeek">
      <formula>AND(ROUNDDOWN(A34,0)-TODAY()&gt;(7-WEEKDAY(TODAY())),ROUNDDOWN(A34,0)-TODAY()&lt;(15-WEEKDAY(TODAY())))</formula>
    </cfRule>
    <cfRule type="timePeriod" dxfId="905" priority="861" timePeriod="yesterday">
      <formula>FLOOR(A34,1)=TODAY()-1</formula>
    </cfRule>
    <cfRule type="timePeriod" dxfId="904" priority="862" timePeriod="today">
      <formula>FLOOR(A34,1)=TODAY()</formula>
    </cfRule>
    <cfRule type="timePeriod" dxfId="903" priority="863" timePeriod="yesterday">
      <formula>FLOOR(A34,1)=TODAY()-1</formula>
    </cfRule>
    <cfRule type="timePeriod" dxfId="902" priority="864" timePeriod="today">
      <formula>FLOOR(A34,1)=TODAY()</formula>
    </cfRule>
  </conditionalFormatting>
  <conditionalFormatting sqref="I35:I36">
    <cfRule type="cellIs" dxfId="901" priority="859" operator="equal">
      <formula>0</formula>
    </cfRule>
  </conditionalFormatting>
  <conditionalFormatting sqref="A35:K36">
    <cfRule type="timePeriod" dxfId="900" priority="854" timePeriod="nextWeek">
      <formula>AND(ROUNDDOWN(A35,0)-TODAY()&gt;(7-WEEKDAY(TODAY())),ROUNDDOWN(A35,0)-TODAY()&lt;(15-WEEKDAY(TODAY())))</formula>
    </cfRule>
    <cfRule type="timePeriod" dxfId="899" priority="855" timePeriod="yesterday">
      <formula>FLOOR(A35,1)=TODAY()-1</formula>
    </cfRule>
    <cfRule type="timePeriod" dxfId="898" priority="856" timePeriod="today">
      <formula>FLOOR(A35,1)=TODAY()</formula>
    </cfRule>
    <cfRule type="timePeriod" dxfId="897" priority="857" timePeriod="yesterday">
      <formula>FLOOR(A35,1)=TODAY()-1</formula>
    </cfRule>
    <cfRule type="timePeriod" dxfId="896" priority="858" timePeriod="today">
      <formula>FLOOR(A35,1)=TODAY()</formula>
    </cfRule>
  </conditionalFormatting>
  <conditionalFormatting sqref="I37:I38">
    <cfRule type="cellIs" dxfId="895" priority="853" operator="equal">
      <formula>0</formula>
    </cfRule>
  </conditionalFormatting>
  <conditionalFormatting sqref="A37:K38">
    <cfRule type="timePeriod" dxfId="894" priority="848" timePeriod="nextWeek">
      <formula>AND(ROUNDDOWN(A37,0)-TODAY()&gt;(7-WEEKDAY(TODAY())),ROUNDDOWN(A37,0)-TODAY()&lt;(15-WEEKDAY(TODAY())))</formula>
    </cfRule>
    <cfRule type="timePeriod" dxfId="893" priority="849" timePeriod="yesterday">
      <formula>FLOOR(A37,1)=TODAY()-1</formula>
    </cfRule>
    <cfRule type="timePeriod" dxfId="892" priority="850" timePeriod="today">
      <formula>FLOOR(A37,1)=TODAY()</formula>
    </cfRule>
    <cfRule type="timePeriod" dxfId="891" priority="851" timePeriod="yesterday">
      <formula>FLOOR(A37,1)=TODAY()-1</formula>
    </cfRule>
    <cfRule type="timePeriod" dxfId="890" priority="852" timePeriod="today">
      <formula>FLOOR(A37,1)=TODAY()</formula>
    </cfRule>
  </conditionalFormatting>
  <conditionalFormatting sqref="I39:I40">
    <cfRule type="cellIs" dxfId="889" priority="847" operator="equal">
      <formula>0</formula>
    </cfRule>
  </conditionalFormatting>
  <conditionalFormatting sqref="A39:K40">
    <cfRule type="timePeriod" dxfId="888" priority="842" timePeriod="nextWeek">
      <formula>AND(ROUNDDOWN(A39,0)-TODAY()&gt;(7-WEEKDAY(TODAY())),ROUNDDOWN(A39,0)-TODAY()&lt;(15-WEEKDAY(TODAY())))</formula>
    </cfRule>
    <cfRule type="timePeriod" dxfId="887" priority="843" timePeriod="yesterday">
      <formula>FLOOR(A39,1)=TODAY()-1</formula>
    </cfRule>
    <cfRule type="timePeriod" dxfId="886" priority="844" timePeriod="today">
      <formula>FLOOR(A39,1)=TODAY()</formula>
    </cfRule>
    <cfRule type="timePeriod" dxfId="885" priority="845" timePeriod="yesterday">
      <formula>FLOOR(A39,1)=TODAY()-1</formula>
    </cfRule>
    <cfRule type="timePeriod" dxfId="884" priority="846" timePeriod="today">
      <formula>FLOOR(A39,1)=TODAY()</formula>
    </cfRule>
  </conditionalFormatting>
  <conditionalFormatting sqref="I41:I42">
    <cfRule type="cellIs" dxfId="883" priority="841" operator="equal">
      <formula>0</formula>
    </cfRule>
  </conditionalFormatting>
  <conditionalFormatting sqref="A41:K42">
    <cfRule type="timePeriod" dxfId="882" priority="836" timePeriod="nextWeek">
      <formula>AND(ROUNDDOWN(A41,0)-TODAY()&gt;(7-WEEKDAY(TODAY())),ROUNDDOWN(A41,0)-TODAY()&lt;(15-WEEKDAY(TODAY())))</formula>
    </cfRule>
    <cfRule type="timePeriod" dxfId="881" priority="837" timePeriod="yesterday">
      <formula>FLOOR(A41,1)=TODAY()-1</formula>
    </cfRule>
    <cfRule type="timePeriod" dxfId="880" priority="838" timePeriod="today">
      <formula>FLOOR(A41,1)=TODAY()</formula>
    </cfRule>
    <cfRule type="timePeriod" dxfId="879" priority="839" timePeriod="yesterday">
      <formula>FLOOR(A41,1)=TODAY()-1</formula>
    </cfRule>
    <cfRule type="timePeriod" dxfId="878" priority="840" timePeriod="today">
      <formula>FLOOR(A41,1)=TODAY()</formula>
    </cfRule>
  </conditionalFormatting>
  <conditionalFormatting sqref="I43">
    <cfRule type="cellIs" dxfId="877" priority="835" operator="equal">
      <formula>0</formula>
    </cfRule>
  </conditionalFormatting>
  <conditionalFormatting sqref="A43:K43">
    <cfRule type="timePeriod" dxfId="876" priority="830" timePeriod="nextWeek">
      <formula>AND(ROUNDDOWN(A43,0)-TODAY()&gt;(7-WEEKDAY(TODAY())),ROUNDDOWN(A43,0)-TODAY()&lt;(15-WEEKDAY(TODAY())))</formula>
    </cfRule>
    <cfRule type="timePeriod" dxfId="875" priority="831" timePeriod="yesterday">
      <formula>FLOOR(A43,1)=TODAY()-1</formula>
    </cfRule>
    <cfRule type="timePeriod" dxfId="874" priority="832" timePeriod="today">
      <formula>FLOOR(A43,1)=TODAY()</formula>
    </cfRule>
    <cfRule type="timePeriod" dxfId="873" priority="833" timePeriod="yesterday">
      <formula>FLOOR(A43,1)=TODAY()-1</formula>
    </cfRule>
    <cfRule type="timePeriod" dxfId="872" priority="834" timePeriod="today">
      <formula>FLOOR(A43,1)=TODAY()</formula>
    </cfRule>
  </conditionalFormatting>
  <conditionalFormatting sqref="I44:I45">
    <cfRule type="cellIs" dxfId="871" priority="829" operator="equal">
      <formula>0</formula>
    </cfRule>
  </conditionalFormatting>
  <conditionalFormatting sqref="A44:K45">
    <cfRule type="timePeriod" dxfId="870" priority="824" timePeriod="nextWeek">
      <formula>AND(ROUNDDOWN(A44,0)-TODAY()&gt;(7-WEEKDAY(TODAY())),ROUNDDOWN(A44,0)-TODAY()&lt;(15-WEEKDAY(TODAY())))</formula>
    </cfRule>
    <cfRule type="timePeriod" dxfId="869" priority="825" timePeriod="yesterday">
      <formula>FLOOR(A44,1)=TODAY()-1</formula>
    </cfRule>
    <cfRule type="timePeriod" dxfId="868" priority="826" timePeriod="today">
      <formula>FLOOR(A44,1)=TODAY()</formula>
    </cfRule>
    <cfRule type="timePeriod" dxfId="867" priority="827" timePeriod="yesterday">
      <formula>FLOOR(A44,1)=TODAY()-1</formula>
    </cfRule>
    <cfRule type="timePeriod" dxfId="866" priority="828" timePeriod="today">
      <formula>FLOOR(A44,1)=TODAY()</formula>
    </cfRule>
  </conditionalFormatting>
  <conditionalFormatting sqref="I46">
    <cfRule type="cellIs" dxfId="865" priority="823" operator="equal">
      <formula>0</formula>
    </cfRule>
  </conditionalFormatting>
  <conditionalFormatting sqref="A46:K46">
    <cfRule type="timePeriod" dxfId="864" priority="818" timePeriod="nextWeek">
      <formula>AND(ROUNDDOWN(A46,0)-TODAY()&gt;(7-WEEKDAY(TODAY())),ROUNDDOWN(A46,0)-TODAY()&lt;(15-WEEKDAY(TODAY())))</formula>
    </cfRule>
    <cfRule type="timePeriod" dxfId="863" priority="819" timePeriod="yesterday">
      <formula>FLOOR(A46,1)=TODAY()-1</formula>
    </cfRule>
    <cfRule type="timePeriod" dxfId="862" priority="820" timePeriod="today">
      <formula>FLOOR(A46,1)=TODAY()</formula>
    </cfRule>
    <cfRule type="timePeriod" dxfId="861" priority="821" timePeriod="yesterday">
      <formula>FLOOR(A46,1)=TODAY()-1</formula>
    </cfRule>
    <cfRule type="timePeriod" dxfId="860" priority="822" timePeriod="today">
      <formula>FLOOR(A46,1)=TODAY()</formula>
    </cfRule>
  </conditionalFormatting>
  <conditionalFormatting sqref="I47">
    <cfRule type="cellIs" dxfId="859" priority="817" operator="equal">
      <formula>0</formula>
    </cfRule>
  </conditionalFormatting>
  <conditionalFormatting sqref="A47:K47">
    <cfRule type="timePeriod" dxfId="858" priority="812" timePeriod="nextWeek">
      <formula>AND(ROUNDDOWN(A47,0)-TODAY()&gt;(7-WEEKDAY(TODAY())),ROUNDDOWN(A47,0)-TODAY()&lt;(15-WEEKDAY(TODAY())))</formula>
    </cfRule>
    <cfRule type="timePeriod" dxfId="857" priority="813" timePeriod="yesterday">
      <formula>FLOOR(A47,1)=TODAY()-1</formula>
    </cfRule>
    <cfRule type="timePeriod" dxfId="856" priority="814" timePeriod="today">
      <formula>FLOOR(A47,1)=TODAY()</formula>
    </cfRule>
    <cfRule type="timePeriod" dxfId="855" priority="815" timePeriod="yesterday">
      <formula>FLOOR(A47,1)=TODAY()-1</formula>
    </cfRule>
    <cfRule type="timePeriod" dxfId="854" priority="816" timePeriod="today">
      <formula>FLOOR(A47,1)=TODAY()</formula>
    </cfRule>
  </conditionalFormatting>
  <conditionalFormatting sqref="I48">
    <cfRule type="cellIs" dxfId="853" priority="811" operator="equal">
      <formula>0</formula>
    </cfRule>
  </conditionalFormatting>
  <conditionalFormatting sqref="A48:K48">
    <cfRule type="timePeriod" dxfId="852" priority="806" timePeriod="nextWeek">
      <formula>AND(ROUNDDOWN(A48,0)-TODAY()&gt;(7-WEEKDAY(TODAY())),ROUNDDOWN(A48,0)-TODAY()&lt;(15-WEEKDAY(TODAY())))</formula>
    </cfRule>
    <cfRule type="timePeriod" dxfId="851" priority="807" timePeriod="yesterday">
      <formula>FLOOR(A48,1)=TODAY()-1</formula>
    </cfRule>
    <cfRule type="timePeriod" dxfId="850" priority="808" timePeriod="today">
      <formula>FLOOR(A48,1)=TODAY()</formula>
    </cfRule>
    <cfRule type="timePeriod" dxfId="849" priority="809" timePeriod="yesterday">
      <formula>FLOOR(A48,1)=TODAY()-1</formula>
    </cfRule>
    <cfRule type="timePeriod" dxfId="848" priority="810" timePeriod="today">
      <formula>FLOOR(A48,1)=TODAY()</formula>
    </cfRule>
  </conditionalFormatting>
  <conditionalFormatting sqref="I49">
    <cfRule type="cellIs" dxfId="847" priority="805" operator="equal">
      <formula>0</formula>
    </cfRule>
  </conditionalFormatting>
  <conditionalFormatting sqref="A49:K49">
    <cfRule type="timePeriod" dxfId="846" priority="800" timePeriod="nextWeek">
      <formula>AND(ROUNDDOWN(A49,0)-TODAY()&gt;(7-WEEKDAY(TODAY())),ROUNDDOWN(A49,0)-TODAY()&lt;(15-WEEKDAY(TODAY())))</formula>
    </cfRule>
    <cfRule type="timePeriod" dxfId="845" priority="801" timePeriod="yesterday">
      <formula>FLOOR(A49,1)=TODAY()-1</formula>
    </cfRule>
    <cfRule type="timePeriod" dxfId="844" priority="802" timePeriod="today">
      <formula>FLOOR(A49,1)=TODAY()</formula>
    </cfRule>
    <cfRule type="timePeriod" dxfId="843" priority="803" timePeriod="yesterday">
      <formula>FLOOR(A49,1)=TODAY()-1</formula>
    </cfRule>
    <cfRule type="timePeriod" dxfId="842" priority="804" timePeriod="today">
      <formula>FLOOR(A49,1)=TODAY()</formula>
    </cfRule>
  </conditionalFormatting>
  <conditionalFormatting sqref="I50:I51">
    <cfRule type="cellIs" dxfId="841" priority="799" operator="equal">
      <formula>0</formula>
    </cfRule>
  </conditionalFormatting>
  <conditionalFormatting sqref="A50:K51">
    <cfRule type="timePeriod" dxfId="840" priority="794" timePeriod="nextWeek">
      <formula>AND(ROUNDDOWN(A50,0)-TODAY()&gt;(7-WEEKDAY(TODAY())),ROUNDDOWN(A50,0)-TODAY()&lt;(15-WEEKDAY(TODAY())))</formula>
    </cfRule>
    <cfRule type="timePeriod" dxfId="839" priority="795" timePeriod="yesterday">
      <formula>FLOOR(A50,1)=TODAY()-1</formula>
    </cfRule>
    <cfRule type="timePeriod" dxfId="838" priority="796" timePeriod="today">
      <formula>FLOOR(A50,1)=TODAY()</formula>
    </cfRule>
    <cfRule type="timePeriod" dxfId="837" priority="797" timePeriod="yesterday">
      <formula>FLOOR(A50,1)=TODAY()-1</formula>
    </cfRule>
    <cfRule type="timePeriod" dxfId="836" priority="798" timePeriod="today">
      <formula>FLOOR(A50,1)=TODAY()</formula>
    </cfRule>
  </conditionalFormatting>
  <conditionalFormatting sqref="I52:I55">
    <cfRule type="cellIs" dxfId="835" priority="793" operator="equal">
      <formula>0</formula>
    </cfRule>
  </conditionalFormatting>
  <conditionalFormatting sqref="A52:K55">
    <cfRule type="timePeriod" dxfId="834" priority="788" timePeriod="nextWeek">
      <formula>AND(ROUNDDOWN(A52,0)-TODAY()&gt;(7-WEEKDAY(TODAY())),ROUNDDOWN(A52,0)-TODAY()&lt;(15-WEEKDAY(TODAY())))</formula>
    </cfRule>
    <cfRule type="timePeriod" dxfId="833" priority="789" timePeriod="yesterday">
      <formula>FLOOR(A52,1)=TODAY()-1</formula>
    </cfRule>
    <cfRule type="timePeriod" dxfId="832" priority="790" timePeriod="today">
      <formula>FLOOR(A52,1)=TODAY()</formula>
    </cfRule>
    <cfRule type="timePeriod" dxfId="831" priority="791" timePeriod="yesterday">
      <formula>FLOOR(A52,1)=TODAY()-1</formula>
    </cfRule>
    <cfRule type="timePeriod" dxfId="830" priority="792" timePeriod="today">
      <formula>FLOOR(A52,1)=TODAY()</formula>
    </cfRule>
  </conditionalFormatting>
  <conditionalFormatting sqref="I56">
    <cfRule type="cellIs" dxfId="829" priority="787" operator="equal">
      <formula>0</formula>
    </cfRule>
  </conditionalFormatting>
  <conditionalFormatting sqref="A56:K56">
    <cfRule type="timePeriod" dxfId="828" priority="782" timePeriod="nextWeek">
      <formula>AND(ROUNDDOWN(A56,0)-TODAY()&gt;(7-WEEKDAY(TODAY())),ROUNDDOWN(A56,0)-TODAY()&lt;(15-WEEKDAY(TODAY())))</formula>
    </cfRule>
    <cfRule type="timePeriod" dxfId="827" priority="783" timePeriod="yesterday">
      <formula>FLOOR(A56,1)=TODAY()-1</formula>
    </cfRule>
    <cfRule type="timePeriod" dxfId="826" priority="784" timePeriod="today">
      <formula>FLOOR(A56,1)=TODAY()</formula>
    </cfRule>
    <cfRule type="timePeriod" dxfId="825" priority="785" timePeriod="yesterday">
      <formula>FLOOR(A56,1)=TODAY()-1</formula>
    </cfRule>
    <cfRule type="timePeriod" dxfId="824" priority="786" timePeriod="today">
      <formula>FLOOR(A56,1)=TODAY()</formula>
    </cfRule>
  </conditionalFormatting>
  <conditionalFormatting sqref="I57">
    <cfRule type="cellIs" dxfId="823" priority="781" operator="equal">
      <formula>0</formula>
    </cfRule>
  </conditionalFormatting>
  <conditionalFormatting sqref="A57:K57">
    <cfRule type="timePeriod" dxfId="822" priority="776" timePeriod="nextWeek">
      <formula>AND(ROUNDDOWN(A57,0)-TODAY()&gt;(7-WEEKDAY(TODAY())),ROUNDDOWN(A57,0)-TODAY()&lt;(15-WEEKDAY(TODAY())))</formula>
    </cfRule>
    <cfRule type="timePeriod" dxfId="821" priority="777" timePeriod="yesterday">
      <formula>FLOOR(A57,1)=TODAY()-1</formula>
    </cfRule>
    <cfRule type="timePeriod" dxfId="820" priority="778" timePeriod="today">
      <formula>FLOOR(A57,1)=TODAY()</formula>
    </cfRule>
    <cfRule type="timePeriod" dxfId="819" priority="779" timePeriod="yesterday">
      <formula>FLOOR(A57,1)=TODAY()-1</formula>
    </cfRule>
    <cfRule type="timePeriod" dxfId="818" priority="780" timePeriod="today">
      <formula>FLOOR(A57,1)=TODAY()</formula>
    </cfRule>
  </conditionalFormatting>
  <conditionalFormatting sqref="I58:I61">
    <cfRule type="cellIs" dxfId="817" priority="775" operator="equal">
      <formula>0</formula>
    </cfRule>
  </conditionalFormatting>
  <conditionalFormatting sqref="A58:K61">
    <cfRule type="timePeriod" dxfId="816" priority="770" timePeriod="nextWeek">
      <formula>AND(ROUNDDOWN(A58,0)-TODAY()&gt;(7-WEEKDAY(TODAY())),ROUNDDOWN(A58,0)-TODAY()&lt;(15-WEEKDAY(TODAY())))</formula>
    </cfRule>
    <cfRule type="timePeriod" dxfId="815" priority="771" timePeriod="yesterday">
      <formula>FLOOR(A58,1)=TODAY()-1</formula>
    </cfRule>
    <cfRule type="timePeriod" dxfId="814" priority="772" timePeriod="today">
      <formula>FLOOR(A58,1)=TODAY()</formula>
    </cfRule>
    <cfRule type="timePeriod" dxfId="813" priority="773" timePeriod="yesterday">
      <formula>FLOOR(A58,1)=TODAY()-1</formula>
    </cfRule>
    <cfRule type="timePeriod" dxfId="812" priority="774" timePeriod="today">
      <formula>FLOOR(A58,1)=TODAY()</formula>
    </cfRule>
  </conditionalFormatting>
  <conditionalFormatting sqref="I62">
    <cfRule type="cellIs" dxfId="811" priority="769" operator="equal">
      <formula>0</formula>
    </cfRule>
  </conditionalFormatting>
  <conditionalFormatting sqref="A62:K62">
    <cfRule type="timePeriod" dxfId="810" priority="764" timePeriod="nextWeek">
      <formula>AND(ROUNDDOWN(A62,0)-TODAY()&gt;(7-WEEKDAY(TODAY())),ROUNDDOWN(A62,0)-TODAY()&lt;(15-WEEKDAY(TODAY())))</formula>
    </cfRule>
    <cfRule type="timePeriod" dxfId="809" priority="765" timePeriod="yesterday">
      <formula>FLOOR(A62,1)=TODAY()-1</formula>
    </cfRule>
    <cfRule type="timePeriod" dxfId="808" priority="766" timePeriod="today">
      <formula>FLOOR(A62,1)=TODAY()</formula>
    </cfRule>
    <cfRule type="timePeriod" dxfId="807" priority="767" timePeriod="yesterday">
      <formula>FLOOR(A62,1)=TODAY()-1</formula>
    </cfRule>
    <cfRule type="timePeriod" dxfId="806" priority="768" timePeriod="today">
      <formula>FLOOR(A62,1)=TODAY()</formula>
    </cfRule>
  </conditionalFormatting>
  <conditionalFormatting sqref="I63:I70">
    <cfRule type="cellIs" dxfId="805" priority="763" operator="equal">
      <formula>0</formula>
    </cfRule>
  </conditionalFormatting>
  <conditionalFormatting sqref="A63:K70">
    <cfRule type="timePeriod" dxfId="804" priority="758" timePeriod="nextWeek">
      <formula>AND(ROUNDDOWN(A63,0)-TODAY()&gt;(7-WEEKDAY(TODAY())),ROUNDDOWN(A63,0)-TODAY()&lt;(15-WEEKDAY(TODAY())))</formula>
    </cfRule>
    <cfRule type="timePeriod" dxfId="803" priority="759" timePeriod="yesterday">
      <formula>FLOOR(A63,1)=TODAY()-1</formula>
    </cfRule>
    <cfRule type="timePeriod" dxfId="802" priority="760" timePeriod="today">
      <formula>FLOOR(A63,1)=TODAY()</formula>
    </cfRule>
    <cfRule type="timePeriod" dxfId="801" priority="761" timePeriod="yesterday">
      <formula>FLOOR(A63,1)=TODAY()-1</formula>
    </cfRule>
    <cfRule type="timePeriod" dxfId="800" priority="762" timePeriod="today">
      <formula>FLOOR(A63,1)=TODAY()</formula>
    </cfRule>
  </conditionalFormatting>
  <conditionalFormatting sqref="I71">
    <cfRule type="cellIs" dxfId="799" priority="757" operator="equal">
      <formula>0</formula>
    </cfRule>
  </conditionalFormatting>
  <conditionalFormatting sqref="A71:K71">
    <cfRule type="timePeriod" dxfId="798" priority="752" timePeriod="nextWeek">
      <formula>AND(ROUNDDOWN(A71,0)-TODAY()&gt;(7-WEEKDAY(TODAY())),ROUNDDOWN(A71,0)-TODAY()&lt;(15-WEEKDAY(TODAY())))</formula>
    </cfRule>
    <cfRule type="timePeriod" dxfId="797" priority="753" timePeriod="yesterday">
      <formula>FLOOR(A71,1)=TODAY()-1</formula>
    </cfRule>
    <cfRule type="timePeriod" dxfId="796" priority="754" timePeriod="today">
      <formula>FLOOR(A71,1)=TODAY()</formula>
    </cfRule>
    <cfRule type="timePeriod" dxfId="795" priority="755" timePeriod="yesterday">
      <formula>FLOOR(A71,1)=TODAY()-1</formula>
    </cfRule>
    <cfRule type="timePeriod" dxfId="794" priority="756" timePeriod="today">
      <formula>FLOOR(A71,1)=TODAY()</formula>
    </cfRule>
  </conditionalFormatting>
  <conditionalFormatting sqref="K72">
    <cfRule type="timePeriod" dxfId="793" priority="747" timePeriod="nextWeek">
      <formula>AND(ROUNDDOWN(K72,0)-TODAY()&gt;(7-WEEKDAY(TODAY())),ROUNDDOWN(K72,0)-TODAY()&lt;(15-WEEKDAY(TODAY())))</formula>
    </cfRule>
    <cfRule type="timePeriod" dxfId="792" priority="748" timePeriod="yesterday">
      <formula>FLOOR(K72,1)=TODAY()-1</formula>
    </cfRule>
    <cfRule type="timePeriod" dxfId="791" priority="749" timePeriod="today">
      <formula>FLOOR(K72,1)=TODAY()</formula>
    </cfRule>
    <cfRule type="timePeriod" dxfId="790" priority="750" timePeriod="yesterday">
      <formula>FLOOR(K72,1)=TODAY()-1</formula>
    </cfRule>
    <cfRule type="timePeriod" dxfId="789" priority="751" timePeriod="today">
      <formula>FLOOR(K72,1)=TODAY()</formula>
    </cfRule>
  </conditionalFormatting>
  <conditionalFormatting sqref="I73">
    <cfRule type="cellIs" dxfId="788" priority="746" operator="equal">
      <formula>0</formula>
    </cfRule>
  </conditionalFormatting>
  <conditionalFormatting sqref="A73:K73">
    <cfRule type="timePeriod" dxfId="787" priority="741" timePeriod="nextWeek">
      <formula>AND(ROUNDDOWN(A73,0)-TODAY()&gt;(7-WEEKDAY(TODAY())),ROUNDDOWN(A73,0)-TODAY()&lt;(15-WEEKDAY(TODAY())))</formula>
    </cfRule>
    <cfRule type="timePeriod" dxfId="786" priority="742" timePeriod="yesterday">
      <formula>FLOOR(A73,1)=TODAY()-1</formula>
    </cfRule>
    <cfRule type="timePeriod" dxfId="785" priority="743" timePeriod="today">
      <formula>FLOOR(A73,1)=TODAY()</formula>
    </cfRule>
    <cfRule type="timePeriod" dxfId="784" priority="744" timePeriod="yesterday">
      <formula>FLOOR(A73,1)=TODAY()-1</formula>
    </cfRule>
    <cfRule type="timePeriod" dxfId="783" priority="745" timePeriod="today">
      <formula>FLOOR(A73,1)=TODAY()</formula>
    </cfRule>
  </conditionalFormatting>
  <conditionalFormatting sqref="I74">
    <cfRule type="cellIs" dxfId="782" priority="740" operator="equal">
      <formula>0</formula>
    </cfRule>
  </conditionalFormatting>
  <conditionalFormatting sqref="A74:K74">
    <cfRule type="timePeriod" dxfId="781" priority="735" timePeriod="nextWeek">
      <formula>AND(ROUNDDOWN(A74,0)-TODAY()&gt;(7-WEEKDAY(TODAY())),ROUNDDOWN(A74,0)-TODAY()&lt;(15-WEEKDAY(TODAY())))</formula>
    </cfRule>
    <cfRule type="timePeriod" dxfId="780" priority="736" timePeriod="yesterday">
      <formula>FLOOR(A74,1)=TODAY()-1</formula>
    </cfRule>
    <cfRule type="timePeriod" dxfId="779" priority="737" timePeriod="today">
      <formula>FLOOR(A74,1)=TODAY()</formula>
    </cfRule>
    <cfRule type="timePeriod" dxfId="778" priority="738" timePeriod="yesterday">
      <formula>FLOOR(A74,1)=TODAY()-1</formula>
    </cfRule>
    <cfRule type="timePeriod" dxfId="777" priority="739" timePeriod="today">
      <formula>FLOOR(A74,1)=TODAY()</formula>
    </cfRule>
  </conditionalFormatting>
  <conditionalFormatting sqref="K75">
    <cfRule type="timePeriod" dxfId="776" priority="730" timePeriod="nextWeek">
      <formula>AND(ROUNDDOWN(K75,0)-TODAY()&gt;(7-WEEKDAY(TODAY())),ROUNDDOWN(K75,0)-TODAY()&lt;(15-WEEKDAY(TODAY())))</formula>
    </cfRule>
    <cfRule type="timePeriod" dxfId="775" priority="731" timePeriod="yesterday">
      <formula>FLOOR(K75,1)=TODAY()-1</formula>
    </cfRule>
    <cfRule type="timePeriod" dxfId="774" priority="732" timePeriod="today">
      <formula>FLOOR(K75,1)=TODAY()</formula>
    </cfRule>
    <cfRule type="timePeriod" dxfId="773" priority="733" timePeriod="yesterday">
      <formula>FLOOR(K75,1)=TODAY()-1</formula>
    </cfRule>
    <cfRule type="timePeriod" dxfId="772" priority="734" timePeriod="today">
      <formula>FLOOR(K75,1)=TODAY()</formula>
    </cfRule>
  </conditionalFormatting>
  <conditionalFormatting sqref="I76">
    <cfRule type="cellIs" dxfId="771" priority="729" operator="equal">
      <formula>0</formula>
    </cfRule>
  </conditionalFormatting>
  <conditionalFormatting sqref="A76:K76">
    <cfRule type="timePeriod" dxfId="770" priority="724" timePeriod="nextWeek">
      <formula>AND(ROUNDDOWN(A76,0)-TODAY()&gt;(7-WEEKDAY(TODAY())),ROUNDDOWN(A76,0)-TODAY()&lt;(15-WEEKDAY(TODAY())))</formula>
    </cfRule>
    <cfRule type="timePeriod" dxfId="769" priority="725" timePeriod="yesterday">
      <formula>FLOOR(A76,1)=TODAY()-1</formula>
    </cfRule>
    <cfRule type="timePeriod" dxfId="768" priority="726" timePeriod="today">
      <formula>FLOOR(A76,1)=TODAY()</formula>
    </cfRule>
    <cfRule type="timePeriod" dxfId="767" priority="727" timePeriod="yesterday">
      <formula>FLOOR(A76,1)=TODAY()-1</formula>
    </cfRule>
    <cfRule type="timePeriod" dxfId="766" priority="728" timePeriod="today">
      <formula>FLOOR(A76,1)=TODAY()</formula>
    </cfRule>
  </conditionalFormatting>
  <conditionalFormatting sqref="I77:I79">
    <cfRule type="cellIs" dxfId="765" priority="723" operator="equal">
      <formula>0</formula>
    </cfRule>
  </conditionalFormatting>
  <conditionalFormatting sqref="A77:K79">
    <cfRule type="timePeriod" dxfId="764" priority="718" timePeriod="nextWeek">
      <formula>AND(ROUNDDOWN(A77,0)-TODAY()&gt;(7-WEEKDAY(TODAY())),ROUNDDOWN(A77,0)-TODAY()&lt;(15-WEEKDAY(TODAY())))</formula>
    </cfRule>
    <cfRule type="timePeriod" dxfId="763" priority="719" timePeriod="yesterday">
      <formula>FLOOR(A77,1)=TODAY()-1</formula>
    </cfRule>
    <cfRule type="timePeriod" dxfId="762" priority="720" timePeriod="today">
      <formula>FLOOR(A77,1)=TODAY()</formula>
    </cfRule>
    <cfRule type="timePeriod" dxfId="761" priority="721" timePeriod="yesterday">
      <formula>FLOOR(A77,1)=TODAY()-1</formula>
    </cfRule>
    <cfRule type="timePeriod" dxfId="760" priority="722" timePeriod="today">
      <formula>FLOOR(A77,1)=TODAY()</formula>
    </cfRule>
  </conditionalFormatting>
  <conditionalFormatting sqref="I80">
    <cfRule type="cellIs" dxfId="759" priority="717" operator="equal">
      <formula>0</formula>
    </cfRule>
  </conditionalFormatting>
  <conditionalFormatting sqref="A80:K80">
    <cfRule type="timePeriod" dxfId="758" priority="712" timePeriod="nextWeek">
      <formula>AND(ROUNDDOWN(A80,0)-TODAY()&gt;(7-WEEKDAY(TODAY())),ROUNDDOWN(A80,0)-TODAY()&lt;(15-WEEKDAY(TODAY())))</formula>
    </cfRule>
    <cfRule type="timePeriod" dxfId="757" priority="713" timePeriod="yesterday">
      <formula>FLOOR(A80,1)=TODAY()-1</formula>
    </cfRule>
    <cfRule type="timePeriod" dxfId="756" priority="714" timePeriod="today">
      <formula>FLOOR(A80,1)=TODAY()</formula>
    </cfRule>
    <cfRule type="timePeriod" dxfId="755" priority="715" timePeriod="yesterday">
      <formula>FLOOR(A80,1)=TODAY()-1</formula>
    </cfRule>
    <cfRule type="timePeriod" dxfId="754" priority="716" timePeriod="today">
      <formula>FLOOR(A80,1)=TODAY()</formula>
    </cfRule>
  </conditionalFormatting>
  <conditionalFormatting sqref="I81">
    <cfRule type="cellIs" dxfId="753" priority="711" operator="equal">
      <formula>0</formula>
    </cfRule>
  </conditionalFormatting>
  <conditionalFormatting sqref="A81:K81">
    <cfRule type="timePeriod" dxfId="752" priority="706" timePeriod="nextWeek">
      <formula>AND(ROUNDDOWN(A81,0)-TODAY()&gt;(7-WEEKDAY(TODAY())),ROUNDDOWN(A81,0)-TODAY()&lt;(15-WEEKDAY(TODAY())))</formula>
    </cfRule>
    <cfRule type="timePeriod" dxfId="751" priority="707" timePeriod="yesterday">
      <formula>FLOOR(A81,1)=TODAY()-1</formula>
    </cfRule>
    <cfRule type="timePeriod" dxfId="750" priority="708" timePeriod="today">
      <formula>FLOOR(A81,1)=TODAY()</formula>
    </cfRule>
    <cfRule type="timePeriod" dxfId="749" priority="709" timePeriod="yesterday">
      <formula>FLOOR(A81,1)=TODAY()-1</formula>
    </cfRule>
    <cfRule type="timePeriod" dxfId="748" priority="710" timePeriod="today">
      <formula>FLOOR(A81,1)=TODAY()</formula>
    </cfRule>
  </conditionalFormatting>
  <conditionalFormatting sqref="K82:K83">
    <cfRule type="timePeriod" dxfId="747" priority="701" timePeriod="nextWeek">
      <formula>AND(ROUNDDOWN(K82,0)-TODAY()&gt;(7-WEEKDAY(TODAY())),ROUNDDOWN(K82,0)-TODAY()&lt;(15-WEEKDAY(TODAY())))</formula>
    </cfRule>
    <cfRule type="timePeriod" dxfId="746" priority="702" timePeriod="yesterday">
      <formula>FLOOR(K82,1)=TODAY()-1</formula>
    </cfRule>
    <cfRule type="timePeriod" dxfId="745" priority="703" timePeriod="today">
      <formula>FLOOR(K82,1)=TODAY()</formula>
    </cfRule>
    <cfRule type="timePeriod" dxfId="744" priority="704" timePeriod="yesterday">
      <formula>FLOOR(K82,1)=TODAY()-1</formula>
    </cfRule>
    <cfRule type="timePeriod" dxfId="743" priority="705" timePeriod="today">
      <formula>FLOOR(K82,1)=TODAY()</formula>
    </cfRule>
  </conditionalFormatting>
  <conditionalFormatting sqref="K84:K86">
    <cfRule type="timePeriod" dxfId="742" priority="696" timePeriod="nextWeek">
      <formula>AND(ROUNDDOWN(K84,0)-TODAY()&gt;(7-WEEKDAY(TODAY())),ROUNDDOWN(K84,0)-TODAY()&lt;(15-WEEKDAY(TODAY())))</formula>
    </cfRule>
    <cfRule type="timePeriod" dxfId="741" priority="697" timePeriod="yesterday">
      <formula>FLOOR(K84,1)=TODAY()-1</formula>
    </cfRule>
    <cfRule type="timePeriod" dxfId="740" priority="698" timePeriod="today">
      <formula>FLOOR(K84,1)=TODAY()</formula>
    </cfRule>
    <cfRule type="timePeriod" dxfId="739" priority="699" timePeriod="yesterday">
      <formula>FLOOR(K84,1)=TODAY()-1</formula>
    </cfRule>
    <cfRule type="timePeriod" dxfId="738" priority="700" timePeriod="today">
      <formula>FLOOR(K84,1)=TODAY()</formula>
    </cfRule>
  </conditionalFormatting>
  <conditionalFormatting sqref="K87">
    <cfRule type="timePeriod" dxfId="737" priority="691" timePeriod="nextWeek">
      <formula>AND(ROUNDDOWN(K87,0)-TODAY()&gt;(7-WEEKDAY(TODAY())),ROUNDDOWN(K87,0)-TODAY()&lt;(15-WEEKDAY(TODAY())))</formula>
    </cfRule>
    <cfRule type="timePeriod" dxfId="736" priority="692" timePeriod="yesterday">
      <formula>FLOOR(K87,1)=TODAY()-1</formula>
    </cfRule>
    <cfRule type="timePeriod" dxfId="735" priority="693" timePeriod="today">
      <formula>FLOOR(K87,1)=TODAY()</formula>
    </cfRule>
    <cfRule type="timePeriod" dxfId="734" priority="694" timePeriod="yesterday">
      <formula>FLOOR(K87,1)=TODAY()-1</formula>
    </cfRule>
    <cfRule type="timePeriod" dxfId="733" priority="695" timePeriod="today">
      <formula>FLOOR(K87,1)=TODAY()</formula>
    </cfRule>
  </conditionalFormatting>
  <conditionalFormatting sqref="I88:I92">
    <cfRule type="cellIs" dxfId="732" priority="690" operator="equal">
      <formula>0</formula>
    </cfRule>
  </conditionalFormatting>
  <conditionalFormatting sqref="A92:I92 A88:K91 K92">
    <cfRule type="timePeriod" dxfId="731" priority="685" timePeriod="nextWeek">
      <formula>AND(ROUNDDOWN(A88,0)-TODAY()&gt;(7-WEEKDAY(TODAY())),ROUNDDOWN(A88,0)-TODAY()&lt;(15-WEEKDAY(TODAY())))</formula>
    </cfRule>
    <cfRule type="timePeriod" dxfId="730" priority="686" timePeriod="yesterday">
      <formula>FLOOR(A88,1)=TODAY()-1</formula>
    </cfRule>
    <cfRule type="timePeriod" dxfId="729" priority="687" timePeriod="today">
      <formula>FLOOR(A88,1)=TODAY()</formula>
    </cfRule>
    <cfRule type="timePeriod" dxfId="728" priority="688" timePeriod="yesterday">
      <formula>FLOOR(A88,1)=TODAY()-1</formula>
    </cfRule>
    <cfRule type="timePeriod" dxfId="727" priority="689" timePeriod="today">
      <formula>FLOOR(A88,1)=TODAY()</formula>
    </cfRule>
  </conditionalFormatting>
  <conditionalFormatting sqref="K93">
    <cfRule type="timePeriod" dxfId="726" priority="680" timePeriod="nextWeek">
      <formula>AND(ROUNDDOWN(K93,0)-TODAY()&gt;(7-WEEKDAY(TODAY())),ROUNDDOWN(K93,0)-TODAY()&lt;(15-WEEKDAY(TODAY())))</formula>
    </cfRule>
    <cfRule type="timePeriod" dxfId="725" priority="681" timePeriod="yesterday">
      <formula>FLOOR(K93,1)=TODAY()-1</formula>
    </cfRule>
    <cfRule type="timePeriod" dxfId="724" priority="682" timePeriod="today">
      <formula>FLOOR(K93,1)=TODAY()</formula>
    </cfRule>
    <cfRule type="timePeriod" dxfId="723" priority="683" timePeriod="yesterday">
      <formula>FLOOR(K93,1)=TODAY()-1</formula>
    </cfRule>
    <cfRule type="timePeriod" dxfId="722" priority="684" timePeriod="today">
      <formula>FLOOR(K93,1)=TODAY()</formula>
    </cfRule>
  </conditionalFormatting>
  <conditionalFormatting sqref="K94">
    <cfRule type="timePeriod" dxfId="721" priority="675" timePeriod="nextWeek">
      <formula>AND(ROUNDDOWN(K94,0)-TODAY()&gt;(7-WEEKDAY(TODAY())),ROUNDDOWN(K94,0)-TODAY()&lt;(15-WEEKDAY(TODAY())))</formula>
    </cfRule>
    <cfRule type="timePeriod" dxfId="720" priority="676" timePeriod="yesterday">
      <formula>FLOOR(K94,1)=TODAY()-1</formula>
    </cfRule>
    <cfRule type="timePeriod" dxfId="719" priority="677" timePeriod="today">
      <formula>FLOOR(K94,1)=TODAY()</formula>
    </cfRule>
    <cfRule type="timePeriod" dxfId="718" priority="678" timePeriod="yesterday">
      <formula>FLOOR(K94,1)=TODAY()-1</formula>
    </cfRule>
    <cfRule type="timePeriod" dxfId="717" priority="679" timePeriod="today">
      <formula>FLOOR(K94,1)=TODAY()</formula>
    </cfRule>
  </conditionalFormatting>
  <conditionalFormatting sqref="K95:K96">
    <cfRule type="timePeriod" dxfId="716" priority="670" timePeriod="nextWeek">
      <formula>AND(ROUNDDOWN(K95,0)-TODAY()&gt;(7-WEEKDAY(TODAY())),ROUNDDOWN(K95,0)-TODAY()&lt;(15-WEEKDAY(TODAY())))</formula>
    </cfRule>
    <cfRule type="timePeriod" dxfId="715" priority="671" timePeriod="yesterday">
      <formula>FLOOR(K95,1)=TODAY()-1</formula>
    </cfRule>
    <cfRule type="timePeriod" dxfId="714" priority="672" timePeriod="today">
      <formula>FLOOR(K95,1)=TODAY()</formula>
    </cfRule>
    <cfRule type="timePeriod" dxfId="713" priority="673" timePeriod="yesterday">
      <formula>FLOOR(K95,1)=TODAY()-1</formula>
    </cfRule>
    <cfRule type="timePeriod" dxfId="712" priority="674" timePeriod="today">
      <formula>FLOOR(K95,1)=TODAY()</formula>
    </cfRule>
  </conditionalFormatting>
  <conditionalFormatting sqref="K97:K99">
    <cfRule type="timePeriod" dxfId="711" priority="665" timePeriod="nextWeek">
      <formula>AND(ROUNDDOWN(K97,0)-TODAY()&gt;(7-WEEKDAY(TODAY())),ROUNDDOWN(K97,0)-TODAY()&lt;(15-WEEKDAY(TODAY())))</formula>
    </cfRule>
    <cfRule type="timePeriod" dxfId="710" priority="666" timePeriod="yesterday">
      <formula>FLOOR(K97,1)=TODAY()-1</formula>
    </cfRule>
    <cfRule type="timePeriod" dxfId="709" priority="667" timePeriod="today">
      <formula>FLOOR(K97,1)=TODAY()</formula>
    </cfRule>
    <cfRule type="timePeriod" dxfId="708" priority="668" timePeriod="yesterday">
      <formula>FLOOR(K97,1)=TODAY()-1</formula>
    </cfRule>
    <cfRule type="timePeriod" dxfId="707" priority="669" timePeriod="today">
      <formula>FLOOR(K97,1)=TODAY()</formula>
    </cfRule>
  </conditionalFormatting>
  <conditionalFormatting sqref="K100">
    <cfRule type="timePeriod" dxfId="706" priority="660" timePeriod="nextWeek">
      <formula>AND(ROUNDDOWN(K100,0)-TODAY()&gt;(7-WEEKDAY(TODAY())),ROUNDDOWN(K100,0)-TODAY()&lt;(15-WEEKDAY(TODAY())))</formula>
    </cfRule>
    <cfRule type="timePeriod" dxfId="705" priority="661" timePeriod="yesterday">
      <formula>FLOOR(K100,1)=TODAY()-1</formula>
    </cfRule>
    <cfRule type="timePeriod" dxfId="704" priority="662" timePeriod="today">
      <formula>FLOOR(K100,1)=TODAY()</formula>
    </cfRule>
    <cfRule type="timePeriod" dxfId="703" priority="663" timePeriod="yesterday">
      <formula>FLOOR(K100,1)=TODAY()-1</formula>
    </cfRule>
    <cfRule type="timePeriod" dxfId="702" priority="664" timePeriod="today">
      <formula>FLOOR(K100,1)=TODAY()</formula>
    </cfRule>
  </conditionalFormatting>
  <conditionalFormatting sqref="K101">
    <cfRule type="timePeriod" dxfId="701" priority="655" timePeriod="nextWeek">
      <formula>AND(ROUNDDOWN(K101,0)-TODAY()&gt;(7-WEEKDAY(TODAY())),ROUNDDOWN(K101,0)-TODAY()&lt;(15-WEEKDAY(TODAY())))</formula>
    </cfRule>
    <cfRule type="timePeriod" dxfId="700" priority="656" timePeriod="yesterday">
      <formula>FLOOR(K101,1)=TODAY()-1</formula>
    </cfRule>
    <cfRule type="timePeriod" dxfId="699" priority="657" timePeriod="today">
      <formula>FLOOR(K101,1)=TODAY()</formula>
    </cfRule>
    <cfRule type="timePeriod" dxfId="698" priority="658" timePeriod="yesterday">
      <formula>FLOOR(K101,1)=TODAY()-1</formula>
    </cfRule>
    <cfRule type="timePeriod" dxfId="697" priority="659" timePeriod="today">
      <formula>FLOOR(K101,1)=TODAY()</formula>
    </cfRule>
  </conditionalFormatting>
  <conditionalFormatting sqref="I102:I103">
    <cfRule type="cellIs" dxfId="696" priority="654" operator="equal">
      <formula>0</formula>
    </cfRule>
  </conditionalFormatting>
  <conditionalFormatting sqref="A102:K103">
    <cfRule type="timePeriod" dxfId="695" priority="649" timePeriod="nextWeek">
      <formula>AND(ROUNDDOWN(A102,0)-TODAY()&gt;(7-WEEKDAY(TODAY())),ROUNDDOWN(A102,0)-TODAY()&lt;(15-WEEKDAY(TODAY())))</formula>
    </cfRule>
    <cfRule type="timePeriod" dxfId="694" priority="650" timePeriod="yesterday">
      <formula>FLOOR(A102,1)=TODAY()-1</formula>
    </cfRule>
    <cfRule type="timePeriod" dxfId="693" priority="651" timePeriod="today">
      <formula>FLOOR(A102,1)=TODAY()</formula>
    </cfRule>
    <cfRule type="timePeriod" dxfId="692" priority="652" timePeriod="yesterday">
      <formula>FLOOR(A102,1)=TODAY()-1</formula>
    </cfRule>
    <cfRule type="timePeriod" dxfId="691" priority="653" timePeriod="today">
      <formula>FLOOR(A102,1)=TODAY()</formula>
    </cfRule>
  </conditionalFormatting>
  <conditionalFormatting sqref="K104:K105">
    <cfRule type="timePeriod" dxfId="690" priority="644" timePeriod="nextWeek">
      <formula>AND(ROUNDDOWN(K104,0)-TODAY()&gt;(7-WEEKDAY(TODAY())),ROUNDDOWN(K104,0)-TODAY()&lt;(15-WEEKDAY(TODAY())))</formula>
    </cfRule>
    <cfRule type="timePeriod" dxfId="689" priority="645" timePeriod="yesterday">
      <formula>FLOOR(K104,1)=TODAY()-1</formula>
    </cfRule>
    <cfRule type="timePeriod" dxfId="688" priority="646" timePeriod="today">
      <formula>FLOOR(K104,1)=TODAY()</formula>
    </cfRule>
    <cfRule type="timePeriod" dxfId="687" priority="647" timePeriod="yesterday">
      <formula>FLOOR(K104,1)=TODAY()-1</formula>
    </cfRule>
    <cfRule type="timePeriod" dxfId="686" priority="648" timePeriod="today">
      <formula>FLOOR(K104,1)=TODAY()</formula>
    </cfRule>
  </conditionalFormatting>
  <conditionalFormatting sqref="K106:K111">
    <cfRule type="timePeriod" dxfId="685" priority="639" timePeriod="nextWeek">
      <formula>AND(ROUNDDOWN(K106,0)-TODAY()&gt;(7-WEEKDAY(TODAY())),ROUNDDOWN(K106,0)-TODAY()&lt;(15-WEEKDAY(TODAY())))</formula>
    </cfRule>
    <cfRule type="timePeriod" dxfId="684" priority="640" timePeriod="yesterday">
      <formula>FLOOR(K106,1)=TODAY()-1</formula>
    </cfRule>
    <cfRule type="timePeriod" dxfId="683" priority="641" timePeriod="today">
      <formula>FLOOR(K106,1)=TODAY()</formula>
    </cfRule>
    <cfRule type="timePeriod" dxfId="682" priority="642" timePeriod="yesterday">
      <formula>FLOOR(K106,1)=TODAY()-1</formula>
    </cfRule>
    <cfRule type="timePeriod" dxfId="681" priority="643" timePeriod="today">
      <formula>FLOOR(K106,1)=TODAY()</formula>
    </cfRule>
  </conditionalFormatting>
  <conditionalFormatting sqref="I112">
    <cfRule type="cellIs" dxfId="680" priority="638" operator="equal">
      <formula>0</formula>
    </cfRule>
  </conditionalFormatting>
  <conditionalFormatting sqref="A112:K112">
    <cfRule type="timePeriod" dxfId="679" priority="633" timePeriod="nextWeek">
      <formula>AND(ROUNDDOWN(A112,0)-TODAY()&gt;(7-WEEKDAY(TODAY())),ROUNDDOWN(A112,0)-TODAY()&lt;(15-WEEKDAY(TODAY())))</formula>
    </cfRule>
    <cfRule type="timePeriod" dxfId="678" priority="634" timePeriod="yesterday">
      <formula>FLOOR(A112,1)=TODAY()-1</formula>
    </cfRule>
    <cfRule type="timePeriod" dxfId="677" priority="635" timePeriod="today">
      <formula>FLOOR(A112,1)=TODAY()</formula>
    </cfRule>
    <cfRule type="timePeriod" dxfId="676" priority="636" timePeriod="yesterday">
      <formula>FLOOR(A112,1)=TODAY()-1</formula>
    </cfRule>
    <cfRule type="timePeriod" dxfId="675" priority="637" timePeriod="today">
      <formula>FLOOR(A112,1)=TODAY()</formula>
    </cfRule>
  </conditionalFormatting>
  <conditionalFormatting sqref="K113">
    <cfRule type="timePeriod" dxfId="674" priority="628" timePeriod="nextWeek">
      <formula>AND(ROUNDDOWN(K113,0)-TODAY()&gt;(7-WEEKDAY(TODAY())),ROUNDDOWN(K113,0)-TODAY()&lt;(15-WEEKDAY(TODAY())))</formula>
    </cfRule>
    <cfRule type="timePeriod" dxfId="673" priority="629" timePeriod="yesterday">
      <formula>FLOOR(K113,1)=TODAY()-1</formula>
    </cfRule>
    <cfRule type="timePeriod" dxfId="672" priority="630" timePeriod="today">
      <formula>FLOOR(K113,1)=TODAY()</formula>
    </cfRule>
    <cfRule type="timePeriod" dxfId="671" priority="631" timePeriod="yesterday">
      <formula>FLOOR(K113,1)=TODAY()-1</formula>
    </cfRule>
    <cfRule type="timePeriod" dxfId="670" priority="632" timePeriod="today">
      <formula>FLOOR(K113,1)=TODAY()</formula>
    </cfRule>
  </conditionalFormatting>
  <conditionalFormatting sqref="K114">
    <cfRule type="timePeriod" dxfId="669" priority="623" timePeriod="nextWeek">
      <formula>AND(ROUNDDOWN(K114,0)-TODAY()&gt;(7-WEEKDAY(TODAY())),ROUNDDOWN(K114,0)-TODAY()&lt;(15-WEEKDAY(TODAY())))</formula>
    </cfRule>
    <cfRule type="timePeriod" dxfId="668" priority="624" timePeriod="yesterday">
      <formula>FLOOR(K114,1)=TODAY()-1</formula>
    </cfRule>
    <cfRule type="timePeriod" dxfId="667" priority="625" timePeriod="today">
      <formula>FLOOR(K114,1)=TODAY()</formula>
    </cfRule>
    <cfRule type="timePeriod" dxfId="666" priority="626" timePeriod="yesterday">
      <formula>FLOOR(K114,1)=TODAY()-1</formula>
    </cfRule>
    <cfRule type="timePeriod" dxfId="665" priority="627" timePeriod="today">
      <formula>FLOOR(K114,1)=TODAY()</formula>
    </cfRule>
  </conditionalFormatting>
  <conditionalFormatting sqref="I115">
    <cfRule type="cellIs" dxfId="664" priority="622" operator="equal">
      <formula>0</formula>
    </cfRule>
  </conditionalFormatting>
  <conditionalFormatting sqref="A115:K115">
    <cfRule type="timePeriod" dxfId="663" priority="617" timePeriod="nextWeek">
      <formula>AND(ROUNDDOWN(A115,0)-TODAY()&gt;(7-WEEKDAY(TODAY())),ROUNDDOWN(A115,0)-TODAY()&lt;(15-WEEKDAY(TODAY())))</formula>
    </cfRule>
    <cfRule type="timePeriod" dxfId="662" priority="618" timePeriod="yesterday">
      <formula>FLOOR(A115,1)=TODAY()-1</formula>
    </cfRule>
    <cfRule type="timePeriod" dxfId="661" priority="619" timePeriod="today">
      <formula>FLOOR(A115,1)=TODAY()</formula>
    </cfRule>
    <cfRule type="timePeriod" dxfId="660" priority="620" timePeriod="yesterday">
      <formula>FLOOR(A115,1)=TODAY()-1</formula>
    </cfRule>
    <cfRule type="timePeriod" dxfId="659" priority="621" timePeriod="today">
      <formula>FLOOR(A115,1)=TODAY()</formula>
    </cfRule>
  </conditionalFormatting>
  <conditionalFormatting sqref="I116">
    <cfRule type="cellIs" dxfId="658" priority="616" operator="equal">
      <formula>0</formula>
    </cfRule>
  </conditionalFormatting>
  <conditionalFormatting sqref="A116:K116">
    <cfRule type="timePeriod" dxfId="657" priority="611" timePeriod="nextWeek">
      <formula>AND(ROUNDDOWN(A116,0)-TODAY()&gt;(7-WEEKDAY(TODAY())),ROUNDDOWN(A116,0)-TODAY()&lt;(15-WEEKDAY(TODAY())))</formula>
    </cfRule>
    <cfRule type="timePeriod" dxfId="656" priority="612" timePeriod="yesterday">
      <formula>FLOOR(A116,1)=TODAY()-1</formula>
    </cfRule>
    <cfRule type="timePeriod" dxfId="655" priority="613" timePeriod="today">
      <formula>FLOOR(A116,1)=TODAY()</formula>
    </cfRule>
    <cfRule type="timePeriod" dxfId="654" priority="614" timePeriod="yesterday">
      <formula>FLOOR(A116,1)=TODAY()-1</formula>
    </cfRule>
    <cfRule type="timePeriod" dxfId="653" priority="615" timePeriod="today">
      <formula>FLOOR(A116,1)=TODAY()</formula>
    </cfRule>
  </conditionalFormatting>
  <conditionalFormatting sqref="K117:K124">
    <cfRule type="timePeriod" dxfId="652" priority="606" timePeriod="nextWeek">
      <formula>AND(ROUNDDOWN(K117,0)-TODAY()&gt;(7-WEEKDAY(TODAY())),ROUNDDOWN(K117,0)-TODAY()&lt;(15-WEEKDAY(TODAY())))</formula>
    </cfRule>
    <cfRule type="timePeriod" dxfId="651" priority="607" timePeriod="yesterday">
      <formula>FLOOR(K117,1)=TODAY()-1</formula>
    </cfRule>
    <cfRule type="timePeriod" dxfId="650" priority="608" timePeriod="today">
      <formula>FLOOR(K117,1)=TODAY()</formula>
    </cfRule>
    <cfRule type="timePeriod" dxfId="649" priority="609" timePeriod="yesterday">
      <formula>FLOOR(K117,1)=TODAY()-1</formula>
    </cfRule>
    <cfRule type="timePeriod" dxfId="648" priority="610" timePeriod="today">
      <formula>FLOOR(K117,1)=TODAY()</formula>
    </cfRule>
  </conditionalFormatting>
  <conditionalFormatting sqref="I125:I126">
    <cfRule type="cellIs" dxfId="647" priority="605" operator="equal">
      <formula>0</formula>
    </cfRule>
  </conditionalFormatting>
  <conditionalFormatting sqref="K125:K126 B125:D125 G125:I125 A126:I126">
    <cfRule type="timePeriod" dxfId="646" priority="600" timePeriod="nextWeek">
      <formula>AND(ROUNDDOWN(A125,0)-TODAY()&gt;(7-WEEKDAY(TODAY())),ROUNDDOWN(A125,0)-TODAY()&lt;(15-WEEKDAY(TODAY())))</formula>
    </cfRule>
    <cfRule type="timePeriod" dxfId="645" priority="601" timePeriod="yesterday">
      <formula>FLOOR(A125,1)=TODAY()-1</formula>
    </cfRule>
    <cfRule type="timePeriod" dxfId="644" priority="602" timePeriod="today">
      <formula>FLOOR(A125,1)=TODAY()</formula>
    </cfRule>
    <cfRule type="timePeriod" dxfId="643" priority="603" timePeriod="yesterday">
      <formula>FLOOR(A125,1)=TODAY()-1</formula>
    </cfRule>
    <cfRule type="timePeriod" dxfId="642" priority="604" timePeriod="today">
      <formula>FLOOR(A125,1)=TODAY()</formula>
    </cfRule>
  </conditionalFormatting>
  <conditionalFormatting sqref="I127">
    <cfRule type="cellIs" dxfId="641" priority="599" operator="equal">
      <formula>0</formula>
    </cfRule>
  </conditionalFormatting>
  <conditionalFormatting sqref="K127 A127:I127">
    <cfRule type="timePeriod" dxfId="640" priority="594" timePeriod="nextWeek">
      <formula>AND(ROUNDDOWN(A127,0)-TODAY()&gt;(7-WEEKDAY(TODAY())),ROUNDDOWN(A127,0)-TODAY()&lt;(15-WEEKDAY(TODAY())))</formula>
    </cfRule>
    <cfRule type="timePeriod" dxfId="639" priority="595" timePeriod="yesterday">
      <formula>FLOOR(A127,1)=TODAY()-1</formula>
    </cfRule>
    <cfRule type="timePeriod" dxfId="638" priority="596" timePeriod="today">
      <formula>FLOOR(A127,1)=TODAY()</formula>
    </cfRule>
    <cfRule type="timePeriod" dxfId="637" priority="597" timePeriod="yesterday">
      <formula>FLOOR(A127,1)=TODAY()-1</formula>
    </cfRule>
    <cfRule type="timePeriod" dxfId="636" priority="598" timePeriod="today">
      <formula>FLOOR(A127,1)=TODAY()</formula>
    </cfRule>
  </conditionalFormatting>
  <conditionalFormatting sqref="K128">
    <cfRule type="timePeriod" dxfId="635" priority="589" timePeriod="nextWeek">
      <formula>AND(ROUNDDOWN(K128,0)-TODAY()&gt;(7-WEEKDAY(TODAY())),ROUNDDOWN(K128,0)-TODAY()&lt;(15-WEEKDAY(TODAY())))</formula>
    </cfRule>
    <cfRule type="timePeriod" dxfId="634" priority="590" timePeriod="yesterday">
      <formula>FLOOR(K128,1)=TODAY()-1</formula>
    </cfRule>
    <cfRule type="timePeriod" dxfId="633" priority="591" timePeriod="today">
      <formula>FLOOR(K128,1)=TODAY()</formula>
    </cfRule>
    <cfRule type="timePeriod" dxfId="632" priority="592" timePeriod="yesterday">
      <formula>FLOOR(K128,1)=TODAY()-1</formula>
    </cfRule>
    <cfRule type="timePeriod" dxfId="631" priority="593" timePeriod="today">
      <formula>FLOOR(K128,1)=TODAY()</formula>
    </cfRule>
  </conditionalFormatting>
  <conditionalFormatting sqref="I129">
    <cfRule type="cellIs" dxfId="630" priority="588" operator="equal">
      <formula>0</formula>
    </cfRule>
  </conditionalFormatting>
  <conditionalFormatting sqref="A129:K129">
    <cfRule type="timePeriod" dxfId="629" priority="583" timePeriod="nextWeek">
      <formula>AND(ROUNDDOWN(A129,0)-TODAY()&gt;(7-WEEKDAY(TODAY())),ROUNDDOWN(A129,0)-TODAY()&lt;(15-WEEKDAY(TODAY())))</formula>
    </cfRule>
    <cfRule type="timePeriod" dxfId="628" priority="584" timePeriod="yesterday">
      <formula>FLOOR(A129,1)=TODAY()-1</formula>
    </cfRule>
    <cfRule type="timePeriod" dxfId="627" priority="585" timePeriod="today">
      <formula>FLOOR(A129,1)=TODAY()</formula>
    </cfRule>
    <cfRule type="timePeriod" dxfId="626" priority="586" timePeriod="yesterday">
      <formula>FLOOR(A129,1)=TODAY()-1</formula>
    </cfRule>
    <cfRule type="timePeriod" dxfId="625" priority="587" timePeriod="today">
      <formula>FLOOR(A129,1)=TODAY()</formula>
    </cfRule>
  </conditionalFormatting>
  <conditionalFormatting sqref="I130">
    <cfRule type="cellIs" dxfId="624" priority="582" operator="equal">
      <formula>0</formula>
    </cfRule>
  </conditionalFormatting>
  <conditionalFormatting sqref="A130:K130">
    <cfRule type="timePeriod" dxfId="623" priority="577" timePeriod="nextWeek">
      <formula>AND(ROUNDDOWN(A130,0)-TODAY()&gt;(7-WEEKDAY(TODAY())),ROUNDDOWN(A130,0)-TODAY()&lt;(15-WEEKDAY(TODAY())))</formula>
    </cfRule>
    <cfRule type="timePeriod" dxfId="622" priority="578" timePeriod="yesterday">
      <formula>FLOOR(A130,1)=TODAY()-1</formula>
    </cfRule>
    <cfRule type="timePeriod" dxfId="621" priority="579" timePeriod="today">
      <formula>FLOOR(A130,1)=TODAY()</formula>
    </cfRule>
    <cfRule type="timePeriod" dxfId="620" priority="580" timePeriod="yesterday">
      <formula>FLOOR(A130,1)=TODAY()-1</formula>
    </cfRule>
    <cfRule type="timePeriod" dxfId="619" priority="581" timePeriod="today">
      <formula>FLOOR(A130,1)=TODAY()</formula>
    </cfRule>
  </conditionalFormatting>
  <conditionalFormatting sqref="I131">
    <cfRule type="cellIs" dxfId="618" priority="576" operator="equal">
      <formula>0</formula>
    </cfRule>
  </conditionalFormatting>
  <conditionalFormatting sqref="A131:K131">
    <cfRule type="timePeriod" dxfId="617" priority="571" timePeriod="nextWeek">
      <formula>AND(ROUNDDOWN(A131,0)-TODAY()&gt;(7-WEEKDAY(TODAY())),ROUNDDOWN(A131,0)-TODAY()&lt;(15-WEEKDAY(TODAY())))</formula>
    </cfRule>
    <cfRule type="timePeriod" dxfId="616" priority="572" timePeriod="yesterday">
      <formula>FLOOR(A131,1)=TODAY()-1</formula>
    </cfRule>
    <cfRule type="timePeriod" dxfId="615" priority="573" timePeriod="today">
      <formula>FLOOR(A131,1)=TODAY()</formula>
    </cfRule>
    <cfRule type="timePeriod" dxfId="614" priority="574" timePeriod="yesterday">
      <formula>FLOOR(A131,1)=TODAY()-1</formula>
    </cfRule>
    <cfRule type="timePeriod" dxfId="613" priority="575" timePeriod="today">
      <formula>FLOOR(A131,1)=TODAY()</formula>
    </cfRule>
  </conditionalFormatting>
  <conditionalFormatting sqref="K132">
    <cfRule type="timePeriod" dxfId="612" priority="566" timePeriod="nextWeek">
      <formula>AND(ROUNDDOWN(K132,0)-TODAY()&gt;(7-WEEKDAY(TODAY())),ROUNDDOWN(K132,0)-TODAY()&lt;(15-WEEKDAY(TODAY())))</formula>
    </cfRule>
    <cfRule type="timePeriod" dxfId="611" priority="567" timePeriod="yesterday">
      <formula>FLOOR(K132,1)=TODAY()-1</formula>
    </cfRule>
    <cfRule type="timePeriod" dxfId="610" priority="568" timePeriod="today">
      <formula>FLOOR(K132,1)=TODAY()</formula>
    </cfRule>
    <cfRule type="timePeriod" dxfId="609" priority="569" timePeriod="yesterday">
      <formula>FLOOR(K132,1)=TODAY()-1</formula>
    </cfRule>
    <cfRule type="timePeriod" dxfId="608" priority="570" timePeriod="today">
      <formula>FLOOR(K132,1)=TODAY()</formula>
    </cfRule>
  </conditionalFormatting>
  <conditionalFormatting sqref="I133:I134">
    <cfRule type="cellIs" dxfId="607" priority="565" operator="equal">
      <formula>0</formula>
    </cfRule>
  </conditionalFormatting>
  <conditionalFormatting sqref="A133:I134 K133:K134">
    <cfRule type="timePeriod" dxfId="606" priority="560" timePeriod="nextWeek">
      <formula>AND(ROUNDDOWN(A133,0)-TODAY()&gt;(7-WEEKDAY(TODAY())),ROUNDDOWN(A133,0)-TODAY()&lt;(15-WEEKDAY(TODAY())))</formula>
    </cfRule>
    <cfRule type="timePeriod" dxfId="605" priority="561" timePeriod="yesterday">
      <formula>FLOOR(A133,1)=TODAY()-1</formula>
    </cfRule>
    <cfRule type="timePeriod" dxfId="604" priority="562" timePeriod="today">
      <formula>FLOOR(A133,1)=TODAY()</formula>
    </cfRule>
    <cfRule type="timePeriod" dxfId="603" priority="563" timePeriod="yesterday">
      <formula>FLOOR(A133,1)=TODAY()-1</formula>
    </cfRule>
    <cfRule type="timePeriod" dxfId="602" priority="564" timePeriod="today">
      <formula>FLOOR(A133,1)=TODAY()</formula>
    </cfRule>
  </conditionalFormatting>
  <conditionalFormatting sqref="I135:I136">
    <cfRule type="cellIs" dxfId="601" priority="559" operator="equal">
      <formula>0</formula>
    </cfRule>
  </conditionalFormatting>
  <conditionalFormatting sqref="A135:I136 K135:K136">
    <cfRule type="timePeriod" dxfId="600" priority="554" timePeriod="nextWeek">
      <formula>AND(ROUNDDOWN(A135,0)-TODAY()&gt;(7-WEEKDAY(TODAY())),ROUNDDOWN(A135,0)-TODAY()&lt;(15-WEEKDAY(TODAY())))</formula>
    </cfRule>
    <cfRule type="timePeriod" dxfId="599" priority="555" timePeriod="yesterday">
      <formula>FLOOR(A135,1)=TODAY()-1</formula>
    </cfRule>
    <cfRule type="timePeriod" dxfId="598" priority="556" timePeriod="today">
      <formula>FLOOR(A135,1)=TODAY()</formula>
    </cfRule>
    <cfRule type="timePeriod" dxfId="597" priority="557" timePeriod="yesterday">
      <formula>FLOOR(A135,1)=TODAY()-1</formula>
    </cfRule>
    <cfRule type="timePeriod" dxfId="596" priority="558" timePeriod="today">
      <formula>FLOOR(A135,1)=TODAY()</formula>
    </cfRule>
  </conditionalFormatting>
  <conditionalFormatting sqref="I141">
    <cfRule type="cellIs" dxfId="595" priority="553" operator="equal">
      <formula>0</formula>
    </cfRule>
  </conditionalFormatting>
  <conditionalFormatting sqref="K141 A141:I141">
    <cfRule type="timePeriod" dxfId="594" priority="548" timePeriod="nextWeek">
      <formula>AND(ROUNDDOWN(A141,0)-TODAY()&gt;(7-WEEKDAY(TODAY())),ROUNDDOWN(A141,0)-TODAY()&lt;(15-WEEKDAY(TODAY())))</formula>
    </cfRule>
    <cfRule type="timePeriod" dxfId="593" priority="549" timePeriod="yesterday">
      <formula>FLOOR(A141,1)=TODAY()-1</formula>
    </cfRule>
    <cfRule type="timePeriod" dxfId="592" priority="550" timePeriod="today">
      <formula>FLOOR(A141,1)=TODAY()</formula>
    </cfRule>
    <cfRule type="timePeriod" dxfId="591" priority="551" timePeriod="yesterday">
      <formula>FLOOR(A141,1)=TODAY()-1</formula>
    </cfRule>
    <cfRule type="timePeriod" dxfId="590" priority="552" timePeriod="today">
      <formula>FLOOR(A141,1)=TODAY()</formula>
    </cfRule>
  </conditionalFormatting>
  <conditionalFormatting sqref="I142">
    <cfRule type="cellIs" dxfId="589" priority="547" operator="equal">
      <formula>0</formula>
    </cfRule>
  </conditionalFormatting>
  <conditionalFormatting sqref="A142:K142">
    <cfRule type="timePeriod" dxfId="588" priority="542" timePeriod="nextWeek">
      <formula>AND(ROUNDDOWN(A142,0)-TODAY()&gt;(7-WEEKDAY(TODAY())),ROUNDDOWN(A142,0)-TODAY()&lt;(15-WEEKDAY(TODAY())))</formula>
    </cfRule>
    <cfRule type="timePeriod" dxfId="587" priority="543" timePeriod="yesterday">
      <formula>FLOOR(A142,1)=TODAY()-1</formula>
    </cfRule>
    <cfRule type="timePeriod" dxfId="586" priority="544" timePeriod="today">
      <formula>FLOOR(A142,1)=TODAY()</formula>
    </cfRule>
    <cfRule type="timePeriod" dxfId="585" priority="545" timePeriod="yesterday">
      <formula>FLOOR(A142,1)=TODAY()-1</formula>
    </cfRule>
    <cfRule type="timePeriod" dxfId="584" priority="546" timePeriod="today">
      <formula>FLOOR(A142,1)=TODAY()</formula>
    </cfRule>
  </conditionalFormatting>
  <conditionalFormatting sqref="I143">
    <cfRule type="cellIs" dxfId="583" priority="541" operator="equal">
      <formula>0</formula>
    </cfRule>
  </conditionalFormatting>
  <conditionalFormatting sqref="A143:K143">
    <cfRule type="timePeriod" dxfId="582" priority="536" timePeriod="nextWeek">
      <formula>AND(ROUNDDOWN(A143,0)-TODAY()&gt;(7-WEEKDAY(TODAY())),ROUNDDOWN(A143,0)-TODAY()&lt;(15-WEEKDAY(TODAY())))</formula>
    </cfRule>
    <cfRule type="timePeriod" dxfId="581" priority="537" timePeriod="yesterday">
      <formula>FLOOR(A143,1)=TODAY()-1</formula>
    </cfRule>
    <cfRule type="timePeriod" dxfId="580" priority="538" timePeriod="today">
      <formula>FLOOR(A143,1)=TODAY()</formula>
    </cfRule>
    <cfRule type="timePeriod" dxfId="579" priority="539" timePeriod="yesterday">
      <formula>FLOOR(A143,1)=TODAY()-1</formula>
    </cfRule>
    <cfRule type="timePeriod" dxfId="578" priority="540" timePeriod="today">
      <formula>FLOOR(A143,1)=TODAY()</formula>
    </cfRule>
  </conditionalFormatting>
  <conditionalFormatting sqref="I144">
    <cfRule type="cellIs" dxfId="577" priority="535" operator="equal">
      <formula>0</formula>
    </cfRule>
  </conditionalFormatting>
  <conditionalFormatting sqref="K144 A144:I144">
    <cfRule type="timePeriod" dxfId="576" priority="530" timePeriod="nextWeek">
      <formula>AND(ROUNDDOWN(A144,0)-TODAY()&gt;(7-WEEKDAY(TODAY())),ROUNDDOWN(A144,0)-TODAY()&lt;(15-WEEKDAY(TODAY())))</formula>
    </cfRule>
    <cfRule type="timePeriod" dxfId="575" priority="531" timePeriod="yesterday">
      <formula>FLOOR(A144,1)=TODAY()-1</formula>
    </cfRule>
    <cfRule type="timePeriod" dxfId="574" priority="532" timePeriod="today">
      <formula>FLOOR(A144,1)=TODAY()</formula>
    </cfRule>
    <cfRule type="timePeriod" dxfId="573" priority="533" timePeriod="yesterday">
      <formula>FLOOR(A144,1)=TODAY()-1</formula>
    </cfRule>
    <cfRule type="timePeriod" dxfId="572" priority="534" timePeriod="today">
      <formula>FLOOR(A144,1)=TODAY()</formula>
    </cfRule>
  </conditionalFormatting>
  <conditionalFormatting sqref="K145:K147">
    <cfRule type="timePeriod" dxfId="571" priority="525" timePeriod="nextWeek">
      <formula>AND(ROUNDDOWN(K145,0)-TODAY()&gt;(7-WEEKDAY(TODAY())),ROUNDDOWN(K145,0)-TODAY()&lt;(15-WEEKDAY(TODAY())))</formula>
    </cfRule>
    <cfRule type="timePeriod" dxfId="570" priority="526" timePeriod="yesterday">
      <formula>FLOOR(K145,1)=TODAY()-1</formula>
    </cfRule>
    <cfRule type="timePeriod" dxfId="569" priority="527" timePeriod="today">
      <formula>FLOOR(K145,1)=TODAY()</formula>
    </cfRule>
    <cfRule type="timePeriod" dxfId="568" priority="528" timePeriod="yesterday">
      <formula>FLOOR(K145,1)=TODAY()-1</formula>
    </cfRule>
    <cfRule type="timePeriod" dxfId="567" priority="529" timePeriod="today">
      <formula>FLOOR(K145,1)=TODAY()</formula>
    </cfRule>
  </conditionalFormatting>
  <conditionalFormatting sqref="K148">
    <cfRule type="timePeriod" dxfId="566" priority="520" timePeriod="nextWeek">
      <formula>AND(ROUNDDOWN(K148,0)-TODAY()&gt;(7-WEEKDAY(TODAY())),ROUNDDOWN(K148,0)-TODAY()&lt;(15-WEEKDAY(TODAY())))</formula>
    </cfRule>
    <cfRule type="timePeriod" dxfId="565" priority="521" timePeriod="yesterday">
      <formula>FLOOR(K148,1)=TODAY()-1</formula>
    </cfRule>
    <cfRule type="timePeriod" dxfId="564" priority="522" timePeriod="today">
      <formula>FLOOR(K148,1)=TODAY()</formula>
    </cfRule>
    <cfRule type="timePeriod" dxfId="563" priority="523" timePeriod="yesterday">
      <formula>FLOOR(K148,1)=TODAY()-1</formula>
    </cfRule>
    <cfRule type="timePeriod" dxfId="562" priority="524" timePeriod="today">
      <formula>FLOOR(K148,1)=TODAY()</formula>
    </cfRule>
  </conditionalFormatting>
  <conditionalFormatting sqref="I149:I151">
    <cfRule type="cellIs" dxfId="561" priority="519" operator="equal">
      <formula>0</formula>
    </cfRule>
  </conditionalFormatting>
  <conditionalFormatting sqref="A149:I151 K149:K151">
    <cfRule type="timePeriod" dxfId="560" priority="514" timePeriod="nextWeek">
      <formula>AND(ROUNDDOWN(A149,0)-TODAY()&gt;(7-WEEKDAY(TODAY())),ROUNDDOWN(A149,0)-TODAY()&lt;(15-WEEKDAY(TODAY())))</formula>
    </cfRule>
    <cfRule type="timePeriod" dxfId="559" priority="515" timePeriod="yesterday">
      <formula>FLOOR(A149,1)=TODAY()-1</formula>
    </cfRule>
    <cfRule type="timePeriod" dxfId="558" priority="516" timePeriod="today">
      <formula>FLOOR(A149,1)=TODAY()</formula>
    </cfRule>
    <cfRule type="timePeriod" dxfId="557" priority="517" timePeriod="yesterday">
      <formula>FLOOR(A149,1)=TODAY()-1</formula>
    </cfRule>
    <cfRule type="timePeriod" dxfId="556" priority="518" timePeriod="today">
      <formula>FLOOR(A149,1)=TODAY()</formula>
    </cfRule>
  </conditionalFormatting>
  <conditionalFormatting sqref="I152:I154">
    <cfRule type="cellIs" dxfId="555" priority="513" operator="equal">
      <formula>0</formula>
    </cfRule>
  </conditionalFormatting>
  <conditionalFormatting sqref="K152:K154 A152:I154">
    <cfRule type="timePeriod" dxfId="554" priority="508" timePeriod="nextWeek">
      <formula>AND(ROUNDDOWN(A152,0)-TODAY()&gt;(7-WEEKDAY(TODAY())),ROUNDDOWN(A152,0)-TODAY()&lt;(15-WEEKDAY(TODAY())))</formula>
    </cfRule>
    <cfRule type="timePeriod" dxfId="553" priority="509" timePeriod="yesterday">
      <formula>FLOOR(A152,1)=TODAY()-1</formula>
    </cfRule>
    <cfRule type="timePeriod" dxfId="552" priority="510" timePeriod="today">
      <formula>FLOOR(A152,1)=TODAY()</formula>
    </cfRule>
    <cfRule type="timePeriod" dxfId="551" priority="511" timePeriod="yesterday">
      <formula>FLOOR(A152,1)=TODAY()-1</formula>
    </cfRule>
    <cfRule type="timePeriod" dxfId="550" priority="512" timePeriod="today">
      <formula>FLOOR(A152,1)=TODAY()</formula>
    </cfRule>
  </conditionalFormatting>
  <conditionalFormatting sqref="I155:I157">
    <cfRule type="cellIs" dxfId="549" priority="507" operator="equal">
      <formula>0</formula>
    </cfRule>
  </conditionalFormatting>
  <conditionalFormatting sqref="K155:K157 A155:I157">
    <cfRule type="timePeriod" dxfId="548" priority="502" timePeriod="nextWeek">
      <formula>AND(ROUNDDOWN(A155,0)-TODAY()&gt;(7-WEEKDAY(TODAY())),ROUNDDOWN(A155,0)-TODAY()&lt;(15-WEEKDAY(TODAY())))</formula>
    </cfRule>
    <cfRule type="timePeriod" dxfId="547" priority="503" timePeriod="yesterday">
      <formula>FLOOR(A155,1)=TODAY()-1</formula>
    </cfRule>
    <cfRule type="timePeriod" dxfId="546" priority="504" timePeriod="today">
      <formula>FLOOR(A155,1)=TODAY()</formula>
    </cfRule>
    <cfRule type="timePeriod" dxfId="545" priority="505" timePeriod="yesterday">
      <formula>FLOOR(A155,1)=TODAY()-1</formula>
    </cfRule>
    <cfRule type="timePeriod" dxfId="544" priority="506" timePeriod="today">
      <formula>FLOOR(A155,1)=TODAY()</formula>
    </cfRule>
  </conditionalFormatting>
  <conditionalFormatting sqref="I158">
    <cfRule type="cellIs" dxfId="543" priority="501" operator="equal">
      <formula>0</formula>
    </cfRule>
  </conditionalFormatting>
  <conditionalFormatting sqref="A158:I158 K158">
    <cfRule type="timePeriod" dxfId="542" priority="496" timePeriod="nextWeek">
      <formula>AND(ROUNDDOWN(A158,0)-TODAY()&gt;(7-WEEKDAY(TODAY())),ROUNDDOWN(A158,0)-TODAY()&lt;(15-WEEKDAY(TODAY())))</formula>
    </cfRule>
    <cfRule type="timePeriod" dxfId="541" priority="497" timePeriod="yesterday">
      <formula>FLOOR(A158,1)=TODAY()-1</formula>
    </cfRule>
    <cfRule type="timePeriod" dxfId="540" priority="498" timePeriod="today">
      <formula>FLOOR(A158,1)=TODAY()</formula>
    </cfRule>
    <cfRule type="timePeriod" dxfId="539" priority="499" timePeriod="yesterday">
      <formula>FLOOR(A158,1)=TODAY()-1</formula>
    </cfRule>
    <cfRule type="timePeriod" dxfId="538" priority="500" timePeriod="today">
      <formula>FLOOR(A158,1)=TODAY()</formula>
    </cfRule>
  </conditionalFormatting>
  <conditionalFormatting sqref="K159:K161">
    <cfRule type="timePeriod" dxfId="537" priority="491" timePeriod="nextWeek">
      <formula>AND(ROUNDDOWN(K159,0)-TODAY()&gt;(7-WEEKDAY(TODAY())),ROUNDDOWN(K159,0)-TODAY()&lt;(15-WEEKDAY(TODAY())))</formula>
    </cfRule>
    <cfRule type="timePeriod" dxfId="536" priority="492" timePeriod="yesterday">
      <formula>FLOOR(K159,1)=TODAY()-1</formula>
    </cfRule>
    <cfRule type="timePeriod" dxfId="535" priority="493" timePeriod="today">
      <formula>FLOOR(K159,1)=TODAY()</formula>
    </cfRule>
    <cfRule type="timePeriod" dxfId="534" priority="494" timePeriod="yesterday">
      <formula>FLOOR(K159,1)=TODAY()-1</formula>
    </cfRule>
    <cfRule type="timePeriod" dxfId="533" priority="495" timePeriod="today">
      <formula>FLOOR(K159,1)=TODAY()</formula>
    </cfRule>
  </conditionalFormatting>
  <conditionalFormatting sqref="I162">
    <cfRule type="cellIs" dxfId="532" priority="490" operator="equal">
      <formula>0</formula>
    </cfRule>
  </conditionalFormatting>
  <conditionalFormatting sqref="K162 A162:I162">
    <cfRule type="timePeriod" dxfId="531" priority="485" timePeriod="nextWeek">
      <formula>AND(ROUNDDOWN(A162,0)-TODAY()&gt;(7-WEEKDAY(TODAY())),ROUNDDOWN(A162,0)-TODAY()&lt;(15-WEEKDAY(TODAY())))</formula>
    </cfRule>
    <cfRule type="timePeriod" dxfId="530" priority="486" timePeriod="yesterday">
      <formula>FLOOR(A162,1)=TODAY()-1</formula>
    </cfRule>
    <cfRule type="timePeriod" dxfId="529" priority="487" timePeriod="today">
      <formula>FLOOR(A162,1)=TODAY()</formula>
    </cfRule>
    <cfRule type="timePeriod" dxfId="528" priority="488" timePeriod="yesterday">
      <formula>FLOOR(A162,1)=TODAY()-1</formula>
    </cfRule>
    <cfRule type="timePeriod" dxfId="527" priority="489" timePeriod="today">
      <formula>FLOOR(A162,1)=TODAY()</formula>
    </cfRule>
  </conditionalFormatting>
  <conditionalFormatting sqref="I163">
    <cfRule type="cellIs" dxfId="526" priority="484" operator="equal">
      <formula>0</formula>
    </cfRule>
  </conditionalFormatting>
  <conditionalFormatting sqref="K163 A163:I163">
    <cfRule type="timePeriod" dxfId="525" priority="479" timePeriod="nextWeek">
      <formula>AND(ROUNDDOWN(A163,0)-TODAY()&gt;(7-WEEKDAY(TODAY())),ROUNDDOWN(A163,0)-TODAY()&lt;(15-WEEKDAY(TODAY())))</formula>
    </cfRule>
    <cfRule type="timePeriod" dxfId="524" priority="480" timePeriod="yesterday">
      <formula>FLOOR(A163,1)=TODAY()-1</formula>
    </cfRule>
    <cfRule type="timePeriod" dxfId="523" priority="481" timePeriod="today">
      <formula>FLOOR(A163,1)=TODAY()</formula>
    </cfRule>
    <cfRule type="timePeriod" dxfId="522" priority="482" timePeriod="yesterday">
      <formula>FLOOR(A163,1)=TODAY()-1</formula>
    </cfRule>
    <cfRule type="timePeriod" dxfId="521" priority="483" timePeriod="today">
      <formula>FLOOR(A163,1)=TODAY()</formula>
    </cfRule>
  </conditionalFormatting>
  <conditionalFormatting sqref="I164:I165">
    <cfRule type="cellIs" dxfId="520" priority="478" operator="equal">
      <formula>0</formula>
    </cfRule>
  </conditionalFormatting>
  <conditionalFormatting sqref="A164:I165 K164:K165">
    <cfRule type="timePeriod" dxfId="519" priority="473" timePeriod="nextWeek">
      <formula>AND(ROUNDDOWN(A164,0)-TODAY()&gt;(7-WEEKDAY(TODAY())),ROUNDDOWN(A164,0)-TODAY()&lt;(15-WEEKDAY(TODAY())))</formula>
    </cfRule>
    <cfRule type="timePeriod" dxfId="518" priority="474" timePeriod="yesterday">
      <formula>FLOOR(A164,1)=TODAY()-1</formula>
    </cfRule>
    <cfRule type="timePeriod" dxfId="517" priority="475" timePeriod="today">
      <formula>FLOOR(A164,1)=TODAY()</formula>
    </cfRule>
    <cfRule type="timePeriod" dxfId="516" priority="476" timePeriod="yesterday">
      <formula>FLOOR(A164,1)=TODAY()-1</formula>
    </cfRule>
    <cfRule type="timePeriod" dxfId="515" priority="477" timePeriod="today">
      <formula>FLOOR(A164,1)=TODAY()</formula>
    </cfRule>
  </conditionalFormatting>
  <conditionalFormatting sqref="I166:I167">
    <cfRule type="cellIs" dxfId="514" priority="472" operator="equal">
      <formula>0</formula>
    </cfRule>
  </conditionalFormatting>
  <conditionalFormatting sqref="K166:K167 A166:I167">
    <cfRule type="timePeriod" dxfId="513" priority="467" timePeriod="nextWeek">
      <formula>AND(ROUNDDOWN(A166,0)-TODAY()&gt;(7-WEEKDAY(TODAY())),ROUNDDOWN(A166,0)-TODAY()&lt;(15-WEEKDAY(TODAY())))</formula>
    </cfRule>
    <cfRule type="timePeriod" dxfId="512" priority="468" timePeriod="yesterday">
      <formula>FLOOR(A166,1)=TODAY()-1</formula>
    </cfRule>
    <cfRule type="timePeriod" dxfId="511" priority="469" timePeriod="today">
      <formula>FLOOR(A166,1)=TODAY()</formula>
    </cfRule>
    <cfRule type="timePeriod" dxfId="510" priority="470" timePeriod="yesterday">
      <formula>FLOOR(A166,1)=TODAY()-1</formula>
    </cfRule>
    <cfRule type="timePeriod" dxfId="509" priority="471" timePeriod="today">
      <formula>FLOOR(A166,1)=TODAY()</formula>
    </cfRule>
  </conditionalFormatting>
  <conditionalFormatting sqref="I168">
    <cfRule type="cellIs" dxfId="508" priority="466" operator="equal">
      <formula>0</formula>
    </cfRule>
  </conditionalFormatting>
  <conditionalFormatting sqref="A168:K168">
    <cfRule type="timePeriod" dxfId="507" priority="461" timePeriod="nextWeek">
      <formula>AND(ROUNDDOWN(A168,0)-TODAY()&gt;(7-WEEKDAY(TODAY())),ROUNDDOWN(A168,0)-TODAY()&lt;(15-WEEKDAY(TODAY())))</formula>
    </cfRule>
    <cfRule type="timePeriod" dxfId="506" priority="462" timePeriod="yesterday">
      <formula>FLOOR(A168,1)=TODAY()-1</formula>
    </cfRule>
    <cfRule type="timePeriod" dxfId="505" priority="463" timePeriod="today">
      <formula>FLOOR(A168,1)=TODAY()</formula>
    </cfRule>
    <cfRule type="timePeriod" dxfId="504" priority="464" timePeriod="yesterday">
      <formula>FLOOR(A168,1)=TODAY()-1</formula>
    </cfRule>
    <cfRule type="timePeriod" dxfId="503" priority="465" timePeriod="today">
      <formula>FLOOR(A168,1)=TODAY()</formula>
    </cfRule>
  </conditionalFormatting>
  <conditionalFormatting sqref="I169:I171">
    <cfRule type="cellIs" dxfId="502" priority="460" operator="equal">
      <formula>0</formula>
    </cfRule>
  </conditionalFormatting>
  <conditionalFormatting sqref="A169:K171">
    <cfRule type="timePeriod" dxfId="501" priority="455" timePeriod="nextWeek">
      <formula>AND(ROUNDDOWN(A169,0)-TODAY()&gt;(7-WEEKDAY(TODAY())),ROUNDDOWN(A169,0)-TODAY()&lt;(15-WEEKDAY(TODAY())))</formula>
    </cfRule>
    <cfRule type="timePeriod" dxfId="500" priority="456" timePeriod="yesterday">
      <formula>FLOOR(A169,1)=TODAY()-1</formula>
    </cfRule>
    <cfRule type="timePeriod" dxfId="499" priority="457" timePeriod="today">
      <formula>FLOOR(A169,1)=TODAY()</formula>
    </cfRule>
    <cfRule type="timePeriod" dxfId="498" priority="458" timePeriod="yesterday">
      <formula>FLOOR(A169,1)=TODAY()-1</formula>
    </cfRule>
    <cfRule type="timePeriod" dxfId="497" priority="459" timePeriod="today">
      <formula>FLOOR(A169,1)=TODAY()</formula>
    </cfRule>
  </conditionalFormatting>
  <conditionalFormatting sqref="I173">
    <cfRule type="cellIs" dxfId="496" priority="454" operator="equal">
      <formula>0</formula>
    </cfRule>
  </conditionalFormatting>
  <conditionalFormatting sqref="A173:I173 K172:K173">
    <cfRule type="timePeriod" dxfId="495" priority="449" timePeriod="nextWeek">
      <formula>AND(ROUNDDOWN(A172,0)-TODAY()&gt;(7-WEEKDAY(TODAY())),ROUNDDOWN(A172,0)-TODAY()&lt;(15-WEEKDAY(TODAY())))</formula>
    </cfRule>
    <cfRule type="timePeriod" dxfId="494" priority="450" timePeriod="yesterday">
      <formula>FLOOR(A172,1)=TODAY()-1</formula>
    </cfRule>
    <cfRule type="timePeriod" dxfId="493" priority="451" timePeriod="today">
      <formula>FLOOR(A172,1)=TODAY()</formula>
    </cfRule>
    <cfRule type="timePeriod" dxfId="492" priority="452" timePeriod="yesterday">
      <formula>FLOOR(A172,1)=TODAY()-1</formula>
    </cfRule>
    <cfRule type="timePeriod" dxfId="491" priority="453" timePeriod="today">
      <formula>FLOOR(A172,1)=TODAY()</formula>
    </cfRule>
  </conditionalFormatting>
  <conditionalFormatting sqref="I174 I176 I178:I181">
    <cfRule type="cellIs" dxfId="490" priority="448" operator="equal">
      <formula>0</formula>
    </cfRule>
  </conditionalFormatting>
  <conditionalFormatting sqref="A174:I174 A176:I176 K174:K176 A178:I181 K178:K181">
    <cfRule type="timePeriod" dxfId="489" priority="443" timePeriod="nextWeek">
      <formula>AND(ROUNDDOWN(A174,0)-TODAY()&gt;(7-WEEKDAY(TODAY())),ROUNDDOWN(A174,0)-TODAY()&lt;(15-WEEKDAY(TODAY())))</formula>
    </cfRule>
    <cfRule type="timePeriod" dxfId="488" priority="444" timePeriod="yesterday">
      <formula>FLOOR(A174,1)=TODAY()-1</formula>
    </cfRule>
    <cfRule type="timePeriod" dxfId="487" priority="445" timePeriod="today">
      <formula>FLOOR(A174,1)=TODAY()</formula>
    </cfRule>
    <cfRule type="timePeriod" dxfId="486" priority="446" timePeriod="yesterday">
      <formula>FLOOR(A174,1)=TODAY()-1</formula>
    </cfRule>
    <cfRule type="timePeriod" dxfId="485" priority="447" timePeriod="today">
      <formula>FLOOR(A174,1)=TODAY()</formula>
    </cfRule>
  </conditionalFormatting>
  <conditionalFormatting sqref="I182">
    <cfRule type="cellIs" dxfId="484" priority="442" operator="equal">
      <formula>0</formula>
    </cfRule>
  </conditionalFormatting>
  <conditionalFormatting sqref="A182:I182 K182">
    <cfRule type="timePeriod" dxfId="483" priority="437" timePeriod="nextWeek">
      <formula>AND(ROUNDDOWN(A182,0)-TODAY()&gt;(7-WEEKDAY(TODAY())),ROUNDDOWN(A182,0)-TODAY()&lt;(15-WEEKDAY(TODAY())))</formula>
    </cfRule>
    <cfRule type="timePeriod" dxfId="482" priority="438" timePeriod="yesterday">
      <formula>FLOOR(A182,1)=TODAY()-1</formula>
    </cfRule>
    <cfRule type="timePeriod" dxfId="481" priority="439" timePeriod="today">
      <formula>FLOOR(A182,1)=TODAY()</formula>
    </cfRule>
    <cfRule type="timePeriod" dxfId="480" priority="440" timePeriod="yesterday">
      <formula>FLOOR(A182,1)=TODAY()-1</formula>
    </cfRule>
    <cfRule type="timePeriod" dxfId="479" priority="441" timePeriod="today">
      <formula>FLOOR(A182,1)=TODAY()</formula>
    </cfRule>
  </conditionalFormatting>
  <conditionalFormatting sqref="I183">
    <cfRule type="cellIs" dxfId="478" priority="436" operator="equal">
      <formula>0</formula>
    </cfRule>
  </conditionalFormatting>
  <conditionalFormatting sqref="A183:K183">
    <cfRule type="timePeriod" dxfId="477" priority="431" timePeriod="nextWeek">
      <formula>AND(ROUNDDOWN(A183,0)-TODAY()&gt;(7-WEEKDAY(TODAY())),ROUNDDOWN(A183,0)-TODAY()&lt;(15-WEEKDAY(TODAY())))</formula>
    </cfRule>
    <cfRule type="timePeriod" dxfId="476" priority="432" timePeriod="yesterday">
      <formula>FLOOR(A183,1)=TODAY()-1</formula>
    </cfRule>
    <cfRule type="timePeriod" dxfId="475" priority="433" timePeriod="today">
      <formula>FLOOR(A183,1)=TODAY()</formula>
    </cfRule>
    <cfRule type="timePeriod" dxfId="474" priority="434" timePeriod="yesterday">
      <formula>FLOOR(A183,1)=TODAY()-1</formula>
    </cfRule>
    <cfRule type="timePeriod" dxfId="473" priority="435" timePeriod="today">
      <formula>FLOOR(A183,1)=TODAY()</formula>
    </cfRule>
  </conditionalFormatting>
  <conditionalFormatting sqref="I184">
    <cfRule type="cellIs" dxfId="472" priority="430" operator="equal">
      <formula>0</formula>
    </cfRule>
  </conditionalFormatting>
  <conditionalFormatting sqref="A184:I184 K184">
    <cfRule type="timePeriod" dxfId="471" priority="425" timePeriod="nextWeek">
      <formula>AND(ROUNDDOWN(A184,0)-TODAY()&gt;(7-WEEKDAY(TODAY())),ROUNDDOWN(A184,0)-TODAY()&lt;(15-WEEKDAY(TODAY())))</formula>
    </cfRule>
    <cfRule type="timePeriod" dxfId="470" priority="426" timePeriod="yesterday">
      <formula>FLOOR(A184,1)=TODAY()-1</formula>
    </cfRule>
    <cfRule type="timePeriod" dxfId="469" priority="427" timePeriod="today">
      <formula>FLOOR(A184,1)=TODAY()</formula>
    </cfRule>
    <cfRule type="timePeriod" dxfId="468" priority="428" timePeriod="yesterday">
      <formula>FLOOR(A184,1)=TODAY()-1</formula>
    </cfRule>
    <cfRule type="timePeriod" dxfId="467" priority="429" timePeriod="today">
      <formula>FLOOR(A184,1)=TODAY()</formula>
    </cfRule>
  </conditionalFormatting>
  <conditionalFormatting sqref="I185">
    <cfRule type="cellIs" dxfId="466" priority="424" operator="equal">
      <formula>0</formula>
    </cfRule>
  </conditionalFormatting>
  <conditionalFormatting sqref="A185:K185">
    <cfRule type="timePeriod" dxfId="465" priority="419" timePeriod="nextWeek">
      <formula>AND(ROUNDDOWN(A185,0)-TODAY()&gt;(7-WEEKDAY(TODAY())),ROUNDDOWN(A185,0)-TODAY()&lt;(15-WEEKDAY(TODAY())))</formula>
    </cfRule>
    <cfRule type="timePeriod" dxfId="464" priority="420" timePeriod="yesterday">
      <formula>FLOOR(A185,1)=TODAY()-1</formula>
    </cfRule>
    <cfRule type="timePeriod" dxfId="463" priority="421" timePeriod="today">
      <formula>FLOOR(A185,1)=TODAY()</formula>
    </cfRule>
    <cfRule type="timePeriod" dxfId="462" priority="422" timePeriod="yesterday">
      <formula>FLOOR(A185,1)=TODAY()-1</formula>
    </cfRule>
    <cfRule type="timePeriod" dxfId="461" priority="423" timePeriod="today">
      <formula>FLOOR(A185,1)=TODAY()</formula>
    </cfRule>
  </conditionalFormatting>
  <conditionalFormatting sqref="I186">
    <cfRule type="cellIs" dxfId="460" priority="418" operator="equal">
      <formula>0</formula>
    </cfRule>
  </conditionalFormatting>
  <conditionalFormatting sqref="K186 A186:I186">
    <cfRule type="timePeriod" dxfId="459" priority="413" timePeriod="nextWeek">
      <formula>AND(ROUNDDOWN(A186,0)-TODAY()&gt;(7-WEEKDAY(TODAY())),ROUNDDOWN(A186,0)-TODAY()&lt;(15-WEEKDAY(TODAY())))</formula>
    </cfRule>
    <cfRule type="timePeriod" dxfId="458" priority="414" timePeriod="yesterday">
      <formula>FLOOR(A186,1)=TODAY()-1</formula>
    </cfRule>
    <cfRule type="timePeriod" dxfId="457" priority="415" timePeriod="today">
      <formula>FLOOR(A186,1)=TODAY()</formula>
    </cfRule>
    <cfRule type="timePeriod" dxfId="456" priority="416" timePeriod="yesterday">
      <formula>FLOOR(A186,1)=TODAY()-1</formula>
    </cfRule>
    <cfRule type="timePeriod" dxfId="455" priority="417" timePeriod="today">
      <formula>FLOOR(A186,1)=TODAY()</formula>
    </cfRule>
  </conditionalFormatting>
  <conditionalFormatting sqref="I187:I188">
    <cfRule type="cellIs" dxfId="454" priority="412" operator="equal">
      <formula>0</formula>
    </cfRule>
  </conditionalFormatting>
  <conditionalFormatting sqref="A187:K188">
    <cfRule type="timePeriod" dxfId="453" priority="407" timePeriod="nextWeek">
      <formula>AND(ROUNDDOWN(A187,0)-TODAY()&gt;(7-WEEKDAY(TODAY())),ROUNDDOWN(A187,0)-TODAY()&lt;(15-WEEKDAY(TODAY())))</formula>
    </cfRule>
    <cfRule type="timePeriod" dxfId="452" priority="408" timePeriod="yesterday">
      <formula>FLOOR(A187,1)=TODAY()-1</formula>
    </cfRule>
    <cfRule type="timePeriod" dxfId="451" priority="409" timePeriod="today">
      <formula>FLOOR(A187,1)=TODAY()</formula>
    </cfRule>
    <cfRule type="timePeriod" dxfId="450" priority="410" timePeriod="yesterday">
      <formula>FLOOR(A187,1)=TODAY()-1</formula>
    </cfRule>
    <cfRule type="timePeriod" dxfId="449" priority="411" timePeriod="today">
      <formula>FLOOR(A187,1)=TODAY()</formula>
    </cfRule>
  </conditionalFormatting>
  <conditionalFormatting sqref="I189">
    <cfRule type="cellIs" dxfId="448" priority="406" operator="equal">
      <formula>0</formula>
    </cfRule>
  </conditionalFormatting>
  <conditionalFormatting sqref="K189 A189:I189">
    <cfRule type="timePeriod" dxfId="447" priority="401" timePeriod="nextWeek">
      <formula>AND(ROUNDDOWN(A189,0)-TODAY()&gt;(7-WEEKDAY(TODAY())),ROUNDDOWN(A189,0)-TODAY()&lt;(15-WEEKDAY(TODAY())))</formula>
    </cfRule>
    <cfRule type="timePeriod" dxfId="446" priority="402" timePeriod="yesterday">
      <formula>FLOOR(A189,1)=TODAY()-1</formula>
    </cfRule>
    <cfRule type="timePeriod" dxfId="445" priority="403" timePeriod="today">
      <formula>FLOOR(A189,1)=TODAY()</formula>
    </cfRule>
    <cfRule type="timePeriod" dxfId="444" priority="404" timePeriod="yesterday">
      <formula>FLOOR(A189,1)=TODAY()-1</formula>
    </cfRule>
    <cfRule type="timePeriod" dxfId="443" priority="405" timePeriod="today">
      <formula>FLOOR(A189,1)=TODAY()</formula>
    </cfRule>
  </conditionalFormatting>
  <conditionalFormatting sqref="I190">
    <cfRule type="cellIs" dxfId="442" priority="400" operator="equal">
      <formula>0</formula>
    </cfRule>
  </conditionalFormatting>
  <conditionalFormatting sqref="A190:K190">
    <cfRule type="timePeriod" dxfId="441" priority="395" timePeriod="nextWeek">
      <formula>AND(ROUNDDOWN(A190,0)-TODAY()&gt;(7-WEEKDAY(TODAY())),ROUNDDOWN(A190,0)-TODAY()&lt;(15-WEEKDAY(TODAY())))</formula>
    </cfRule>
    <cfRule type="timePeriod" dxfId="440" priority="396" timePeriod="yesterday">
      <formula>FLOOR(A190,1)=TODAY()-1</formula>
    </cfRule>
    <cfRule type="timePeriod" dxfId="439" priority="397" timePeriod="today">
      <formula>FLOOR(A190,1)=TODAY()</formula>
    </cfRule>
    <cfRule type="timePeriod" dxfId="438" priority="398" timePeriod="yesterday">
      <formula>FLOOR(A190,1)=TODAY()-1</formula>
    </cfRule>
    <cfRule type="timePeriod" dxfId="437" priority="399" timePeriod="today">
      <formula>FLOOR(A190,1)=TODAY()</formula>
    </cfRule>
  </conditionalFormatting>
  <conditionalFormatting sqref="I191">
    <cfRule type="cellIs" dxfId="436" priority="394" operator="equal">
      <formula>0</formula>
    </cfRule>
  </conditionalFormatting>
  <conditionalFormatting sqref="A191:K191">
    <cfRule type="timePeriod" dxfId="435" priority="389" timePeriod="nextWeek">
      <formula>AND(ROUNDDOWN(A191,0)-TODAY()&gt;(7-WEEKDAY(TODAY())),ROUNDDOWN(A191,0)-TODAY()&lt;(15-WEEKDAY(TODAY())))</formula>
    </cfRule>
    <cfRule type="timePeriod" dxfId="434" priority="390" timePeriod="yesterday">
      <formula>FLOOR(A191,1)=TODAY()-1</formula>
    </cfRule>
    <cfRule type="timePeriod" dxfId="433" priority="391" timePeriod="today">
      <formula>FLOOR(A191,1)=TODAY()</formula>
    </cfRule>
    <cfRule type="timePeriod" dxfId="432" priority="392" timePeriod="yesterday">
      <formula>FLOOR(A191,1)=TODAY()-1</formula>
    </cfRule>
    <cfRule type="timePeriod" dxfId="431" priority="393" timePeriod="today">
      <formula>FLOOR(A191,1)=TODAY()</formula>
    </cfRule>
  </conditionalFormatting>
  <conditionalFormatting sqref="I192">
    <cfRule type="cellIs" dxfId="430" priority="388" operator="equal">
      <formula>0</formula>
    </cfRule>
  </conditionalFormatting>
  <conditionalFormatting sqref="A192:K192">
    <cfRule type="timePeriod" dxfId="429" priority="383" timePeriod="nextWeek">
      <formula>AND(ROUNDDOWN(A192,0)-TODAY()&gt;(7-WEEKDAY(TODAY())),ROUNDDOWN(A192,0)-TODAY()&lt;(15-WEEKDAY(TODAY())))</formula>
    </cfRule>
    <cfRule type="timePeriod" dxfId="428" priority="384" timePeriod="yesterday">
      <formula>FLOOR(A192,1)=TODAY()-1</formula>
    </cfRule>
    <cfRule type="timePeriod" dxfId="427" priority="385" timePeriod="today">
      <formula>FLOOR(A192,1)=TODAY()</formula>
    </cfRule>
    <cfRule type="timePeriod" dxfId="426" priority="386" timePeriod="yesterday">
      <formula>FLOOR(A192,1)=TODAY()-1</formula>
    </cfRule>
    <cfRule type="timePeriod" dxfId="425" priority="387" timePeriod="today">
      <formula>FLOOR(A192,1)=TODAY()</formula>
    </cfRule>
  </conditionalFormatting>
  <conditionalFormatting sqref="I193">
    <cfRule type="cellIs" dxfId="424" priority="382" operator="equal">
      <formula>0</formula>
    </cfRule>
  </conditionalFormatting>
  <conditionalFormatting sqref="A193:K193">
    <cfRule type="timePeriod" dxfId="423" priority="377" timePeriod="nextWeek">
      <formula>AND(ROUNDDOWN(A193,0)-TODAY()&gt;(7-WEEKDAY(TODAY())),ROUNDDOWN(A193,0)-TODAY()&lt;(15-WEEKDAY(TODAY())))</formula>
    </cfRule>
    <cfRule type="timePeriod" dxfId="422" priority="378" timePeriod="yesterday">
      <formula>FLOOR(A193,1)=TODAY()-1</formula>
    </cfRule>
    <cfRule type="timePeriod" dxfId="421" priority="379" timePeriod="today">
      <formula>FLOOR(A193,1)=TODAY()</formula>
    </cfRule>
    <cfRule type="timePeriod" dxfId="420" priority="380" timePeriod="yesterday">
      <formula>FLOOR(A193,1)=TODAY()-1</formula>
    </cfRule>
    <cfRule type="timePeriod" dxfId="419" priority="381" timePeriod="today">
      <formula>FLOOR(A193,1)=TODAY()</formula>
    </cfRule>
  </conditionalFormatting>
  <conditionalFormatting sqref="I194">
    <cfRule type="cellIs" dxfId="418" priority="376" operator="equal">
      <formula>0</formula>
    </cfRule>
  </conditionalFormatting>
  <conditionalFormatting sqref="A194:K194">
    <cfRule type="timePeriod" dxfId="417" priority="371" timePeriod="nextWeek">
      <formula>AND(ROUNDDOWN(A194,0)-TODAY()&gt;(7-WEEKDAY(TODAY())),ROUNDDOWN(A194,0)-TODAY()&lt;(15-WEEKDAY(TODAY())))</formula>
    </cfRule>
    <cfRule type="timePeriod" dxfId="416" priority="372" timePeriod="yesterday">
      <formula>FLOOR(A194,1)=TODAY()-1</formula>
    </cfRule>
    <cfRule type="timePeriod" dxfId="415" priority="373" timePeriod="today">
      <formula>FLOOR(A194,1)=TODAY()</formula>
    </cfRule>
    <cfRule type="timePeriod" dxfId="414" priority="374" timePeriod="yesterday">
      <formula>FLOOR(A194,1)=TODAY()-1</formula>
    </cfRule>
    <cfRule type="timePeriod" dxfId="413" priority="375" timePeriod="today">
      <formula>FLOOR(A194,1)=TODAY()</formula>
    </cfRule>
  </conditionalFormatting>
  <conditionalFormatting sqref="I195">
    <cfRule type="cellIs" dxfId="412" priority="370" operator="equal">
      <formula>0</formula>
    </cfRule>
  </conditionalFormatting>
  <conditionalFormatting sqref="A195:K195">
    <cfRule type="timePeriod" dxfId="411" priority="365" timePeriod="nextWeek">
      <formula>AND(ROUNDDOWN(A195,0)-TODAY()&gt;(7-WEEKDAY(TODAY())),ROUNDDOWN(A195,0)-TODAY()&lt;(15-WEEKDAY(TODAY())))</formula>
    </cfRule>
    <cfRule type="timePeriod" dxfId="410" priority="366" timePeriod="yesterday">
      <formula>FLOOR(A195,1)=TODAY()-1</formula>
    </cfRule>
    <cfRule type="timePeriod" dxfId="409" priority="367" timePeriod="today">
      <formula>FLOOR(A195,1)=TODAY()</formula>
    </cfRule>
    <cfRule type="timePeriod" dxfId="408" priority="368" timePeriod="yesterday">
      <formula>FLOOR(A195,1)=TODAY()-1</formula>
    </cfRule>
    <cfRule type="timePeriod" dxfId="407" priority="369" timePeriod="today">
      <formula>FLOOR(A195,1)=TODAY()</formula>
    </cfRule>
  </conditionalFormatting>
  <conditionalFormatting sqref="I199:I200 I196">
    <cfRule type="cellIs" dxfId="406" priority="364" operator="equal">
      <formula>0</formula>
    </cfRule>
  </conditionalFormatting>
  <conditionalFormatting sqref="A200:K200 A196:K196 A199:J199 K197:K199">
    <cfRule type="timePeriod" dxfId="405" priority="359" timePeriod="nextWeek">
      <formula>AND(ROUNDDOWN(A196,0)-TODAY()&gt;(7-WEEKDAY(TODAY())),ROUNDDOWN(A196,0)-TODAY()&lt;(15-WEEKDAY(TODAY())))</formula>
    </cfRule>
    <cfRule type="timePeriod" dxfId="404" priority="360" timePeriod="yesterday">
      <formula>FLOOR(A196,1)=TODAY()-1</formula>
    </cfRule>
    <cfRule type="timePeriod" dxfId="403" priority="361" timePeriod="today">
      <formula>FLOOR(A196,1)=TODAY()</formula>
    </cfRule>
    <cfRule type="timePeriod" dxfId="402" priority="362" timePeriod="yesterday">
      <formula>FLOOR(A196,1)=TODAY()-1</formula>
    </cfRule>
    <cfRule type="timePeriod" dxfId="401" priority="363" timePeriod="today">
      <formula>FLOOR(A196,1)=TODAY()</formula>
    </cfRule>
  </conditionalFormatting>
  <conditionalFormatting sqref="I201">
    <cfRule type="cellIs" dxfId="400" priority="358" operator="equal">
      <formula>0</formula>
    </cfRule>
  </conditionalFormatting>
  <conditionalFormatting sqref="A201:K201">
    <cfRule type="timePeriod" dxfId="399" priority="353" timePeriod="nextWeek">
      <formula>AND(ROUNDDOWN(A201,0)-TODAY()&gt;(7-WEEKDAY(TODAY())),ROUNDDOWN(A201,0)-TODAY()&lt;(15-WEEKDAY(TODAY())))</formula>
    </cfRule>
    <cfRule type="timePeriod" dxfId="398" priority="354" timePeriod="yesterday">
      <formula>FLOOR(A201,1)=TODAY()-1</formula>
    </cfRule>
    <cfRule type="timePeriod" dxfId="397" priority="355" timePeriod="today">
      <formula>FLOOR(A201,1)=TODAY()</formula>
    </cfRule>
    <cfRule type="timePeriod" dxfId="396" priority="356" timePeriod="yesterday">
      <formula>FLOOR(A201,1)=TODAY()-1</formula>
    </cfRule>
    <cfRule type="timePeriod" dxfId="395" priority="357" timePeriod="today">
      <formula>FLOOR(A201,1)=TODAY()</formula>
    </cfRule>
  </conditionalFormatting>
  <conditionalFormatting sqref="I202:I206">
    <cfRule type="cellIs" dxfId="394" priority="352" operator="equal">
      <formula>0</formula>
    </cfRule>
  </conditionalFormatting>
  <conditionalFormatting sqref="K205:K206 A205:I205 A206:F206 I206 A202:K204">
    <cfRule type="timePeriod" dxfId="393" priority="347" timePeriod="nextWeek">
      <formula>AND(ROUNDDOWN(A202,0)-TODAY()&gt;(7-WEEKDAY(TODAY())),ROUNDDOWN(A202,0)-TODAY()&lt;(15-WEEKDAY(TODAY())))</formula>
    </cfRule>
    <cfRule type="timePeriod" dxfId="392" priority="348" timePeriod="yesterday">
      <formula>FLOOR(A202,1)=TODAY()-1</formula>
    </cfRule>
    <cfRule type="timePeriod" dxfId="391" priority="349" timePeriod="today">
      <formula>FLOOR(A202,1)=TODAY()</formula>
    </cfRule>
    <cfRule type="timePeriod" dxfId="390" priority="350" timePeriod="yesterday">
      <formula>FLOOR(A202,1)=TODAY()-1</formula>
    </cfRule>
    <cfRule type="timePeriod" dxfId="389" priority="351" timePeriod="today">
      <formula>FLOOR(A202,1)=TODAY()</formula>
    </cfRule>
  </conditionalFormatting>
  <conditionalFormatting sqref="I207">
    <cfRule type="cellIs" dxfId="388" priority="346" operator="equal">
      <formula>0</formula>
    </cfRule>
  </conditionalFormatting>
  <conditionalFormatting sqref="A207:K207">
    <cfRule type="timePeriod" dxfId="387" priority="341" timePeriod="nextWeek">
      <formula>AND(ROUNDDOWN(A207,0)-TODAY()&gt;(7-WEEKDAY(TODAY())),ROUNDDOWN(A207,0)-TODAY()&lt;(15-WEEKDAY(TODAY())))</formula>
    </cfRule>
    <cfRule type="timePeriod" dxfId="386" priority="342" timePeriod="yesterday">
      <formula>FLOOR(A207,1)=TODAY()-1</formula>
    </cfRule>
    <cfRule type="timePeriod" dxfId="385" priority="343" timePeriod="today">
      <formula>FLOOR(A207,1)=TODAY()</formula>
    </cfRule>
    <cfRule type="timePeriod" dxfId="384" priority="344" timePeriod="yesterday">
      <formula>FLOOR(A207,1)=TODAY()-1</formula>
    </cfRule>
    <cfRule type="timePeriod" dxfId="383" priority="345" timePeriod="today">
      <formula>FLOOR(A207,1)=TODAY()</formula>
    </cfRule>
  </conditionalFormatting>
  <conditionalFormatting sqref="I208">
    <cfRule type="cellIs" dxfId="382" priority="340" operator="equal">
      <formula>0</formula>
    </cfRule>
  </conditionalFormatting>
  <conditionalFormatting sqref="A208:K208">
    <cfRule type="timePeriod" dxfId="381" priority="335" timePeriod="nextWeek">
      <formula>AND(ROUNDDOWN(A208,0)-TODAY()&gt;(7-WEEKDAY(TODAY())),ROUNDDOWN(A208,0)-TODAY()&lt;(15-WEEKDAY(TODAY())))</formula>
    </cfRule>
    <cfRule type="timePeriod" dxfId="380" priority="336" timePeriod="yesterday">
      <formula>FLOOR(A208,1)=TODAY()-1</formula>
    </cfRule>
    <cfRule type="timePeriod" dxfId="379" priority="337" timePeriod="today">
      <formula>FLOOR(A208,1)=TODAY()</formula>
    </cfRule>
    <cfRule type="timePeriod" dxfId="378" priority="338" timePeriod="yesterday">
      <formula>FLOOR(A208,1)=TODAY()-1</formula>
    </cfRule>
    <cfRule type="timePeriod" dxfId="377" priority="339" timePeriod="today">
      <formula>FLOOR(A208,1)=TODAY()</formula>
    </cfRule>
  </conditionalFormatting>
  <conditionalFormatting sqref="I209">
    <cfRule type="cellIs" dxfId="376" priority="334" operator="equal">
      <formula>0</formula>
    </cfRule>
  </conditionalFormatting>
  <conditionalFormatting sqref="A209:K209">
    <cfRule type="timePeriod" dxfId="375" priority="329" timePeriod="nextWeek">
      <formula>AND(ROUNDDOWN(A209,0)-TODAY()&gt;(7-WEEKDAY(TODAY())),ROUNDDOWN(A209,0)-TODAY()&lt;(15-WEEKDAY(TODAY())))</formula>
    </cfRule>
    <cfRule type="timePeriod" dxfId="374" priority="330" timePeriod="yesterday">
      <formula>FLOOR(A209,1)=TODAY()-1</formula>
    </cfRule>
    <cfRule type="timePeriod" dxfId="373" priority="331" timePeriod="today">
      <formula>FLOOR(A209,1)=TODAY()</formula>
    </cfRule>
    <cfRule type="timePeriod" dxfId="372" priority="332" timePeriod="yesterday">
      <formula>FLOOR(A209,1)=TODAY()-1</formula>
    </cfRule>
    <cfRule type="timePeriod" dxfId="371" priority="333" timePeriod="today">
      <formula>FLOOR(A209,1)=TODAY()</formula>
    </cfRule>
  </conditionalFormatting>
  <conditionalFormatting sqref="I210:I211">
    <cfRule type="cellIs" dxfId="370" priority="328" operator="equal">
      <formula>0</formula>
    </cfRule>
  </conditionalFormatting>
  <conditionalFormatting sqref="A210:K211">
    <cfRule type="timePeriod" dxfId="369" priority="323" timePeriod="nextWeek">
      <formula>AND(ROUNDDOWN(A210,0)-TODAY()&gt;(7-WEEKDAY(TODAY())),ROUNDDOWN(A210,0)-TODAY()&lt;(15-WEEKDAY(TODAY())))</formula>
    </cfRule>
    <cfRule type="timePeriod" dxfId="368" priority="324" timePeriod="yesterday">
      <formula>FLOOR(A210,1)=TODAY()-1</formula>
    </cfRule>
    <cfRule type="timePeriod" dxfId="367" priority="325" timePeriod="today">
      <formula>FLOOR(A210,1)=TODAY()</formula>
    </cfRule>
    <cfRule type="timePeriod" dxfId="366" priority="326" timePeriod="yesterday">
      <formula>FLOOR(A210,1)=TODAY()-1</formula>
    </cfRule>
    <cfRule type="timePeriod" dxfId="365" priority="327" timePeriod="today">
      <formula>FLOOR(A210,1)=TODAY()</formula>
    </cfRule>
  </conditionalFormatting>
  <conditionalFormatting sqref="I212:I213">
    <cfRule type="cellIs" dxfId="364" priority="322" operator="equal">
      <formula>0</formula>
    </cfRule>
  </conditionalFormatting>
  <conditionalFormatting sqref="K212:K213 A212:I213">
    <cfRule type="timePeriod" dxfId="363" priority="317" timePeriod="nextWeek">
      <formula>AND(ROUNDDOWN(A212,0)-TODAY()&gt;(7-WEEKDAY(TODAY())),ROUNDDOWN(A212,0)-TODAY()&lt;(15-WEEKDAY(TODAY())))</formula>
    </cfRule>
    <cfRule type="timePeriod" dxfId="362" priority="318" timePeriod="yesterday">
      <formula>FLOOR(A212,1)=TODAY()-1</formula>
    </cfRule>
    <cfRule type="timePeriod" dxfId="361" priority="319" timePeriod="today">
      <formula>FLOOR(A212,1)=TODAY()</formula>
    </cfRule>
    <cfRule type="timePeriod" dxfId="360" priority="320" timePeriod="yesterday">
      <formula>FLOOR(A212,1)=TODAY()-1</formula>
    </cfRule>
    <cfRule type="timePeriod" dxfId="359" priority="321" timePeriod="today">
      <formula>FLOOR(A212,1)=TODAY()</formula>
    </cfRule>
  </conditionalFormatting>
  <conditionalFormatting sqref="I215">
    <cfRule type="cellIs" dxfId="358" priority="316" operator="equal">
      <formula>0</formula>
    </cfRule>
  </conditionalFormatting>
  <conditionalFormatting sqref="A215:I215 A214:F214 K215">
    <cfRule type="timePeriod" dxfId="357" priority="311" timePeriod="nextWeek">
      <formula>AND(ROUNDDOWN(A214,0)-TODAY()&gt;(7-WEEKDAY(TODAY())),ROUNDDOWN(A214,0)-TODAY()&lt;(15-WEEKDAY(TODAY())))</formula>
    </cfRule>
    <cfRule type="timePeriod" dxfId="356" priority="312" timePeriod="yesterday">
      <formula>FLOOR(A214,1)=TODAY()-1</formula>
    </cfRule>
    <cfRule type="timePeriod" dxfId="355" priority="313" timePeriod="today">
      <formula>FLOOR(A214,1)=TODAY()</formula>
    </cfRule>
    <cfRule type="timePeriod" dxfId="354" priority="314" timePeriod="yesterday">
      <formula>FLOOR(A214,1)=TODAY()-1</formula>
    </cfRule>
    <cfRule type="timePeriod" dxfId="353" priority="315" timePeriod="today">
      <formula>FLOOR(A214,1)=TODAY()</formula>
    </cfRule>
  </conditionalFormatting>
  <conditionalFormatting sqref="I214">
    <cfRule type="cellIs" dxfId="352" priority="310" operator="equal">
      <formula>0</formula>
    </cfRule>
  </conditionalFormatting>
  <conditionalFormatting sqref="G214:I214">
    <cfRule type="timePeriod" dxfId="351" priority="305" timePeriod="nextWeek">
      <formula>AND(ROUNDDOWN(G214,0)-TODAY()&gt;(7-WEEKDAY(TODAY())),ROUNDDOWN(G214,0)-TODAY()&lt;(15-WEEKDAY(TODAY())))</formula>
    </cfRule>
    <cfRule type="timePeriod" dxfId="350" priority="306" timePeriod="yesterday">
      <formula>FLOOR(G214,1)=TODAY()-1</formula>
    </cfRule>
    <cfRule type="timePeriod" dxfId="349" priority="307" timePeriod="today">
      <formula>FLOOR(G214,1)=TODAY()</formula>
    </cfRule>
    <cfRule type="timePeriod" dxfId="348" priority="308" timePeriod="yesterday">
      <formula>FLOOR(G214,1)=TODAY()-1</formula>
    </cfRule>
    <cfRule type="timePeriod" dxfId="347" priority="309" timePeriod="today">
      <formula>FLOOR(G214,1)=TODAY()</formula>
    </cfRule>
  </conditionalFormatting>
  <conditionalFormatting sqref="I216">
    <cfRule type="cellIs" dxfId="346" priority="304" operator="equal">
      <formula>0</formula>
    </cfRule>
  </conditionalFormatting>
  <conditionalFormatting sqref="K216 A216:F216 I216">
    <cfRule type="timePeriod" dxfId="345" priority="299" timePeriod="nextWeek">
      <formula>AND(ROUNDDOWN(A216,0)-TODAY()&gt;(7-WEEKDAY(TODAY())),ROUNDDOWN(A216,0)-TODAY()&lt;(15-WEEKDAY(TODAY())))</formula>
    </cfRule>
    <cfRule type="timePeriod" dxfId="344" priority="300" timePeriod="yesterday">
      <formula>FLOOR(A216,1)=TODAY()-1</formula>
    </cfRule>
    <cfRule type="timePeriod" dxfId="343" priority="301" timePeriod="today">
      <formula>FLOOR(A216,1)=TODAY()</formula>
    </cfRule>
    <cfRule type="timePeriod" dxfId="342" priority="302" timePeriod="yesterday">
      <formula>FLOOR(A216,1)=TODAY()-1</formula>
    </cfRule>
    <cfRule type="timePeriod" dxfId="341" priority="303" timePeriod="today">
      <formula>FLOOR(A216,1)=TODAY()</formula>
    </cfRule>
  </conditionalFormatting>
  <conditionalFormatting sqref="I217:I219">
    <cfRule type="cellIs" dxfId="340" priority="298" operator="equal">
      <formula>0</formula>
    </cfRule>
  </conditionalFormatting>
  <conditionalFormatting sqref="A217:K219">
    <cfRule type="timePeriod" dxfId="339" priority="293" timePeriod="nextWeek">
      <formula>AND(ROUNDDOWN(A217,0)-TODAY()&gt;(7-WEEKDAY(TODAY())),ROUNDDOWN(A217,0)-TODAY()&lt;(15-WEEKDAY(TODAY())))</formula>
    </cfRule>
    <cfRule type="timePeriod" dxfId="338" priority="294" timePeriod="yesterday">
      <formula>FLOOR(A217,1)=TODAY()-1</formula>
    </cfRule>
    <cfRule type="timePeriod" dxfId="337" priority="295" timePeriod="today">
      <formula>FLOOR(A217,1)=TODAY()</formula>
    </cfRule>
    <cfRule type="timePeriod" dxfId="336" priority="296" timePeriod="yesterday">
      <formula>FLOOR(A217,1)=TODAY()-1</formula>
    </cfRule>
    <cfRule type="timePeriod" dxfId="335" priority="297" timePeriod="today">
      <formula>FLOOR(A217,1)=TODAY()</formula>
    </cfRule>
  </conditionalFormatting>
  <conditionalFormatting sqref="I220:I225">
    <cfRule type="cellIs" dxfId="334" priority="292" operator="equal">
      <formula>0</formula>
    </cfRule>
  </conditionalFormatting>
  <conditionalFormatting sqref="A220:K223 K224:K225 A224:I225">
    <cfRule type="timePeriod" dxfId="333" priority="287" timePeriod="nextWeek">
      <formula>AND(ROUNDDOWN(A220,0)-TODAY()&gt;(7-WEEKDAY(TODAY())),ROUNDDOWN(A220,0)-TODAY()&lt;(15-WEEKDAY(TODAY())))</formula>
    </cfRule>
    <cfRule type="timePeriod" dxfId="332" priority="288" timePeriod="yesterday">
      <formula>FLOOR(A220,1)=TODAY()-1</formula>
    </cfRule>
    <cfRule type="timePeriod" dxfId="331" priority="289" timePeriod="today">
      <formula>FLOOR(A220,1)=TODAY()</formula>
    </cfRule>
    <cfRule type="timePeriod" dxfId="330" priority="290" timePeriod="yesterday">
      <formula>FLOOR(A220,1)=TODAY()-1</formula>
    </cfRule>
    <cfRule type="timePeriod" dxfId="329" priority="291" timePeriod="today">
      <formula>FLOOR(A220,1)=TODAY()</formula>
    </cfRule>
  </conditionalFormatting>
  <conditionalFormatting sqref="I226:I230">
    <cfRule type="cellIs" dxfId="328" priority="286" operator="equal">
      <formula>0</formula>
    </cfRule>
  </conditionalFormatting>
  <conditionalFormatting sqref="A226:K230">
    <cfRule type="timePeriod" dxfId="327" priority="281" timePeriod="nextWeek">
      <formula>AND(ROUNDDOWN(A226,0)-TODAY()&gt;(7-WEEKDAY(TODAY())),ROUNDDOWN(A226,0)-TODAY()&lt;(15-WEEKDAY(TODAY())))</formula>
    </cfRule>
    <cfRule type="timePeriod" dxfId="326" priority="282" timePeriod="yesterday">
      <formula>FLOOR(A226,1)=TODAY()-1</formula>
    </cfRule>
    <cfRule type="timePeriod" dxfId="325" priority="283" timePeriod="today">
      <formula>FLOOR(A226,1)=TODAY()</formula>
    </cfRule>
    <cfRule type="timePeriod" dxfId="324" priority="284" timePeriod="yesterday">
      <formula>FLOOR(A226,1)=TODAY()-1</formula>
    </cfRule>
    <cfRule type="timePeriod" dxfId="323" priority="285" timePeriod="today">
      <formula>FLOOR(A226,1)=TODAY()</formula>
    </cfRule>
  </conditionalFormatting>
  <conditionalFormatting sqref="I231">
    <cfRule type="cellIs" dxfId="322" priority="280" operator="equal">
      <formula>0</formula>
    </cfRule>
  </conditionalFormatting>
  <conditionalFormatting sqref="A231:K231">
    <cfRule type="timePeriod" dxfId="321" priority="275" timePeriod="nextWeek">
      <formula>AND(ROUNDDOWN(A231,0)-TODAY()&gt;(7-WEEKDAY(TODAY())),ROUNDDOWN(A231,0)-TODAY()&lt;(15-WEEKDAY(TODAY())))</formula>
    </cfRule>
    <cfRule type="timePeriod" dxfId="320" priority="276" timePeriod="yesterday">
      <formula>FLOOR(A231,1)=TODAY()-1</formula>
    </cfRule>
    <cfRule type="timePeriod" dxfId="319" priority="277" timePeriod="today">
      <formula>FLOOR(A231,1)=TODAY()</formula>
    </cfRule>
    <cfRule type="timePeriod" dxfId="318" priority="278" timePeriod="yesterday">
      <formula>FLOOR(A231,1)=TODAY()-1</formula>
    </cfRule>
    <cfRule type="timePeriod" dxfId="317" priority="279" timePeriod="today">
      <formula>FLOOR(A231,1)=TODAY()</formula>
    </cfRule>
  </conditionalFormatting>
  <conditionalFormatting sqref="I232">
    <cfRule type="cellIs" dxfId="316" priority="274" operator="equal">
      <formula>0</formula>
    </cfRule>
  </conditionalFormatting>
  <conditionalFormatting sqref="A232:K232">
    <cfRule type="timePeriod" dxfId="315" priority="269" timePeriod="nextWeek">
      <formula>AND(ROUNDDOWN(A232,0)-TODAY()&gt;(7-WEEKDAY(TODAY())),ROUNDDOWN(A232,0)-TODAY()&lt;(15-WEEKDAY(TODAY())))</formula>
    </cfRule>
    <cfRule type="timePeriod" dxfId="314" priority="270" timePeriod="yesterday">
      <formula>FLOOR(A232,1)=TODAY()-1</formula>
    </cfRule>
    <cfRule type="timePeriod" dxfId="313" priority="271" timePeriod="today">
      <formula>FLOOR(A232,1)=TODAY()</formula>
    </cfRule>
    <cfRule type="timePeriod" dxfId="312" priority="272" timePeriod="yesterday">
      <formula>FLOOR(A232,1)=TODAY()-1</formula>
    </cfRule>
    <cfRule type="timePeriod" dxfId="311" priority="273" timePeriod="today">
      <formula>FLOOR(A232,1)=TODAY()</formula>
    </cfRule>
  </conditionalFormatting>
  <conditionalFormatting sqref="I233">
    <cfRule type="cellIs" dxfId="310" priority="268" operator="equal">
      <formula>0</formula>
    </cfRule>
  </conditionalFormatting>
  <conditionalFormatting sqref="A233:K233">
    <cfRule type="timePeriod" dxfId="309" priority="263" timePeriod="nextWeek">
      <formula>AND(ROUNDDOWN(A233,0)-TODAY()&gt;(7-WEEKDAY(TODAY())),ROUNDDOWN(A233,0)-TODAY()&lt;(15-WEEKDAY(TODAY())))</formula>
    </cfRule>
    <cfRule type="timePeriod" dxfId="308" priority="264" timePeriod="yesterday">
      <formula>FLOOR(A233,1)=TODAY()-1</formula>
    </cfRule>
    <cfRule type="timePeriod" dxfId="307" priority="265" timePeriod="today">
      <formula>FLOOR(A233,1)=TODAY()</formula>
    </cfRule>
    <cfRule type="timePeriod" dxfId="306" priority="266" timePeriod="yesterday">
      <formula>FLOOR(A233,1)=TODAY()-1</formula>
    </cfRule>
    <cfRule type="timePeriod" dxfId="305" priority="267" timePeriod="today">
      <formula>FLOOR(A233,1)=TODAY()</formula>
    </cfRule>
  </conditionalFormatting>
  <conditionalFormatting sqref="I234">
    <cfRule type="cellIs" dxfId="304" priority="262" operator="equal">
      <formula>0</formula>
    </cfRule>
  </conditionalFormatting>
  <conditionalFormatting sqref="K234 A234:I234">
    <cfRule type="timePeriod" dxfId="303" priority="257" timePeriod="nextWeek">
      <formula>AND(ROUNDDOWN(A234,0)-TODAY()&gt;(7-WEEKDAY(TODAY())),ROUNDDOWN(A234,0)-TODAY()&lt;(15-WEEKDAY(TODAY())))</formula>
    </cfRule>
    <cfRule type="timePeriod" dxfId="302" priority="258" timePeriod="yesterday">
      <formula>FLOOR(A234,1)=TODAY()-1</formula>
    </cfRule>
    <cfRule type="timePeriod" dxfId="301" priority="259" timePeriod="today">
      <formula>FLOOR(A234,1)=TODAY()</formula>
    </cfRule>
    <cfRule type="timePeriod" dxfId="300" priority="260" timePeriod="yesterday">
      <formula>FLOOR(A234,1)=TODAY()-1</formula>
    </cfRule>
    <cfRule type="timePeriod" dxfId="299" priority="261" timePeriod="today">
      <formula>FLOOR(A234,1)=TODAY()</formula>
    </cfRule>
  </conditionalFormatting>
  <conditionalFormatting sqref="I235">
    <cfRule type="cellIs" dxfId="298" priority="256" operator="equal">
      <formula>0</formula>
    </cfRule>
  </conditionalFormatting>
  <conditionalFormatting sqref="A235:K235">
    <cfRule type="timePeriod" dxfId="297" priority="251" timePeriod="nextWeek">
      <formula>AND(ROUNDDOWN(A235,0)-TODAY()&gt;(7-WEEKDAY(TODAY())),ROUNDDOWN(A235,0)-TODAY()&lt;(15-WEEKDAY(TODAY())))</formula>
    </cfRule>
    <cfRule type="timePeriod" dxfId="296" priority="252" timePeriod="yesterday">
      <formula>FLOOR(A235,1)=TODAY()-1</formula>
    </cfRule>
    <cfRule type="timePeriod" dxfId="295" priority="253" timePeriod="today">
      <formula>FLOOR(A235,1)=TODAY()</formula>
    </cfRule>
    <cfRule type="timePeriod" dxfId="294" priority="254" timePeriod="yesterday">
      <formula>FLOOR(A235,1)=TODAY()-1</formula>
    </cfRule>
    <cfRule type="timePeriod" dxfId="293" priority="255" timePeriod="today">
      <formula>FLOOR(A235,1)=TODAY()</formula>
    </cfRule>
  </conditionalFormatting>
  <conditionalFormatting sqref="I236:I237">
    <cfRule type="cellIs" dxfId="292" priority="250" operator="equal">
      <formula>0</formula>
    </cfRule>
  </conditionalFormatting>
  <conditionalFormatting sqref="K236 A237:K237 A236:I236">
    <cfRule type="timePeriod" dxfId="291" priority="245" timePeriod="nextWeek">
      <formula>AND(ROUNDDOWN(A236,0)-TODAY()&gt;(7-WEEKDAY(TODAY())),ROUNDDOWN(A236,0)-TODAY()&lt;(15-WEEKDAY(TODAY())))</formula>
    </cfRule>
    <cfRule type="timePeriod" dxfId="290" priority="246" timePeriod="yesterday">
      <formula>FLOOR(A236,1)=TODAY()-1</formula>
    </cfRule>
    <cfRule type="timePeriod" dxfId="289" priority="247" timePeriod="today">
      <formula>FLOOR(A236,1)=TODAY()</formula>
    </cfRule>
    <cfRule type="timePeriod" dxfId="288" priority="248" timePeriod="yesterday">
      <formula>FLOOR(A236,1)=TODAY()-1</formula>
    </cfRule>
    <cfRule type="timePeriod" dxfId="287" priority="249" timePeriod="today">
      <formula>FLOOR(A236,1)=TODAY()</formula>
    </cfRule>
  </conditionalFormatting>
  <conditionalFormatting sqref="I238">
    <cfRule type="cellIs" dxfId="286" priority="244" operator="equal">
      <formula>0</formula>
    </cfRule>
  </conditionalFormatting>
  <conditionalFormatting sqref="A238:K238">
    <cfRule type="timePeriod" dxfId="285" priority="239" timePeriod="nextWeek">
      <formula>AND(ROUNDDOWN(A238,0)-TODAY()&gt;(7-WEEKDAY(TODAY())),ROUNDDOWN(A238,0)-TODAY()&lt;(15-WEEKDAY(TODAY())))</formula>
    </cfRule>
    <cfRule type="timePeriod" dxfId="284" priority="240" timePeriod="yesterday">
      <formula>FLOOR(A238,1)=TODAY()-1</formula>
    </cfRule>
    <cfRule type="timePeriod" dxfId="283" priority="241" timePeriod="today">
      <formula>FLOOR(A238,1)=TODAY()</formula>
    </cfRule>
    <cfRule type="timePeriod" dxfId="282" priority="242" timePeriod="yesterday">
      <formula>FLOOR(A238,1)=TODAY()-1</formula>
    </cfRule>
    <cfRule type="timePeriod" dxfId="281" priority="243" timePeriod="today">
      <formula>FLOOR(A238,1)=TODAY()</formula>
    </cfRule>
  </conditionalFormatting>
  <conditionalFormatting sqref="I240:I241">
    <cfRule type="cellIs" dxfId="280" priority="238" operator="equal">
      <formula>0</formula>
    </cfRule>
  </conditionalFormatting>
  <conditionalFormatting sqref="K239 A240:K241">
    <cfRule type="timePeriod" dxfId="279" priority="233" timePeriod="nextWeek">
      <formula>AND(ROUNDDOWN(A239,0)-TODAY()&gt;(7-WEEKDAY(TODAY())),ROUNDDOWN(A239,0)-TODAY()&lt;(15-WEEKDAY(TODAY())))</formula>
    </cfRule>
    <cfRule type="timePeriod" dxfId="278" priority="234" timePeriod="yesterday">
      <formula>FLOOR(A239,1)=TODAY()-1</formula>
    </cfRule>
    <cfRule type="timePeriod" dxfId="277" priority="235" timePeriod="today">
      <formula>FLOOR(A239,1)=TODAY()</formula>
    </cfRule>
    <cfRule type="timePeriod" dxfId="276" priority="236" timePeriod="yesterday">
      <formula>FLOOR(A239,1)=TODAY()-1</formula>
    </cfRule>
    <cfRule type="timePeriod" dxfId="275" priority="237" timePeriod="today">
      <formula>FLOOR(A239,1)=TODAY()</formula>
    </cfRule>
  </conditionalFormatting>
  <conditionalFormatting sqref="I242">
    <cfRule type="cellIs" dxfId="274" priority="232" operator="equal">
      <formula>0</formula>
    </cfRule>
  </conditionalFormatting>
  <conditionalFormatting sqref="A242:K242">
    <cfRule type="timePeriod" dxfId="273" priority="227" timePeriod="nextWeek">
      <formula>AND(ROUNDDOWN(A242,0)-TODAY()&gt;(7-WEEKDAY(TODAY())),ROUNDDOWN(A242,0)-TODAY()&lt;(15-WEEKDAY(TODAY())))</formula>
    </cfRule>
    <cfRule type="timePeriod" dxfId="272" priority="228" timePeriod="yesterday">
      <formula>FLOOR(A242,1)=TODAY()-1</formula>
    </cfRule>
    <cfRule type="timePeriod" dxfId="271" priority="229" timePeriod="today">
      <formula>FLOOR(A242,1)=TODAY()</formula>
    </cfRule>
    <cfRule type="timePeriod" dxfId="270" priority="230" timePeriod="yesterday">
      <formula>FLOOR(A242,1)=TODAY()-1</formula>
    </cfRule>
    <cfRule type="timePeriod" dxfId="269" priority="231" timePeriod="today">
      <formula>FLOOR(A242,1)=TODAY()</formula>
    </cfRule>
  </conditionalFormatting>
  <conditionalFormatting sqref="I243">
    <cfRule type="cellIs" dxfId="268" priority="226" operator="equal">
      <formula>0</formula>
    </cfRule>
  </conditionalFormatting>
  <conditionalFormatting sqref="A243:K243">
    <cfRule type="timePeriod" dxfId="267" priority="221" timePeriod="nextWeek">
      <formula>AND(ROUNDDOWN(A243,0)-TODAY()&gt;(7-WEEKDAY(TODAY())),ROUNDDOWN(A243,0)-TODAY()&lt;(15-WEEKDAY(TODAY())))</formula>
    </cfRule>
    <cfRule type="timePeriod" dxfId="266" priority="222" timePeriod="yesterday">
      <formula>FLOOR(A243,1)=TODAY()-1</formula>
    </cfRule>
    <cfRule type="timePeriod" dxfId="265" priority="223" timePeriod="today">
      <formula>FLOOR(A243,1)=TODAY()</formula>
    </cfRule>
    <cfRule type="timePeriod" dxfId="264" priority="224" timePeriod="yesterday">
      <formula>FLOOR(A243,1)=TODAY()-1</formula>
    </cfRule>
    <cfRule type="timePeriod" dxfId="263" priority="225" timePeriod="today">
      <formula>FLOOR(A243,1)=TODAY()</formula>
    </cfRule>
  </conditionalFormatting>
  <conditionalFormatting sqref="I244">
    <cfRule type="cellIs" dxfId="262" priority="220" operator="equal">
      <formula>0</formula>
    </cfRule>
  </conditionalFormatting>
  <conditionalFormatting sqref="A244:K244">
    <cfRule type="timePeriod" dxfId="261" priority="215" timePeriod="nextWeek">
      <formula>AND(ROUNDDOWN(A244,0)-TODAY()&gt;(7-WEEKDAY(TODAY())),ROUNDDOWN(A244,0)-TODAY()&lt;(15-WEEKDAY(TODAY())))</formula>
    </cfRule>
    <cfRule type="timePeriod" dxfId="260" priority="216" timePeriod="yesterday">
      <formula>FLOOR(A244,1)=TODAY()-1</formula>
    </cfRule>
    <cfRule type="timePeriod" dxfId="259" priority="217" timePeriod="today">
      <formula>FLOOR(A244,1)=TODAY()</formula>
    </cfRule>
    <cfRule type="timePeriod" dxfId="258" priority="218" timePeriod="yesterday">
      <formula>FLOOR(A244,1)=TODAY()-1</formula>
    </cfRule>
    <cfRule type="timePeriod" dxfId="257" priority="219" timePeriod="today">
      <formula>FLOOR(A244,1)=TODAY()</formula>
    </cfRule>
  </conditionalFormatting>
  <conditionalFormatting sqref="I245">
    <cfRule type="cellIs" dxfId="256" priority="214" operator="equal">
      <formula>0</formula>
    </cfRule>
  </conditionalFormatting>
  <conditionalFormatting sqref="A245:K245">
    <cfRule type="timePeriod" dxfId="255" priority="209" timePeriod="nextWeek">
      <formula>AND(ROUNDDOWN(A245,0)-TODAY()&gt;(7-WEEKDAY(TODAY())),ROUNDDOWN(A245,0)-TODAY()&lt;(15-WEEKDAY(TODAY())))</formula>
    </cfRule>
    <cfRule type="timePeriod" dxfId="254" priority="210" timePeriod="yesterday">
      <formula>FLOOR(A245,1)=TODAY()-1</formula>
    </cfRule>
    <cfRule type="timePeriod" dxfId="253" priority="211" timePeriod="today">
      <formula>FLOOR(A245,1)=TODAY()</formula>
    </cfRule>
    <cfRule type="timePeriod" dxfId="252" priority="212" timePeriod="yesterday">
      <formula>FLOOR(A245,1)=TODAY()-1</formula>
    </cfRule>
    <cfRule type="timePeriod" dxfId="251" priority="213" timePeriod="today">
      <formula>FLOOR(A245,1)=TODAY()</formula>
    </cfRule>
  </conditionalFormatting>
  <conditionalFormatting sqref="I246:I248">
    <cfRule type="cellIs" dxfId="250" priority="208" operator="equal">
      <formula>0</formula>
    </cfRule>
  </conditionalFormatting>
  <conditionalFormatting sqref="A246:K248">
    <cfRule type="timePeriod" dxfId="249" priority="203" timePeriod="nextWeek">
      <formula>AND(ROUNDDOWN(A246,0)-TODAY()&gt;(7-WEEKDAY(TODAY())),ROUNDDOWN(A246,0)-TODAY()&lt;(15-WEEKDAY(TODAY())))</formula>
    </cfRule>
    <cfRule type="timePeriod" dxfId="248" priority="204" timePeriod="yesterday">
      <formula>FLOOR(A246,1)=TODAY()-1</formula>
    </cfRule>
    <cfRule type="timePeriod" dxfId="247" priority="205" timePeriod="today">
      <formula>FLOOR(A246,1)=TODAY()</formula>
    </cfRule>
    <cfRule type="timePeriod" dxfId="246" priority="206" timePeriod="yesterday">
      <formula>FLOOR(A246,1)=TODAY()-1</formula>
    </cfRule>
    <cfRule type="timePeriod" dxfId="245" priority="207" timePeriod="today">
      <formula>FLOOR(A246,1)=TODAY()</formula>
    </cfRule>
  </conditionalFormatting>
  <conditionalFormatting sqref="I249:I252">
    <cfRule type="cellIs" dxfId="244" priority="202" operator="equal">
      <formula>0</formula>
    </cfRule>
  </conditionalFormatting>
  <conditionalFormatting sqref="A249:K252">
    <cfRule type="timePeriod" dxfId="243" priority="197" timePeriod="nextWeek">
      <formula>AND(ROUNDDOWN(A249,0)-TODAY()&gt;(7-WEEKDAY(TODAY())),ROUNDDOWN(A249,0)-TODAY()&lt;(15-WEEKDAY(TODAY())))</formula>
    </cfRule>
    <cfRule type="timePeriod" dxfId="242" priority="198" timePeriod="yesterday">
      <formula>FLOOR(A249,1)=TODAY()-1</formula>
    </cfRule>
    <cfRule type="timePeriod" dxfId="241" priority="199" timePeriod="today">
      <formula>FLOOR(A249,1)=TODAY()</formula>
    </cfRule>
    <cfRule type="timePeriod" dxfId="240" priority="200" timePeriod="yesterday">
      <formula>FLOOR(A249,1)=TODAY()-1</formula>
    </cfRule>
    <cfRule type="timePeriod" dxfId="239" priority="201" timePeriod="today">
      <formula>FLOOR(A249,1)=TODAY()</formula>
    </cfRule>
  </conditionalFormatting>
  <conditionalFormatting sqref="I253:I254">
    <cfRule type="cellIs" dxfId="238" priority="196" operator="equal">
      <formula>0</formula>
    </cfRule>
  </conditionalFormatting>
  <conditionalFormatting sqref="A253:K254">
    <cfRule type="timePeriod" dxfId="237" priority="191" timePeriod="nextWeek">
      <formula>AND(ROUNDDOWN(A253,0)-TODAY()&gt;(7-WEEKDAY(TODAY())),ROUNDDOWN(A253,0)-TODAY()&lt;(15-WEEKDAY(TODAY())))</formula>
    </cfRule>
    <cfRule type="timePeriod" dxfId="236" priority="192" timePeriod="yesterday">
      <formula>FLOOR(A253,1)=TODAY()-1</formula>
    </cfRule>
    <cfRule type="timePeriod" dxfId="235" priority="193" timePeriod="today">
      <formula>FLOOR(A253,1)=TODAY()</formula>
    </cfRule>
    <cfRule type="timePeriod" dxfId="234" priority="194" timePeriod="yesterday">
      <formula>FLOOR(A253,1)=TODAY()-1</formula>
    </cfRule>
    <cfRule type="timePeriod" dxfId="233" priority="195" timePeriod="today">
      <formula>FLOOR(A253,1)=TODAY()</formula>
    </cfRule>
  </conditionalFormatting>
  <conditionalFormatting sqref="I255">
    <cfRule type="cellIs" dxfId="232" priority="190" operator="equal">
      <formula>0</formula>
    </cfRule>
  </conditionalFormatting>
  <conditionalFormatting sqref="A255:K255">
    <cfRule type="timePeriod" dxfId="231" priority="185" timePeriod="nextWeek">
      <formula>AND(ROUNDDOWN(A255,0)-TODAY()&gt;(7-WEEKDAY(TODAY())),ROUNDDOWN(A255,0)-TODAY()&lt;(15-WEEKDAY(TODAY())))</formula>
    </cfRule>
    <cfRule type="timePeriod" dxfId="230" priority="186" timePeriod="yesterday">
      <formula>FLOOR(A255,1)=TODAY()-1</formula>
    </cfRule>
    <cfRule type="timePeriod" dxfId="229" priority="187" timePeriod="today">
      <formula>FLOOR(A255,1)=TODAY()</formula>
    </cfRule>
    <cfRule type="timePeriod" dxfId="228" priority="188" timePeriod="yesterday">
      <formula>FLOOR(A255,1)=TODAY()-1</formula>
    </cfRule>
    <cfRule type="timePeriod" dxfId="227" priority="189" timePeriod="today">
      <formula>FLOOR(A255,1)=TODAY()</formula>
    </cfRule>
  </conditionalFormatting>
  <conditionalFormatting sqref="K256">
    <cfRule type="timePeriod" dxfId="226" priority="180" timePeriod="nextWeek">
      <formula>AND(ROUNDDOWN(K256,0)-TODAY()&gt;(7-WEEKDAY(TODAY())),ROUNDDOWN(K256,0)-TODAY()&lt;(15-WEEKDAY(TODAY())))</formula>
    </cfRule>
    <cfRule type="timePeriod" dxfId="225" priority="181" timePeriod="yesterday">
      <formula>FLOOR(K256,1)=TODAY()-1</formula>
    </cfRule>
    <cfRule type="timePeriod" dxfId="224" priority="182" timePeriod="today">
      <formula>FLOOR(K256,1)=TODAY()</formula>
    </cfRule>
    <cfRule type="timePeriod" dxfId="223" priority="183" timePeriod="yesterday">
      <formula>FLOOR(K256,1)=TODAY()-1</formula>
    </cfRule>
    <cfRule type="timePeriod" dxfId="222" priority="184" timePeriod="today">
      <formula>FLOOR(K256,1)=TODAY()</formula>
    </cfRule>
  </conditionalFormatting>
  <conditionalFormatting sqref="I258">
    <cfRule type="cellIs" dxfId="221" priority="179" operator="equal">
      <formula>0</formula>
    </cfRule>
  </conditionalFormatting>
  <conditionalFormatting sqref="A258:K258 K257">
    <cfRule type="timePeriod" dxfId="220" priority="174" timePeriod="nextWeek">
      <formula>AND(ROUNDDOWN(A257,0)-TODAY()&gt;(7-WEEKDAY(TODAY())),ROUNDDOWN(A257,0)-TODAY()&lt;(15-WEEKDAY(TODAY())))</formula>
    </cfRule>
    <cfRule type="timePeriod" dxfId="219" priority="175" timePeriod="yesterday">
      <formula>FLOOR(A257,1)=TODAY()-1</formula>
    </cfRule>
    <cfRule type="timePeriod" dxfId="218" priority="176" timePeriod="today">
      <formula>FLOOR(A257,1)=TODAY()</formula>
    </cfRule>
    <cfRule type="timePeriod" dxfId="217" priority="177" timePeriod="yesterday">
      <formula>FLOOR(A257,1)=TODAY()-1</formula>
    </cfRule>
    <cfRule type="timePeriod" dxfId="216" priority="178" timePeriod="today">
      <formula>FLOOR(A257,1)=TODAY()</formula>
    </cfRule>
  </conditionalFormatting>
  <conditionalFormatting sqref="I259">
    <cfRule type="cellIs" dxfId="215" priority="173" operator="equal">
      <formula>0</formula>
    </cfRule>
  </conditionalFormatting>
  <conditionalFormatting sqref="K259 A259:I259">
    <cfRule type="timePeriod" dxfId="214" priority="168" timePeriod="nextWeek">
      <formula>AND(ROUNDDOWN(A259,0)-TODAY()&gt;(7-WEEKDAY(TODAY())),ROUNDDOWN(A259,0)-TODAY()&lt;(15-WEEKDAY(TODAY())))</formula>
    </cfRule>
    <cfRule type="timePeriod" dxfId="213" priority="169" timePeriod="yesterday">
      <formula>FLOOR(A259,1)=TODAY()-1</formula>
    </cfRule>
    <cfRule type="timePeriod" dxfId="212" priority="170" timePeriod="today">
      <formula>FLOOR(A259,1)=TODAY()</formula>
    </cfRule>
    <cfRule type="timePeriod" dxfId="211" priority="171" timePeriod="yesterday">
      <formula>FLOOR(A259,1)=TODAY()-1</formula>
    </cfRule>
    <cfRule type="timePeriod" dxfId="210" priority="172" timePeriod="today">
      <formula>FLOOR(A259,1)=TODAY()</formula>
    </cfRule>
  </conditionalFormatting>
  <conditionalFormatting sqref="I260">
    <cfRule type="cellIs" dxfId="209" priority="167" operator="equal">
      <formula>0</formula>
    </cfRule>
  </conditionalFormatting>
  <conditionalFormatting sqref="K260 A260:I260">
    <cfRule type="timePeriod" dxfId="208" priority="162" timePeriod="nextWeek">
      <formula>AND(ROUNDDOWN(A260,0)-TODAY()&gt;(7-WEEKDAY(TODAY())),ROUNDDOWN(A260,0)-TODAY()&lt;(15-WEEKDAY(TODAY())))</formula>
    </cfRule>
    <cfRule type="timePeriod" dxfId="207" priority="163" timePeriod="yesterday">
      <formula>FLOOR(A260,1)=TODAY()-1</formula>
    </cfRule>
    <cfRule type="timePeriod" dxfId="206" priority="164" timePeriod="today">
      <formula>FLOOR(A260,1)=TODAY()</formula>
    </cfRule>
    <cfRule type="timePeriod" dxfId="205" priority="165" timePeriod="yesterday">
      <formula>FLOOR(A260,1)=TODAY()-1</formula>
    </cfRule>
    <cfRule type="timePeriod" dxfId="204" priority="166" timePeriod="today">
      <formula>FLOOR(A260,1)=TODAY()</formula>
    </cfRule>
  </conditionalFormatting>
  <conditionalFormatting sqref="I261:I262">
    <cfRule type="cellIs" dxfId="203" priority="161" operator="equal">
      <formula>0</formula>
    </cfRule>
  </conditionalFormatting>
  <conditionalFormatting sqref="A261:K262">
    <cfRule type="timePeriod" dxfId="202" priority="156" timePeriod="nextWeek">
      <formula>AND(ROUNDDOWN(A261,0)-TODAY()&gt;(7-WEEKDAY(TODAY())),ROUNDDOWN(A261,0)-TODAY()&lt;(15-WEEKDAY(TODAY())))</formula>
    </cfRule>
    <cfRule type="timePeriod" dxfId="201" priority="157" timePeriod="yesterday">
      <formula>FLOOR(A261,1)=TODAY()-1</formula>
    </cfRule>
    <cfRule type="timePeriod" dxfId="200" priority="158" timePeriod="today">
      <formula>FLOOR(A261,1)=TODAY()</formula>
    </cfRule>
    <cfRule type="timePeriod" dxfId="199" priority="159" timePeriod="yesterday">
      <formula>FLOOR(A261,1)=TODAY()-1</formula>
    </cfRule>
    <cfRule type="timePeriod" dxfId="198" priority="160" timePeriod="today">
      <formula>FLOOR(A261,1)=TODAY()</formula>
    </cfRule>
  </conditionalFormatting>
  <conditionalFormatting sqref="I263">
    <cfRule type="cellIs" dxfId="197" priority="155" operator="equal">
      <formula>0</formula>
    </cfRule>
  </conditionalFormatting>
  <conditionalFormatting sqref="A263:K263">
    <cfRule type="timePeriod" dxfId="196" priority="150" timePeriod="nextWeek">
      <formula>AND(ROUNDDOWN(A263,0)-TODAY()&gt;(7-WEEKDAY(TODAY())),ROUNDDOWN(A263,0)-TODAY()&lt;(15-WEEKDAY(TODAY())))</formula>
    </cfRule>
    <cfRule type="timePeriod" dxfId="195" priority="151" timePeriod="yesterday">
      <formula>FLOOR(A263,1)=TODAY()-1</formula>
    </cfRule>
    <cfRule type="timePeriod" dxfId="194" priority="152" timePeriod="today">
      <formula>FLOOR(A263,1)=TODAY()</formula>
    </cfRule>
    <cfRule type="timePeriod" dxfId="193" priority="153" timePeriod="yesterday">
      <formula>FLOOR(A263,1)=TODAY()-1</formula>
    </cfRule>
    <cfRule type="timePeriod" dxfId="192" priority="154" timePeriod="today">
      <formula>FLOOR(A263,1)=TODAY()</formula>
    </cfRule>
  </conditionalFormatting>
  <conditionalFormatting sqref="I264">
    <cfRule type="cellIs" dxfId="191" priority="149" operator="equal">
      <formula>0</formula>
    </cfRule>
  </conditionalFormatting>
  <conditionalFormatting sqref="A264:K264">
    <cfRule type="timePeriod" dxfId="190" priority="144" timePeriod="nextWeek">
      <formula>AND(ROUNDDOWN(A264,0)-TODAY()&gt;(7-WEEKDAY(TODAY())),ROUNDDOWN(A264,0)-TODAY()&lt;(15-WEEKDAY(TODAY())))</formula>
    </cfRule>
    <cfRule type="timePeriod" dxfId="189" priority="145" timePeriod="yesterday">
      <formula>FLOOR(A264,1)=TODAY()-1</formula>
    </cfRule>
    <cfRule type="timePeriod" dxfId="188" priority="146" timePeriod="today">
      <formula>FLOOR(A264,1)=TODAY()</formula>
    </cfRule>
    <cfRule type="timePeriod" dxfId="187" priority="147" timePeriod="yesterday">
      <formula>FLOOR(A264,1)=TODAY()-1</formula>
    </cfRule>
    <cfRule type="timePeriod" dxfId="186" priority="148" timePeriod="today">
      <formula>FLOOR(A264,1)=TODAY()</formula>
    </cfRule>
  </conditionalFormatting>
  <conditionalFormatting sqref="I265">
    <cfRule type="cellIs" dxfId="185" priority="143" operator="equal">
      <formula>0</formula>
    </cfRule>
  </conditionalFormatting>
  <conditionalFormatting sqref="K265 A265:I265">
    <cfRule type="timePeriod" dxfId="184" priority="138" timePeriod="nextWeek">
      <formula>AND(ROUNDDOWN(A265,0)-TODAY()&gt;(7-WEEKDAY(TODAY())),ROUNDDOWN(A265,0)-TODAY()&lt;(15-WEEKDAY(TODAY())))</formula>
    </cfRule>
    <cfRule type="timePeriod" dxfId="183" priority="139" timePeriod="yesterday">
      <formula>FLOOR(A265,1)=TODAY()-1</formula>
    </cfRule>
    <cfRule type="timePeriod" dxfId="182" priority="140" timePeriod="today">
      <formula>FLOOR(A265,1)=TODAY()</formula>
    </cfRule>
    <cfRule type="timePeriod" dxfId="181" priority="141" timePeriod="yesterday">
      <formula>FLOOR(A265,1)=TODAY()-1</formula>
    </cfRule>
    <cfRule type="timePeriod" dxfId="180" priority="142" timePeriod="today">
      <formula>FLOOR(A265,1)=TODAY()</formula>
    </cfRule>
  </conditionalFormatting>
  <conditionalFormatting sqref="I266">
    <cfRule type="cellIs" dxfId="179" priority="137" operator="equal">
      <formula>0</formula>
    </cfRule>
  </conditionalFormatting>
  <conditionalFormatting sqref="A266:K266">
    <cfRule type="timePeriod" dxfId="178" priority="132" timePeriod="nextWeek">
      <formula>AND(ROUNDDOWN(A266,0)-TODAY()&gt;(7-WEEKDAY(TODAY())),ROUNDDOWN(A266,0)-TODAY()&lt;(15-WEEKDAY(TODAY())))</formula>
    </cfRule>
    <cfRule type="timePeriod" dxfId="177" priority="133" timePeriod="yesterday">
      <formula>FLOOR(A266,1)=TODAY()-1</formula>
    </cfRule>
    <cfRule type="timePeriod" dxfId="176" priority="134" timePeriod="today">
      <formula>FLOOR(A266,1)=TODAY()</formula>
    </cfRule>
    <cfRule type="timePeriod" dxfId="175" priority="135" timePeriod="yesterday">
      <formula>FLOOR(A266,1)=TODAY()-1</formula>
    </cfRule>
    <cfRule type="timePeriod" dxfId="174" priority="136" timePeriod="today">
      <formula>FLOOR(A266,1)=TODAY()</formula>
    </cfRule>
  </conditionalFormatting>
  <conditionalFormatting sqref="I267">
    <cfRule type="cellIs" dxfId="173" priority="131" operator="equal">
      <formula>0</formula>
    </cfRule>
  </conditionalFormatting>
  <conditionalFormatting sqref="A267:K267">
    <cfRule type="timePeriod" dxfId="172" priority="126" timePeriod="nextWeek">
      <formula>AND(ROUNDDOWN(A267,0)-TODAY()&gt;(7-WEEKDAY(TODAY())),ROUNDDOWN(A267,0)-TODAY()&lt;(15-WEEKDAY(TODAY())))</formula>
    </cfRule>
    <cfRule type="timePeriod" dxfId="171" priority="127" timePeriod="yesterday">
      <formula>FLOOR(A267,1)=TODAY()-1</formula>
    </cfRule>
    <cfRule type="timePeriod" dxfId="170" priority="128" timePeriod="today">
      <formula>FLOOR(A267,1)=TODAY()</formula>
    </cfRule>
    <cfRule type="timePeriod" dxfId="169" priority="129" timePeriod="yesterday">
      <formula>FLOOR(A267,1)=TODAY()-1</formula>
    </cfRule>
    <cfRule type="timePeriod" dxfId="168" priority="130" timePeriod="today">
      <formula>FLOOR(A267,1)=TODAY()</formula>
    </cfRule>
  </conditionalFormatting>
  <conditionalFormatting sqref="I268">
    <cfRule type="cellIs" dxfId="167" priority="125" operator="equal">
      <formula>0</formula>
    </cfRule>
  </conditionalFormatting>
  <conditionalFormatting sqref="A268:K268">
    <cfRule type="timePeriod" dxfId="166" priority="120" timePeriod="nextWeek">
      <formula>AND(ROUNDDOWN(A268,0)-TODAY()&gt;(7-WEEKDAY(TODAY())),ROUNDDOWN(A268,0)-TODAY()&lt;(15-WEEKDAY(TODAY())))</formula>
    </cfRule>
    <cfRule type="timePeriod" dxfId="165" priority="121" timePeriod="yesterday">
      <formula>FLOOR(A268,1)=TODAY()-1</formula>
    </cfRule>
    <cfRule type="timePeriod" dxfId="164" priority="122" timePeriod="today">
      <formula>FLOOR(A268,1)=TODAY()</formula>
    </cfRule>
    <cfRule type="timePeriod" dxfId="163" priority="123" timePeriod="yesterday">
      <formula>FLOOR(A268,1)=TODAY()-1</formula>
    </cfRule>
    <cfRule type="timePeriod" dxfId="162" priority="124" timePeriod="today">
      <formula>FLOOR(A268,1)=TODAY()</formula>
    </cfRule>
  </conditionalFormatting>
  <conditionalFormatting sqref="I269">
    <cfRule type="cellIs" dxfId="161" priority="119" operator="equal">
      <formula>0</formula>
    </cfRule>
  </conditionalFormatting>
  <conditionalFormatting sqref="A269:K269">
    <cfRule type="timePeriod" dxfId="160" priority="114" timePeriod="nextWeek">
      <formula>AND(ROUNDDOWN(A269,0)-TODAY()&gt;(7-WEEKDAY(TODAY())),ROUNDDOWN(A269,0)-TODAY()&lt;(15-WEEKDAY(TODAY())))</formula>
    </cfRule>
    <cfRule type="timePeriod" dxfId="159" priority="115" timePeriod="yesterday">
      <formula>FLOOR(A269,1)=TODAY()-1</formula>
    </cfRule>
    <cfRule type="timePeriod" dxfId="158" priority="116" timePeriod="today">
      <formula>FLOOR(A269,1)=TODAY()</formula>
    </cfRule>
    <cfRule type="timePeriod" dxfId="157" priority="117" timePeriod="yesterday">
      <formula>FLOOR(A269,1)=TODAY()-1</formula>
    </cfRule>
    <cfRule type="timePeriod" dxfId="156" priority="118" timePeriod="today">
      <formula>FLOOR(A269,1)=TODAY()</formula>
    </cfRule>
  </conditionalFormatting>
  <conditionalFormatting sqref="I270">
    <cfRule type="cellIs" dxfId="155" priority="113" operator="equal">
      <formula>0</formula>
    </cfRule>
  </conditionalFormatting>
  <conditionalFormatting sqref="A270:K270">
    <cfRule type="timePeriod" dxfId="154" priority="108" timePeriod="nextWeek">
      <formula>AND(ROUNDDOWN(A270,0)-TODAY()&gt;(7-WEEKDAY(TODAY())),ROUNDDOWN(A270,0)-TODAY()&lt;(15-WEEKDAY(TODAY())))</formula>
    </cfRule>
    <cfRule type="timePeriod" dxfId="153" priority="109" timePeriod="yesterday">
      <formula>FLOOR(A270,1)=TODAY()-1</formula>
    </cfRule>
    <cfRule type="timePeriod" dxfId="152" priority="110" timePeriod="today">
      <formula>FLOOR(A270,1)=TODAY()</formula>
    </cfRule>
    <cfRule type="timePeriod" dxfId="151" priority="111" timePeriod="yesterday">
      <formula>FLOOR(A270,1)=TODAY()-1</formula>
    </cfRule>
    <cfRule type="timePeriod" dxfId="150" priority="112" timePeriod="today">
      <formula>FLOOR(A270,1)=TODAY()</formula>
    </cfRule>
  </conditionalFormatting>
  <conditionalFormatting sqref="I271">
    <cfRule type="cellIs" dxfId="149" priority="107" operator="equal">
      <formula>0</formula>
    </cfRule>
  </conditionalFormatting>
  <conditionalFormatting sqref="K271 A271:I271">
    <cfRule type="timePeriod" dxfId="148" priority="102" timePeriod="nextWeek">
      <formula>AND(ROUNDDOWN(A271,0)-TODAY()&gt;(7-WEEKDAY(TODAY())),ROUNDDOWN(A271,0)-TODAY()&lt;(15-WEEKDAY(TODAY())))</formula>
    </cfRule>
    <cfRule type="timePeriod" dxfId="147" priority="103" timePeriod="yesterday">
      <formula>FLOOR(A271,1)=TODAY()-1</formula>
    </cfRule>
    <cfRule type="timePeriod" dxfId="146" priority="104" timePeriod="today">
      <formula>FLOOR(A271,1)=TODAY()</formula>
    </cfRule>
    <cfRule type="timePeriod" dxfId="145" priority="105" timePeriod="yesterday">
      <formula>FLOOR(A271,1)=TODAY()-1</formula>
    </cfRule>
    <cfRule type="timePeriod" dxfId="144" priority="106" timePeriod="today">
      <formula>FLOOR(A271,1)=TODAY()</formula>
    </cfRule>
  </conditionalFormatting>
  <conditionalFormatting sqref="I272">
    <cfRule type="cellIs" dxfId="143" priority="101" operator="equal">
      <formula>0</formula>
    </cfRule>
  </conditionalFormatting>
  <conditionalFormatting sqref="A272:K272">
    <cfRule type="timePeriod" dxfId="142" priority="96" timePeriod="nextWeek">
      <formula>AND(ROUNDDOWN(A272,0)-TODAY()&gt;(7-WEEKDAY(TODAY())),ROUNDDOWN(A272,0)-TODAY()&lt;(15-WEEKDAY(TODAY())))</formula>
    </cfRule>
    <cfRule type="timePeriod" dxfId="141" priority="97" timePeriod="yesterday">
      <formula>FLOOR(A272,1)=TODAY()-1</formula>
    </cfRule>
    <cfRule type="timePeriod" dxfId="140" priority="98" timePeriod="today">
      <formula>FLOOR(A272,1)=TODAY()</formula>
    </cfRule>
    <cfRule type="timePeriod" dxfId="139" priority="99" timePeriod="yesterday">
      <formula>FLOOR(A272,1)=TODAY()-1</formula>
    </cfRule>
    <cfRule type="timePeriod" dxfId="138" priority="100" timePeriod="today">
      <formula>FLOOR(A272,1)=TODAY()</formula>
    </cfRule>
  </conditionalFormatting>
  <conditionalFormatting sqref="I273:I276">
    <cfRule type="cellIs" dxfId="137" priority="95" operator="equal">
      <formula>0</formula>
    </cfRule>
  </conditionalFormatting>
  <conditionalFormatting sqref="K273:K274 A273:I274 A275:K276">
    <cfRule type="timePeriod" dxfId="136" priority="90" timePeriod="nextWeek">
      <formula>AND(ROUNDDOWN(A273,0)-TODAY()&gt;(7-WEEKDAY(TODAY())),ROUNDDOWN(A273,0)-TODAY()&lt;(15-WEEKDAY(TODAY())))</formula>
    </cfRule>
    <cfRule type="timePeriod" dxfId="135" priority="91" timePeriod="yesterday">
      <formula>FLOOR(A273,1)=TODAY()-1</formula>
    </cfRule>
    <cfRule type="timePeriod" dxfId="134" priority="92" timePeriod="today">
      <formula>FLOOR(A273,1)=TODAY()</formula>
    </cfRule>
    <cfRule type="timePeriod" dxfId="133" priority="93" timePeriod="yesterday">
      <formula>FLOOR(A273,1)=TODAY()-1</formula>
    </cfRule>
    <cfRule type="timePeriod" dxfId="132" priority="94" timePeriod="today">
      <formula>FLOOR(A273,1)=TODAY()</formula>
    </cfRule>
  </conditionalFormatting>
  <conditionalFormatting sqref="I277">
    <cfRule type="cellIs" dxfId="131" priority="89" operator="equal">
      <formula>0</formula>
    </cfRule>
  </conditionalFormatting>
  <conditionalFormatting sqref="A277:K277">
    <cfRule type="timePeriod" dxfId="130" priority="84" timePeriod="nextWeek">
      <formula>AND(ROUNDDOWN(A277,0)-TODAY()&gt;(7-WEEKDAY(TODAY())),ROUNDDOWN(A277,0)-TODAY()&lt;(15-WEEKDAY(TODAY())))</formula>
    </cfRule>
    <cfRule type="timePeriod" dxfId="129" priority="85" timePeriod="yesterday">
      <formula>FLOOR(A277,1)=TODAY()-1</formula>
    </cfRule>
    <cfRule type="timePeriod" dxfId="128" priority="86" timePeriod="today">
      <formula>FLOOR(A277,1)=TODAY()</formula>
    </cfRule>
    <cfRule type="timePeriod" dxfId="127" priority="87" timePeriod="yesterday">
      <formula>FLOOR(A277,1)=TODAY()-1</formula>
    </cfRule>
    <cfRule type="timePeriod" dxfId="126" priority="88" timePeriod="today">
      <formula>FLOOR(A277,1)=TODAY()</formula>
    </cfRule>
  </conditionalFormatting>
  <conditionalFormatting sqref="I278">
    <cfRule type="cellIs" dxfId="125" priority="83" operator="equal">
      <formula>0</formula>
    </cfRule>
  </conditionalFormatting>
  <conditionalFormatting sqref="A278:K278">
    <cfRule type="timePeriod" dxfId="124" priority="78" timePeriod="nextWeek">
      <formula>AND(ROUNDDOWN(A278,0)-TODAY()&gt;(7-WEEKDAY(TODAY())),ROUNDDOWN(A278,0)-TODAY()&lt;(15-WEEKDAY(TODAY())))</formula>
    </cfRule>
    <cfRule type="timePeriod" dxfId="123" priority="79" timePeriod="yesterday">
      <formula>FLOOR(A278,1)=TODAY()-1</formula>
    </cfRule>
    <cfRule type="timePeriod" dxfId="122" priority="80" timePeriod="today">
      <formula>FLOOR(A278,1)=TODAY()</formula>
    </cfRule>
    <cfRule type="timePeriod" dxfId="121" priority="81" timePeriod="yesterday">
      <formula>FLOOR(A278,1)=TODAY()-1</formula>
    </cfRule>
    <cfRule type="timePeriod" dxfId="120" priority="82" timePeriod="today">
      <formula>FLOOR(A278,1)=TODAY()</formula>
    </cfRule>
  </conditionalFormatting>
  <conditionalFormatting sqref="I279">
    <cfRule type="cellIs" dxfId="119" priority="77" operator="equal">
      <formula>0</formula>
    </cfRule>
  </conditionalFormatting>
  <conditionalFormatting sqref="K279 B279:I279">
    <cfRule type="timePeriod" dxfId="118" priority="72" timePeriod="nextWeek">
      <formula>AND(ROUNDDOWN(B279,0)-TODAY()&gt;(7-WEEKDAY(TODAY())),ROUNDDOWN(B279,0)-TODAY()&lt;(15-WEEKDAY(TODAY())))</formula>
    </cfRule>
    <cfRule type="timePeriod" dxfId="117" priority="73" timePeriod="yesterday">
      <formula>FLOOR(B279,1)=TODAY()-1</formula>
    </cfRule>
    <cfRule type="timePeriod" dxfId="116" priority="74" timePeriod="today">
      <formula>FLOOR(B279,1)=TODAY()</formula>
    </cfRule>
    <cfRule type="timePeriod" dxfId="115" priority="75" timePeriod="yesterday">
      <formula>FLOOR(B279,1)=TODAY()-1</formula>
    </cfRule>
    <cfRule type="timePeriod" dxfId="114" priority="76" timePeriod="today">
      <formula>FLOOR(B279,1)=TODAY()</formula>
    </cfRule>
  </conditionalFormatting>
  <conditionalFormatting sqref="A279">
    <cfRule type="timePeriod" dxfId="113" priority="67" timePeriod="nextWeek">
      <formula>AND(ROUNDDOWN(A279,0)-TODAY()&gt;(7-WEEKDAY(TODAY())),ROUNDDOWN(A279,0)-TODAY()&lt;(15-WEEKDAY(TODAY())))</formula>
    </cfRule>
    <cfRule type="timePeriod" dxfId="112" priority="68" timePeriod="yesterday">
      <formula>FLOOR(A279,1)=TODAY()-1</formula>
    </cfRule>
    <cfRule type="timePeriod" dxfId="111" priority="69" timePeriod="today">
      <formula>FLOOR(A279,1)=TODAY()</formula>
    </cfRule>
    <cfRule type="timePeriod" dxfId="110" priority="70" timePeriod="yesterday">
      <formula>FLOOR(A279,1)=TODAY()-1</formula>
    </cfRule>
    <cfRule type="timePeriod" dxfId="109" priority="71" timePeriod="today">
      <formula>FLOOR(A279,1)=TODAY()</formula>
    </cfRule>
  </conditionalFormatting>
  <conditionalFormatting sqref="I280:I281">
    <cfRule type="cellIs" dxfId="108" priority="66" operator="equal">
      <formula>0</formula>
    </cfRule>
  </conditionalFormatting>
  <conditionalFormatting sqref="A280:K281">
    <cfRule type="timePeriod" dxfId="107" priority="61" timePeriod="nextWeek">
      <formula>AND(ROUNDDOWN(A280,0)-TODAY()&gt;(7-WEEKDAY(TODAY())),ROUNDDOWN(A280,0)-TODAY()&lt;(15-WEEKDAY(TODAY())))</formula>
    </cfRule>
    <cfRule type="timePeriod" dxfId="106" priority="62" timePeriod="yesterday">
      <formula>FLOOR(A280,1)=TODAY()-1</formula>
    </cfRule>
    <cfRule type="timePeriod" dxfId="105" priority="63" timePeriod="today">
      <formula>FLOOR(A280,1)=TODAY()</formula>
    </cfRule>
    <cfRule type="timePeriod" dxfId="104" priority="64" timePeriod="yesterday">
      <formula>FLOOR(A280,1)=TODAY()-1</formula>
    </cfRule>
    <cfRule type="timePeriod" dxfId="103" priority="65" timePeriod="today">
      <formula>FLOOR(A280,1)=TODAY()</formula>
    </cfRule>
  </conditionalFormatting>
  <conditionalFormatting sqref="I282:I291">
    <cfRule type="cellIs" dxfId="102" priority="60" operator="equal">
      <formula>0</formula>
    </cfRule>
  </conditionalFormatting>
  <conditionalFormatting sqref="K283:K285 A283:I285 A286:K291 A282:K282">
    <cfRule type="timePeriod" dxfId="101" priority="55" timePeriod="nextWeek">
      <formula>AND(ROUNDDOWN(A282,0)-TODAY()&gt;(7-WEEKDAY(TODAY())),ROUNDDOWN(A282,0)-TODAY()&lt;(15-WEEKDAY(TODAY())))</formula>
    </cfRule>
    <cfRule type="timePeriod" dxfId="100" priority="56" timePeriod="yesterday">
      <formula>FLOOR(A282,1)=TODAY()-1</formula>
    </cfRule>
    <cfRule type="timePeriod" dxfId="99" priority="57" timePeriod="today">
      <formula>FLOOR(A282,1)=TODAY()</formula>
    </cfRule>
    <cfRule type="timePeriod" dxfId="98" priority="58" timePeriod="yesterday">
      <formula>FLOOR(A282,1)=TODAY()-1</formula>
    </cfRule>
    <cfRule type="timePeriod" dxfId="97" priority="59" timePeriod="today">
      <formula>FLOOR(A282,1)=TODAY()</formula>
    </cfRule>
  </conditionalFormatting>
  <conditionalFormatting sqref="I292">
    <cfRule type="cellIs" dxfId="96" priority="54" operator="equal">
      <formula>0</formula>
    </cfRule>
  </conditionalFormatting>
  <conditionalFormatting sqref="A292:K292">
    <cfRule type="timePeriod" dxfId="95" priority="49" timePeriod="nextWeek">
      <formula>AND(ROUNDDOWN(A292,0)-TODAY()&gt;(7-WEEKDAY(TODAY())),ROUNDDOWN(A292,0)-TODAY()&lt;(15-WEEKDAY(TODAY())))</formula>
    </cfRule>
    <cfRule type="timePeriod" dxfId="94" priority="50" timePeriod="yesterday">
      <formula>FLOOR(A292,1)=TODAY()-1</formula>
    </cfRule>
    <cfRule type="timePeriod" dxfId="93" priority="51" timePeriod="today">
      <formula>FLOOR(A292,1)=TODAY()</formula>
    </cfRule>
    <cfRule type="timePeriod" dxfId="92" priority="52" timePeriod="yesterday">
      <formula>FLOOR(A292,1)=TODAY()-1</formula>
    </cfRule>
    <cfRule type="timePeriod" dxfId="91" priority="53" timePeriod="today">
      <formula>FLOOR(A292,1)=TODAY()</formula>
    </cfRule>
  </conditionalFormatting>
  <conditionalFormatting sqref="I293">
    <cfRule type="cellIs" dxfId="90" priority="48" operator="equal">
      <formula>0</formula>
    </cfRule>
  </conditionalFormatting>
  <conditionalFormatting sqref="A293:K293">
    <cfRule type="timePeriod" dxfId="89" priority="43" timePeriod="nextWeek">
      <formula>AND(ROUNDDOWN(A293,0)-TODAY()&gt;(7-WEEKDAY(TODAY())),ROUNDDOWN(A293,0)-TODAY()&lt;(15-WEEKDAY(TODAY())))</formula>
    </cfRule>
    <cfRule type="timePeriod" dxfId="88" priority="44" timePeriod="yesterday">
      <formula>FLOOR(A293,1)=TODAY()-1</formula>
    </cfRule>
    <cfRule type="timePeriod" dxfId="87" priority="45" timePeriod="today">
      <formula>FLOOR(A293,1)=TODAY()</formula>
    </cfRule>
    <cfRule type="timePeriod" dxfId="86" priority="46" timePeriod="yesterday">
      <formula>FLOOR(A293,1)=TODAY()-1</formula>
    </cfRule>
    <cfRule type="timePeriod" dxfId="85" priority="47" timePeriod="today">
      <formula>FLOOR(A293,1)=TODAY()</formula>
    </cfRule>
  </conditionalFormatting>
  <conditionalFormatting sqref="I294">
    <cfRule type="cellIs" dxfId="84" priority="42" operator="equal">
      <formula>0</formula>
    </cfRule>
  </conditionalFormatting>
  <conditionalFormatting sqref="A294:K294">
    <cfRule type="timePeriod" dxfId="83" priority="37" timePeriod="nextWeek">
      <formula>AND(ROUNDDOWN(A294,0)-TODAY()&gt;(7-WEEKDAY(TODAY())),ROUNDDOWN(A294,0)-TODAY()&lt;(15-WEEKDAY(TODAY())))</formula>
    </cfRule>
    <cfRule type="timePeriod" dxfId="82" priority="38" timePeriod="yesterday">
      <formula>FLOOR(A294,1)=TODAY()-1</formula>
    </cfRule>
    <cfRule type="timePeriod" dxfId="81" priority="39" timePeriod="today">
      <formula>FLOOR(A294,1)=TODAY()</formula>
    </cfRule>
    <cfRule type="timePeriod" dxfId="80" priority="40" timePeriod="yesterday">
      <formula>FLOOR(A294,1)=TODAY()-1</formula>
    </cfRule>
    <cfRule type="timePeriod" dxfId="79" priority="41" timePeriod="today">
      <formula>FLOOR(A294,1)=TODAY()</formula>
    </cfRule>
  </conditionalFormatting>
  <conditionalFormatting sqref="I295">
    <cfRule type="cellIs" dxfId="78" priority="36" operator="equal">
      <formula>0</formula>
    </cfRule>
  </conditionalFormatting>
  <conditionalFormatting sqref="A295:K295">
    <cfRule type="timePeriod" dxfId="77" priority="31" timePeriod="nextWeek">
      <formula>AND(ROUNDDOWN(A295,0)-TODAY()&gt;(7-WEEKDAY(TODAY())),ROUNDDOWN(A295,0)-TODAY()&lt;(15-WEEKDAY(TODAY())))</formula>
    </cfRule>
    <cfRule type="timePeriod" dxfId="76" priority="32" timePeriod="yesterday">
      <formula>FLOOR(A295,1)=TODAY()-1</formula>
    </cfRule>
    <cfRule type="timePeriod" dxfId="75" priority="33" timePeriod="today">
      <formula>FLOOR(A295,1)=TODAY()</formula>
    </cfRule>
    <cfRule type="timePeriod" dxfId="74" priority="34" timePeriod="yesterday">
      <formula>FLOOR(A295,1)=TODAY()-1</formula>
    </cfRule>
    <cfRule type="timePeriod" dxfId="73" priority="35" timePeriod="today">
      <formula>FLOOR(A295,1)=TODAY()</formula>
    </cfRule>
  </conditionalFormatting>
  <conditionalFormatting sqref="I296">
    <cfRule type="cellIs" dxfId="72" priority="30" operator="equal">
      <formula>0</formula>
    </cfRule>
  </conditionalFormatting>
  <conditionalFormatting sqref="A296:K296">
    <cfRule type="timePeriod" dxfId="71" priority="25" timePeriod="nextWeek">
      <formula>AND(ROUNDDOWN(A296,0)-TODAY()&gt;(7-WEEKDAY(TODAY())),ROUNDDOWN(A296,0)-TODAY()&lt;(15-WEEKDAY(TODAY())))</formula>
    </cfRule>
    <cfRule type="timePeriod" dxfId="70" priority="26" timePeriod="yesterday">
      <formula>FLOOR(A296,1)=TODAY()-1</formula>
    </cfRule>
    <cfRule type="timePeriod" dxfId="69" priority="27" timePeriod="today">
      <formula>FLOOR(A296,1)=TODAY()</formula>
    </cfRule>
    <cfRule type="timePeriod" dxfId="68" priority="28" timePeriod="yesterday">
      <formula>FLOOR(A296,1)=TODAY()-1</formula>
    </cfRule>
    <cfRule type="timePeriod" dxfId="67" priority="29" timePeriod="today">
      <formula>FLOOR(A296,1)=TODAY()</formula>
    </cfRule>
  </conditionalFormatting>
  <conditionalFormatting sqref="I297">
    <cfRule type="cellIs" dxfId="66" priority="24" operator="equal">
      <formula>0</formula>
    </cfRule>
  </conditionalFormatting>
  <conditionalFormatting sqref="A297:K297">
    <cfRule type="timePeriod" dxfId="65" priority="19" timePeriod="nextWeek">
      <formula>AND(ROUNDDOWN(A297,0)-TODAY()&gt;(7-WEEKDAY(TODAY())),ROUNDDOWN(A297,0)-TODAY()&lt;(15-WEEKDAY(TODAY())))</formula>
    </cfRule>
    <cfRule type="timePeriod" dxfId="64" priority="20" timePeriod="yesterday">
      <formula>FLOOR(A297,1)=TODAY()-1</formula>
    </cfRule>
    <cfRule type="timePeriod" dxfId="63" priority="21" timePeriod="today">
      <formula>FLOOR(A297,1)=TODAY()</formula>
    </cfRule>
    <cfRule type="timePeriod" dxfId="62" priority="22" timePeriod="yesterday">
      <formula>FLOOR(A297,1)=TODAY()-1</formula>
    </cfRule>
    <cfRule type="timePeriod" dxfId="61" priority="23" timePeriod="today">
      <formula>FLOOR(A297,1)=TODAY()</formula>
    </cfRule>
  </conditionalFormatting>
  <conditionalFormatting sqref="I298">
    <cfRule type="cellIs" dxfId="60" priority="18" operator="equal">
      <formula>0</formula>
    </cfRule>
  </conditionalFormatting>
  <conditionalFormatting sqref="A298:K298">
    <cfRule type="timePeriod" dxfId="59" priority="13" timePeriod="nextWeek">
      <formula>AND(ROUNDDOWN(A298,0)-TODAY()&gt;(7-WEEKDAY(TODAY())),ROUNDDOWN(A298,0)-TODAY()&lt;(15-WEEKDAY(TODAY())))</formula>
    </cfRule>
    <cfRule type="timePeriod" dxfId="58" priority="14" timePeriod="yesterday">
      <formula>FLOOR(A298,1)=TODAY()-1</formula>
    </cfRule>
    <cfRule type="timePeriod" dxfId="57" priority="15" timePeriod="today">
      <formula>FLOOR(A298,1)=TODAY()</formula>
    </cfRule>
    <cfRule type="timePeriod" dxfId="56" priority="16" timePeriod="yesterday">
      <formula>FLOOR(A298,1)=TODAY()-1</formula>
    </cfRule>
    <cfRule type="timePeriod" dxfId="55" priority="17" timePeriod="today">
      <formula>FLOOR(A298,1)=TODAY()</formula>
    </cfRule>
  </conditionalFormatting>
  <conditionalFormatting sqref="I299">
    <cfRule type="cellIs" dxfId="54" priority="12" operator="equal">
      <formula>0</formula>
    </cfRule>
  </conditionalFormatting>
  <conditionalFormatting sqref="A299:K299">
    <cfRule type="timePeriod" dxfId="53" priority="7" timePeriod="nextWeek">
      <formula>AND(ROUNDDOWN(A299,0)-TODAY()&gt;(7-WEEKDAY(TODAY())),ROUNDDOWN(A299,0)-TODAY()&lt;(15-WEEKDAY(TODAY())))</formula>
    </cfRule>
    <cfRule type="timePeriod" dxfId="52" priority="8" timePeriod="yesterday">
      <formula>FLOOR(A299,1)=TODAY()-1</formula>
    </cfRule>
    <cfRule type="timePeriod" dxfId="51" priority="9" timePeriod="today">
      <formula>FLOOR(A299,1)=TODAY()</formula>
    </cfRule>
    <cfRule type="timePeriod" dxfId="50" priority="10" timePeriod="yesterday">
      <formula>FLOOR(A299,1)=TODAY()-1</formula>
    </cfRule>
    <cfRule type="timePeriod" dxfId="49" priority="11" timePeriod="today">
      <formula>FLOOR(A299,1)=TODAY()</formula>
    </cfRule>
  </conditionalFormatting>
  <conditionalFormatting sqref="I300">
    <cfRule type="cellIs" dxfId="48" priority="6" operator="equal">
      <formula>0</formula>
    </cfRule>
  </conditionalFormatting>
  <conditionalFormatting sqref="A300:K300">
    <cfRule type="timePeriod" dxfId="47" priority="1" timePeriod="nextWeek">
      <formula>AND(ROUNDDOWN(A300,0)-TODAY()&gt;(7-WEEKDAY(TODAY())),ROUNDDOWN(A300,0)-TODAY()&lt;(15-WEEKDAY(TODAY())))</formula>
    </cfRule>
    <cfRule type="timePeriod" dxfId="46" priority="2" timePeriod="yesterday">
      <formula>FLOOR(A300,1)=TODAY()-1</formula>
    </cfRule>
    <cfRule type="timePeriod" dxfId="45" priority="3" timePeriod="today">
      <formula>FLOOR(A300,1)=TODAY()</formula>
    </cfRule>
    <cfRule type="timePeriod" dxfId="44" priority="4" timePeriod="yesterday">
      <formula>FLOOR(A300,1)=TODAY()-1</formula>
    </cfRule>
    <cfRule type="timePeriod" dxfId="43" priority="5" timePeriod="today">
      <formula>FLOOR(A300,1)=TODAY()</formula>
    </cfRule>
  </conditionalFormatting>
  <pageMargins left="0.25" right="0.25" top="0.75" bottom="0.75" header="0.3" footer="0.3"/>
  <pageSetup paperSize="9" scale="13" orientation="portrait"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 filterMode="1">
    <pageSetUpPr fitToPage="1"/>
  </sheetPr>
  <dimension ref="A1:XFB791"/>
  <sheetViews>
    <sheetView showGridLines="0" zoomScaleNormal="100" zoomScaleSheetLayoutView="87" workbookViewId="0">
      <pane ySplit="1" topLeftCell="A11" activePane="bottomLeft" state="frozen"/>
      <selection activeCell="A536" sqref="A536"/>
      <selection pane="bottomLeft" activeCell="A21" sqref="A21:XFD21"/>
    </sheetView>
  </sheetViews>
  <sheetFormatPr defaultColWidth="13.7109375" defaultRowHeight="15" x14ac:dyDescent="0.25"/>
  <cols>
    <col min="1" max="1" width="15.7109375" style="2" bestFit="1" customWidth="1"/>
    <col min="2" max="2" width="9.140625" style="4" bestFit="1" customWidth="1"/>
    <col min="3" max="3" width="15.28515625" style="2" bestFit="1" customWidth="1"/>
    <col min="4" max="4" width="13.42578125" style="2" bestFit="1" customWidth="1"/>
    <col min="5" max="5" width="32.7109375" style="1" bestFit="1" customWidth="1"/>
    <col min="6" max="6" width="35.85546875" style="1" bestFit="1" customWidth="1"/>
    <col min="7" max="7" width="14.85546875" style="1" bestFit="1" customWidth="1"/>
    <col min="8" max="8" width="12" style="5" bestFit="1" customWidth="1"/>
    <col min="9" max="9" width="12.85546875" style="2" bestFit="1" customWidth="1"/>
    <col min="10" max="10" width="15.5703125" style="3" bestFit="1" customWidth="1"/>
    <col min="11" max="11" width="8.85546875" style="3" bestFit="1" customWidth="1"/>
    <col min="12" max="12" width="13.85546875" style="67" bestFit="1" customWidth="1"/>
    <col min="13" max="13" width="14.5703125" style="3" bestFit="1" customWidth="1"/>
    <col min="14" max="14" width="15.7109375" style="67" bestFit="1" customWidth="1"/>
    <col min="15" max="15" width="13.5703125" style="67" bestFit="1" customWidth="1"/>
    <col min="16" max="16" width="15.42578125" style="28" bestFit="1" customWidth="1"/>
    <col min="17" max="17" width="16.5703125" style="1" bestFit="1" customWidth="1"/>
    <col min="18" max="18" width="13.7109375" style="7"/>
    <col min="19" max="19" width="14.85546875" style="7" bestFit="1" customWidth="1"/>
    <col min="20" max="20" width="18.7109375" style="7" bestFit="1" customWidth="1"/>
    <col min="21" max="21" width="15.7109375" style="7" bestFit="1" customWidth="1"/>
    <col min="22" max="22" width="17.7109375" style="7" bestFit="1" customWidth="1"/>
    <col min="23" max="16384" width="13.7109375" style="7"/>
  </cols>
  <sheetData>
    <row r="1" spans="1:54" s="24" customFormat="1" ht="79.5" customHeight="1" x14ac:dyDescent="0.2">
      <c r="A1" s="75" t="s">
        <v>26</v>
      </c>
      <c r="B1" s="75" t="s">
        <v>10</v>
      </c>
      <c r="C1" s="75" t="s">
        <v>0</v>
      </c>
      <c r="D1" s="75" t="s">
        <v>1</v>
      </c>
      <c r="E1" s="75" t="s">
        <v>14</v>
      </c>
      <c r="F1" s="75" t="s">
        <v>2</v>
      </c>
      <c r="G1" s="105" t="s">
        <v>233</v>
      </c>
      <c r="H1" s="91" t="s">
        <v>3</v>
      </c>
      <c r="I1" s="75" t="s">
        <v>15</v>
      </c>
      <c r="J1" s="75" t="s">
        <v>4</v>
      </c>
      <c r="K1" s="76">
        <f ca="1">NOW()</f>
        <v>45460.660617824076</v>
      </c>
      <c r="L1" s="131" t="s">
        <v>232</v>
      </c>
      <c r="M1" s="132" t="s">
        <v>27</v>
      </c>
      <c r="N1" s="131" t="s">
        <v>422</v>
      </c>
      <c r="O1" s="131" t="s">
        <v>5</v>
      </c>
      <c r="P1" s="133" t="s">
        <v>11</v>
      </c>
      <c r="Q1" s="77" t="s">
        <v>12</v>
      </c>
      <c r="R1" s="25"/>
      <c r="S1" s="27"/>
      <c r="T1" s="27"/>
      <c r="U1" s="27"/>
      <c r="V1" s="26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s="33" customFormat="1" ht="15" hidden="1" customHeight="1" x14ac:dyDescent="0.25">
      <c r="A2" s="20" t="s">
        <v>32</v>
      </c>
      <c r="B2" s="276">
        <v>3607</v>
      </c>
      <c r="C2" s="276">
        <v>51000589</v>
      </c>
      <c r="D2" s="276" t="s">
        <v>6</v>
      </c>
      <c r="E2" s="45" t="s">
        <v>245</v>
      </c>
      <c r="F2" s="21" t="s">
        <v>367</v>
      </c>
      <c r="G2" s="31">
        <v>104</v>
      </c>
      <c r="H2" s="5">
        <v>104</v>
      </c>
      <c r="I2" s="131">
        <f t="shared" ref="I2:I7" si="0">H2-L2</f>
        <v>104</v>
      </c>
      <c r="J2" s="22">
        <v>45260</v>
      </c>
      <c r="K2" s="107"/>
      <c r="L2" s="108"/>
      <c r="M2" s="106"/>
      <c r="N2" s="108"/>
      <c r="O2" s="108"/>
      <c r="P2" s="36">
        <v>4.7699999999999996</v>
      </c>
      <c r="Q2" s="32">
        <f>P2*H2</f>
        <v>496.07999999999993</v>
      </c>
    </row>
    <row r="3" spans="1:54" s="33" customFormat="1" ht="15" hidden="1" customHeight="1" x14ac:dyDescent="0.25">
      <c r="A3" s="191" t="s">
        <v>166</v>
      </c>
      <c r="B3" s="191">
        <v>3697</v>
      </c>
      <c r="C3" s="191" t="s">
        <v>378</v>
      </c>
      <c r="D3" s="191">
        <v>1</v>
      </c>
      <c r="E3" s="151" t="s">
        <v>379</v>
      </c>
      <c r="F3" s="120" t="s">
        <v>380</v>
      </c>
      <c r="G3" s="120">
        <v>50</v>
      </c>
      <c r="H3" s="6">
        <v>50</v>
      </c>
      <c r="I3" s="136">
        <f t="shared" si="0"/>
        <v>50</v>
      </c>
      <c r="J3" s="123">
        <v>45266</v>
      </c>
      <c r="K3" s="107"/>
      <c r="L3" s="108"/>
      <c r="M3" s="106"/>
      <c r="N3" s="108"/>
      <c r="O3" s="108"/>
      <c r="P3" s="36"/>
      <c r="Q3" s="32"/>
    </row>
    <row r="4" spans="1:54" s="33" customFormat="1" ht="15" hidden="1" customHeight="1" x14ac:dyDescent="0.25">
      <c r="A4" s="5" t="s">
        <v>9</v>
      </c>
      <c r="B4" s="4">
        <v>3708</v>
      </c>
      <c r="C4" s="5">
        <v>5500007923</v>
      </c>
      <c r="D4" s="5" t="s">
        <v>6</v>
      </c>
      <c r="E4" s="31" t="s">
        <v>274</v>
      </c>
      <c r="F4" s="31" t="s">
        <v>435</v>
      </c>
      <c r="G4" s="31">
        <v>80</v>
      </c>
      <c r="H4" s="31">
        <v>80</v>
      </c>
      <c r="I4" s="119">
        <f t="shared" si="0"/>
        <v>80</v>
      </c>
      <c r="J4" s="35">
        <v>45293</v>
      </c>
      <c r="K4" s="35"/>
      <c r="L4" s="108"/>
      <c r="M4" s="106"/>
      <c r="N4" s="108"/>
      <c r="O4" s="108"/>
      <c r="P4" s="36">
        <v>21.16</v>
      </c>
      <c r="Q4" s="32">
        <f t="shared" ref="Q4:Q16" si="1">P4*H4</f>
        <v>1692.8</v>
      </c>
    </row>
    <row r="5" spans="1:54" s="33" customFormat="1" hidden="1" x14ac:dyDescent="0.25">
      <c r="A5" s="20" t="s">
        <v>32</v>
      </c>
      <c r="B5" s="20">
        <v>3671</v>
      </c>
      <c r="C5" s="20">
        <v>275323</v>
      </c>
      <c r="D5" s="20">
        <v>2</v>
      </c>
      <c r="E5" s="21" t="s">
        <v>296</v>
      </c>
      <c r="F5" s="21" t="s">
        <v>8</v>
      </c>
      <c r="G5" s="115">
        <f>153+35</f>
        <v>188</v>
      </c>
      <c r="H5" s="70">
        <v>40</v>
      </c>
      <c r="I5" s="131">
        <f t="shared" si="0"/>
        <v>40</v>
      </c>
      <c r="J5" s="22">
        <v>45269</v>
      </c>
      <c r="K5" s="35"/>
      <c r="L5" s="108"/>
      <c r="M5" s="106"/>
      <c r="N5" s="108"/>
      <c r="O5" s="108"/>
      <c r="P5" s="36">
        <v>390.17</v>
      </c>
      <c r="Q5" s="71">
        <f t="shared" si="1"/>
        <v>15606.800000000001</v>
      </c>
    </row>
    <row r="6" spans="1:54" s="33" customFormat="1" ht="14.25" hidden="1" customHeight="1" x14ac:dyDescent="0.25">
      <c r="A6" s="6" t="s">
        <v>16</v>
      </c>
      <c r="B6" s="6"/>
      <c r="C6" s="6">
        <v>37410</v>
      </c>
      <c r="D6" s="6">
        <v>1</v>
      </c>
      <c r="E6" s="120" t="s">
        <v>376</v>
      </c>
      <c r="F6" s="120" t="s">
        <v>377</v>
      </c>
      <c r="G6" s="192">
        <v>30</v>
      </c>
      <c r="H6" s="193">
        <v>30</v>
      </c>
      <c r="I6" s="136">
        <f t="shared" si="0"/>
        <v>30</v>
      </c>
      <c r="J6" s="123">
        <v>45275</v>
      </c>
      <c r="K6" s="4"/>
      <c r="L6" s="108"/>
      <c r="M6" s="106"/>
      <c r="N6" s="108"/>
      <c r="O6" s="108"/>
      <c r="P6" s="36">
        <v>68.400000000000006</v>
      </c>
      <c r="Q6" s="32">
        <f t="shared" si="1"/>
        <v>2052</v>
      </c>
    </row>
    <row r="7" spans="1:54" s="33" customFormat="1" ht="14.25" hidden="1" customHeight="1" x14ac:dyDescent="0.25">
      <c r="A7" s="5" t="s">
        <v>9</v>
      </c>
      <c r="B7" s="4">
        <v>3708</v>
      </c>
      <c r="C7" s="5">
        <v>5500007923</v>
      </c>
      <c r="D7" s="5" t="s">
        <v>6</v>
      </c>
      <c r="E7" s="31" t="s">
        <v>274</v>
      </c>
      <c r="F7" s="31" t="s">
        <v>435</v>
      </c>
      <c r="G7" s="115">
        <v>160</v>
      </c>
      <c r="H7" s="115">
        <v>160</v>
      </c>
      <c r="I7" s="119">
        <f t="shared" si="0"/>
        <v>160</v>
      </c>
      <c r="J7" s="35">
        <v>45306</v>
      </c>
      <c r="K7" s="35"/>
      <c r="L7" s="108"/>
      <c r="M7" s="106"/>
      <c r="N7" s="108"/>
      <c r="O7" s="108"/>
      <c r="P7" s="36">
        <v>21.16</v>
      </c>
      <c r="Q7" s="32">
        <f t="shared" si="1"/>
        <v>3385.6</v>
      </c>
    </row>
    <row r="8" spans="1:54" s="33" customFormat="1" ht="15" customHeight="1" x14ac:dyDescent="0.25">
      <c r="A8" s="5" t="s">
        <v>57</v>
      </c>
      <c r="B8" s="5">
        <v>3530</v>
      </c>
      <c r="C8" s="5">
        <v>183436</v>
      </c>
      <c r="D8" s="5">
        <v>4</v>
      </c>
      <c r="E8" s="31">
        <v>725301025</v>
      </c>
      <c r="F8" s="31" t="s">
        <v>167</v>
      </c>
      <c r="G8" s="115">
        <v>551</v>
      </c>
      <c r="H8" s="70">
        <v>551</v>
      </c>
      <c r="I8" s="119">
        <f t="shared" ref="I8:I39" si="2">H8-L8</f>
        <v>551</v>
      </c>
      <c r="J8" s="35">
        <v>45299</v>
      </c>
      <c r="K8" s="35"/>
      <c r="L8" s="108"/>
      <c r="M8" s="106"/>
      <c r="N8" s="108"/>
      <c r="O8" s="108"/>
      <c r="P8" s="36">
        <v>11.65</v>
      </c>
      <c r="Q8" s="71">
        <f t="shared" si="1"/>
        <v>6419.1500000000005</v>
      </c>
    </row>
    <row r="9" spans="1:54" s="33" customFormat="1" ht="15" customHeight="1" x14ac:dyDescent="0.25">
      <c r="A9" s="5" t="s">
        <v>57</v>
      </c>
      <c r="B9" s="5">
        <v>3557</v>
      </c>
      <c r="C9" s="5">
        <v>183791</v>
      </c>
      <c r="D9" s="38">
        <v>5</v>
      </c>
      <c r="E9" s="78">
        <v>725301025</v>
      </c>
      <c r="F9" s="78" t="s">
        <v>167</v>
      </c>
      <c r="G9" s="80">
        <v>1475</v>
      </c>
      <c r="H9" s="41">
        <v>1475</v>
      </c>
      <c r="I9" s="248">
        <f t="shared" si="2"/>
        <v>1475</v>
      </c>
      <c r="J9" s="126">
        <v>45351</v>
      </c>
      <c r="K9" s="127"/>
      <c r="L9" s="128"/>
      <c r="M9" s="127"/>
      <c r="N9" s="128"/>
      <c r="O9" s="128"/>
      <c r="P9" s="36">
        <v>11.65</v>
      </c>
      <c r="Q9" s="32">
        <f t="shared" si="1"/>
        <v>17183.75</v>
      </c>
    </row>
    <row r="10" spans="1:54" s="33" customFormat="1" ht="15" customHeight="1" x14ac:dyDescent="0.25">
      <c r="A10" s="5" t="s">
        <v>57</v>
      </c>
      <c r="B10" s="5">
        <v>3616</v>
      </c>
      <c r="C10" s="287">
        <v>184416</v>
      </c>
      <c r="D10" s="5">
        <v>8</v>
      </c>
      <c r="E10" s="31">
        <v>725392447</v>
      </c>
      <c r="F10" s="31" t="s">
        <v>280</v>
      </c>
      <c r="G10" s="80">
        <v>2500</v>
      </c>
      <c r="H10" s="287">
        <v>1500</v>
      </c>
      <c r="I10" s="119">
        <f t="shared" si="2"/>
        <v>1500</v>
      </c>
      <c r="J10" s="35">
        <v>45299</v>
      </c>
      <c r="K10" s="35"/>
      <c r="L10" s="4"/>
      <c r="M10" s="35"/>
      <c r="N10" s="4"/>
      <c r="O10" s="4"/>
      <c r="P10" s="93">
        <v>39.090000000000003</v>
      </c>
      <c r="Q10" s="32">
        <f t="shared" si="1"/>
        <v>58635.000000000007</v>
      </c>
    </row>
    <row r="11" spans="1:54" s="33" customFormat="1" ht="15" customHeight="1" x14ac:dyDescent="0.25">
      <c r="A11" s="5" t="s">
        <v>57</v>
      </c>
      <c r="B11" s="5">
        <v>3616</v>
      </c>
      <c r="C11" s="287">
        <v>184416</v>
      </c>
      <c r="D11" s="5">
        <v>5</v>
      </c>
      <c r="E11" s="31">
        <v>725392447</v>
      </c>
      <c r="F11" s="31" t="s">
        <v>280</v>
      </c>
      <c r="G11" s="80">
        <v>2500</v>
      </c>
      <c r="H11" s="287">
        <v>2000</v>
      </c>
      <c r="I11" s="119">
        <f t="shared" si="2"/>
        <v>2000</v>
      </c>
      <c r="J11" s="35">
        <v>45350</v>
      </c>
      <c r="K11" s="35"/>
      <c r="L11" s="4"/>
      <c r="M11" s="35"/>
      <c r="N11" s="4"/>
      <c r="O11" s="4"/>
      <c r="P11" s="93">
        <v>39.090000000000003</v>
      </c>
      <c r="Q11" s="32">
        <f t="shared" si="1"/>
        <v>78180</v>
      </c>
    </row>
    <row r="12" spans="1:54" s="33" customFormat="1" x14ac:dyDescent="0.25">
      <c r="A12" s="5" t="s">
        <v>57</v>
      </c>
      <c r="B12" s="5">
        <v>3616</v>
      </c>
      <c r="C12" s="287">
        <v>184416</v>
      </c>
      <c r="D12" s="5">
        <v>6</v>
      </c>
      <c r="E12" s="31">
        <v>725392448</v>
      </c>
      <c r="F12" s="31" t="s">
        <v>58</v>
      </c>
      <c r="G12" s="80">
        <v>100</v>
      </c>
      <c r="H12" s="287">
        <v>100</v>
      </c>
      <c r="I12" s="119">
        <f t="shared" si="2"/>
        <v>100</v>
      </c>
      <c r="J12" s="35">
        <v>45352</v>
      </c>
      <c r="K12" s="35"/>
      <c r="L12" s="4"/>
      <c r="M12" s="35"/>
      <c r="N12" s="4"/>
      <c r="O12" s="4"/>
      <c r="P12" s="93">
        <v>52.3</v>
      </c>
      <c r="Q12" s="32">
        <f t="shared" si="1"/>
        <v>5230</v>
      </c>
    </row>
    <row r="13" spans="1:54" s="33" customFormat="1" ht="15" customHeight="1" x14ac:dyDescent="0.25">
      <c r="A13" s="5" t="s">
        <v>57</v>
      </c>
      <c r="B13" s="5">
        <v>3619</v>
      </c>
      <c r="C13" s="5">
        <v>184417</v>
      </c>
      <c r="D13" s="16">
        <v>8</v>
      </c>
      <c r="E13" s="42" t="s">
        <v>59</v>
      </c>
      <c r="F13" s="42" t="s">
        <v>60</v>
      </c>
      <c r="G13" s="31">
        <v>1000</v>
      </c>
      <c r="H13" s="5">
        <v>1000</v>
      </c>
      <c r="I13" s="114">
        <f t="shared" si="2"/>
        <v>1000</v>
      </c>
      <c r="J13" s="43">
        <v>45320</v>
      </c>
      <c r="K13" s="43"/>
      <c r="L13" s="116"/>
      <c r="M13" s="43"/>
      <c r="N13" s="116"/>
      <c r="O13" s="116"/>
      <c r="P13" s="36">
        <v>9.02</v>
      </c>
      <c r="Q13" s="32">
        <f t="shared" si="1"/>
        <v>9020</v>
      </c>
    </row>
    <row r="14" spans="1:54" s="33" customFormat="1" ht="15" customHeight="1" x14ac:dyDescent="0.25">
      <c r="A14" s="5" t="s">
        <v>57</v>
      </c>
      <c r="B14" s="5">
        <v>3640</v>
      </c>
      <c r="C14" s="5">
        <v>184744</v>
      </c>
      <c r="D14" s="5">
        <v>1</v>
      </c>
      <c r="E14" s="31" t="s">
        <v>59</v>
      </c>
      <c r="F14" s="31" t="s">
        <v>60</v>
      </c>
      <c r="G14" s="80">
        <v>1000</v>
      </c>
      <c r="H14" s="41">
        <v>1000</v>
      </c>
      <c r="I14" s="114">
        <f t="shared" si="2"/>
        <v>1000</v>
      </c>
      <c r="J14" s="35">
        <v>45338</v>
      </c>
      <c r="K14" s="35"/>
      <c r="L14" s="4"/>
      <c r="M14" s="35"/>
      <c r="N14" s="4"/>
      <c r="O14" s="4"/>
      <c r="P14" s="36">
        <v>9.02</v>
      </c>
      <c r="Q14" s="32">
        <f t="shared" si="1"/>
        <v>9020</v>
      </c>
    </row>
    <row r="15" spans="1:54" s="33" customFormat="1" ht="15" customHeight="1" x14ac:dyDescent="0.25">
      <c r="A15" s="6" t="s">
        <v>57</v>
      </c>
      <c r="B15" s="190">
        <v>3676</v>
      </c>
      <c r="C15" s="6">
        <v>185169</v>
      </c>
      <c r="D15" s="6">
        <v>1</v>
      </c>
      <c r="E15" s="120" t="s">
        <v>61</v>
      </c>
      <c r="F15" s="120" t="s">
        <v>62</v>
      </c>
      <c r="G15" s="31">
        <v>100</v>
      </c>
      <c r="H15" s="5">
        <v>100</v>
      </c>
      <c r="I15" s="136">
        <f t="shared" si="2"/>
        <v>100</v>
      </c>
      <c r="J15" s="123">
        <v>45287</v>
      </c>
      <c r="K15" s="35"/>
      <c r="L15" s="4"/>
      <c r="M15" s="35"/>
      <c r="N15" s="4"/>
      <c r="O15" s="4"/>
      <c r="P15" s="36">
        <v>15.38</v>
      </c>
      <c r="Q15" s="32">
        <f t="shared" si="1"/>
        <v>1538</v>
      </c>
    </row>
    <row r="16" spans="1:54" s="33" customFormat="1" ht="15" customHeight="1" x14ac:dyDescent="0.25">
      <c r="A16" s="5" t="s">
        <v>57</v>
      </c>
      <c r="B16" s="4">
        <v>3678</v>
      </c>
      <c r="C16" s="5">
        <v>185328</v>
      </c>
      <c r="D16" s="5">
        <v>2</v>
      </c>
      <c r="E16" s="31" t="s">
        <v>61</v>
      </c>
      <c r="F16" s="31" t="s">
        <v>62</v>
      </c>
      <c r="G16" s="31">
        <v>100</v>
      </c>
      <c r="H16" s="5">
        <v>100</v>
      </c>
      <c r="I16" s="119">
        <f t="shared" si="2"/>
        <v>100</v>
      </c>
      <c r="J16" s="35">
        <v>45348</v>
      </c>
      <c r="K16" s="35"/>
      <c r="L16" s="4"/>
      <c r="M16" s="35"/>
      <c r="N16" s="4"/>
      <c r="O16" s="4"/>
      <c r="P16" s="36">
        <v>15.38</v>
      </c>
      <c r="Q16" s="32">
        <f t="shared" si="1"/>
        <v>1538</v>
      </c>
    </row>
    <row r="17" spans="1:17" s="33" customFormat="1" ht="15" customHeight="1" x14ac:dyDescent="0.25">
      <c r="A17" s="6" t="s">
        <v>57</v>
      </c>
      <c r="B17" s="6">
        <v>3656</v>
      </c>
      <c r="C17" s="6">
        <v>185089</v>
      </c>
      <c r="D17" s="6">
        <v>1</v>
      </c>
      <c r="E17" s="189" t="s">
        <v>63</v>
      </c>
      <c r="F17" s="189" t="s">
        <v>64</v>
      </c>
      <c r="G17" s="120">
        <v>350</v>
      </c>
      <c r="H17" s="6">
        <v>183</v>
      </c>
      <c r="I17" s="136">
        <f t="shared" si="2"/>
        <v>183</v>
      </c>
      <c r="J17" s="123">
        <v>45287</v>
      </c>
      <c r="K17" s="35"/>
      <c r="L17" s="4"/>
      <c r="M17" s="35"/>
      <c r="N17" s="4"/>
      <c r="O17" s="4"/>
      <c r="P17" s="36">
        <v>41.31</v>
      </c>
      <c r="Q17" s="32">
        <f>P17*G17</f>
        <v>14458.5</v>
      </c>
    </row>
    <row r="18" spans="1:17" s="33" customFormat="1" ht="15" customHeight="1" x14ac:dyDescent="0.25">
      <c r="A18" s="5" t="s">
        <v>57</v>
      </c>
      <c r="B18" s="5">
        <v>3676</v>
      </c>
      <c r="C18" s="5">
        <v>185169</v>
      </c>
      <c r="D18" s="5">
        <v>2</v>
      </c>
      <c r="E18" s="78" t="s">
        <v>63</v>
      </c>
      <c r="F18" s="78" t="s">
        <v>64</v>
      </c>
      <c r="G18" s="31">
        <v>600</v>
      </c>
      <c r="H18" s="5">
        <v>600</v>
      </c>
      <c r="I18" s="119">
        <f t="shared" si="2"/>
        <v>600</v>
      </c>
      <c r="J18" s="35">
        <v>45327</v>
      </c>
      <c r="K18" s="35"/>
      <c r="L18" s="4"/>
      <c r="M18" s="35"/>
      <c r="N18" s="4"/>
      <c r="O18" s="4"/>
      <c r="P18" s="36">
        <v>41.31</v>
      </c>
      <c r="Q18" s="32">
        <f>P18*G18</f>
        <v>24786</v>
      </c>
    </row>
    <row r="19" spans="1:17" s="33" customFormat="1" ht="15" customHeight="1" x14ac:dyDescent="0.25">
      <c r="A19" s="5" t="s">
        <v>57</v>
      </c>
      <c r="B19" s="5">
        <v>3619</v>
      </c>
      <c r="C19" s="5">
        <v>184417</v>
      </c>
      <c r="D19" s="5">
        <v>13</v>
      </c>
      <c r="E19" s="78" t="s">
        <v>65</v>
      </c>
      <c r="F19" s="78" t="s">
        <v>66</v>
      </c>
      <c r="G19" s="31">
        <v>300</v>
      </c>
      <c r="H19" s="5">
        <v>300</v>
      </c>
      <c r="I19" s="119">
        <f t="shared" si="2"/>
        <v>300</v>
      </c>
      <c r="J19" s="35">
        <v>45348</v>
      </c>
      <c r="K19" s="127"/>
      <c r="L19" s="128"/>
      <c r="M19" s="127"/>
      <c r="N19" s="128"/>
      <c r="O19" s="128"/>
      <c r="P19" s="94">
        <v>31.86</v>
      </c>
      <c r="Q19" s="72">
        <f t="shared" ref="Q19:Q50" si="3">P19*H19</f>
        <v>9558</v>
      </c>
    </row>
    <row r="20" spans="1:17" s="33" customFormat="1" ht="15" customHeight="1" x14ac:dyDescent="0.25">
      <c r="A20" s="5" t="s">
        <v>57</v>
      </c>
      <c r="B20" s="5">
        <v>3702</v>
      </c>
      <c r="C20" s="5">
        <v>185636</v>
      </c>
      <c r="D20" s="5">
        <v>2</v>
      </c>
      <c r="E20" s="78" t="s">
        <v>65</v>
      </c>
      <c r="F20" s="78" t="s">
        <v>66</v>
      </c>
      <c r="G20" s="31">
        <v>300</v>
      </c>
      <c r="H20" s="5">
        <v>300</v>
      </c>
      <c r="I20" s="119">
        <f t="shared" si="2"/>
        <v>300</v>
      </c>
      <c r="J20" s="35">
        <v>45381</v>
      </c>
      <c r="K20" s="127"/>
      <c r="L20" s="128"/>
      <c r="M20" s="127"/>
      <c r="N20" s="128"/>
      <c r="O20" s="128"/>
      <c r="P20" s="94">
        <v>31.86</v>
      </c>
      <c r="Q20" s="72">
        <f t="shared" si="3"/>
        <v>9558</v>
      </c>
    </row>
    <row r="21" spans="1:17" s="33" customFormat="1" ht="15" hidden="1" customHeight="1" x14ac:dyDescent="0.25">
      <c r="A21" s="5" t="s">
        <v>9</v>
      </c>
      <c r="B21" s="4">
        <v>3708</v>
      </c>
      <c r="C21" s="5">
        <v>5500007886</v>
      </c>
      <c r="D21" s="5" t="s">
        <v>6</v>
      </c>
      <c r="E21" s="78" t="s">
        <v>33</v>
      </c>
      <c r="F21" s="78" t="s">
        <v>436</v>
      </c>
      <c r="G21" s="31">
        <v>61</v>
      </c>
      <c r="H21" s="31">
        <v>61</v>
      </c>
      <c r="I21" s="119">
        <f t="shared" si="2"/>
        <v>61</v>
      </c>
      <c r="J21" s="35">
        <v>45293</v>
      </c>
      <c r="K21" s="35"/>
      <c r="L21" s="4"/>
      <c r="M21" s="35"/>
      <c r="N21" s="4"/>
      <c r="O21" s="4"/>
      <c r="P21" s="36">
        <v>14.6</v>
      </c>
      <c r="Q21" s="32">
        <f t="shared" si="3"/>
        <v>890.6</v>
      </c>
    </row>
    <row r="22" spans="1:17" s="33" customFormat="1" ht="15" hidden="1" customHeight="1" x14ac:dyDescent="0.25">
      <c r="A22" s="5" t="s">
        <v>9</v>
      </c>
      <c r="B22" s="4">
        <v>3708</v>
      </c>
      <c r="C22" s="5">
        <v>5500007886</v>
      </c>
      <c r="D22" s="5" t="s">
        <v>6</v>
      </c>
      <c r="E22" s="78" t="s">
        <v>33</v>
      </c>
      <c r="F22" s="78" t="s">
        <v>436</v>
      </c>
      <c r="G22" s="31">
        <v>74</v>
      </c>
      <c r="H22" s="31">
        <v>74</v>
      </c>
      <c r="I22" s="119">
        <f t="shared" si="2"/>
        <v>74</v>
      </c>
      <c r="J22" s="35">
        <v>45299</v>
      </c>
      <c r="K22" s="35"/>
      <c r="L22" s="4"/>
      <c r="M22" s="35"/>
      <c r="N22" s="4"/>
      <c r="O22" s="4"/>
      <c r="P22" s="36">
        <v>14.6</v>
      </c>
      <c r="Q22" s="32">
        <f t="shared" si="3"/>
        <v>1080.3999999999999</v>
      </c>
    </row>
    <row r="23" spans="1:17" s="33" customFormat="1" ht="15" hidden="1" customHeight="1" x14ac:dyDescent="0.25">
      <c r="A23" s="5" t="s">
        <v>9</v>
      </c>
      <c r="B23" s="4">
        <v>3708</v>
      </c>
      <c r="C23" s="5">
        <v>5500007886</v>
      </c>
      <c r="D23" s="5" t="s">
        <v>6</v>
      </c>
      <c r="E23" s="78" t="s">
        <v>33</v>
      </c>
      <c r="F23" s="78" t="s">
        <v>436</v>
      </c>
      <c r="G23" s="31">
        <v>52</v>
      </c>
      <c r="H23" s="31">
        <v>52</v>
      </c>
      <c r="I23" s="119">
        <f t="shared" si="2"/>
        <v>52</v>
      </c>
      <c r="J23" s="35">
        <v>45307</v>
      </c>
      <c r="K23" s="35"/>
      <c r="L23" s="4"/>
      <c r="M23" s="35"/>
      <c r="N23" s="4"/>
      <c r="O23" s="4"/>
      <c r="P23" s="36">
        <v>14.6</v>
      </c>
      <c r="Q23" s="32">
        <f t="shared" si="3"/>
        <v>759.19999999999993</v>
      </c>
    </row>
    <row r="24" spans="1:17" s="33" customFormat="1" ht="15" hidden="1" customHeight="1" x14ac:dyDescent="0.25">
      <c r="A24" s="5" t="s">
        <v>9</v>
      </c>
      <c r="B24" s="4">
        <v>3708</v>
      </c>
      <c r="C24" s="5">
        <v>5500007886</v>
      </c>
      <c r="D24" s="5" t="s">
        <v>6</v>
      </c>
      <c r="E24" s="78" t="s">
        <v>33</v>
      </c>
      <c r="F24" s="78" t="s">
        <v>436</v>
      </c>
      <c r="G24" s="31">
        <v>54</v>
      </c>
      <c r="H24" s="31">
        <v>54</v>
      </c>
      <c r="I24" s="119">
        <f t="shared" si="2"/>
        <v>54</v>
      </c>
      <c r="J24" s="35">
        <v>45313</v>
      </c>
      <c r="K24" s="35"/>
      <c r="L24" s="4"/>
      <c r="M24" s="35"/>
      <c r="N24" s="4"/>
      <c r="O24" s="4"/>
      <c r="P24" s="36">
        <v>14.6</v>
      </c>
      <c r="Q24" s="32">
        <f t="shared" si="3"/>
        <v>788.4</v>
      </c>
    </row>
    <row r="25" spans="1:17" s="33" customFormat="1" ht="15" hidden="1" customHeight="1" x14ac:dyDescent="0.25">
      <c r="A25" s="5" t="s">
        <v>9</v>
      </c>
      <c r="B25" s="4">
        <v>3708</v>
      </c>
      <c r="C25" s="5">
        <v>5500007886</v>
      </c>
      <c r="D25" s="5" t="s">
        <v>6</v>
      </c>
      <c r="E25" s="78" t="s">
        <v>33</v>
      </c>
      <c r="F25" s="78" t="s">
        <v>436</v>
      </c>
      <c r="G25" s="31">
        <v>79</v>
      </c>
      <c r="H25" s="31">
        <v>79</v>
      </c>
      <c r="I25" s="119">
        <f t="shared" si="2"/>
        <v>79</v>
      </c>
      <c r="J25" s="35">
        <v>45320</v>
      </c>
      <c r="K25" s="35"/>
      <c r="L25" s="4"/>
      <c r="M25" s="35"/>
      <c r="N25" s="4"/>
      <c r="O25" s="4"/>
      <c r="P25" s="36">
        <v>14.6</v>
      </c>
      <c r="Q25" s="32">
        <f t="shared" si="3"/>
        <v>1153.3999999999999</v>
      </c>
    </row>
    <row r="26" spans="1:17" s="33" customFormat="1" ht="15" hidden="1" customHeight="1" x14ac:dyDescent="0.25">
      <c r="A26" s="5" t="s">
        <v>9</v>
      </c>
      <c r="B26" s="4">
        <v>3708</v>
      </c>
      <c r="C26" s="5">
        <v>5500007921</v>
      </c>
      <c r="D26" s="5" t="s">
        <v>6</v>
      </c>
      <c r="E26" s="78" t="s">
        <v>30</v>
      </c>
      <c r="F26" s="78" t="s">
        <v>437</v>
      </c>
      <c r="G26" s="31">
        <v>50</v>
      </c>
      <c r="H26" s="31">
        <v>50</v>
      </c>
      <c r="I26" s="119">
        <f t="shared" si="2"/>
        <v>50</v>
      </c>
      <c r="J26" s="35">
        <v>45320</v>
      </c>
      <c r="K26" s="35"/>
      <c r="L26" s="4"/>
      <c r="M26" s="35"/>
      <c r="N26" s="4"/>
      <c r="O26" s="4"/>
      <c r="P26" s="36">
        <v>35.14</v>
      </c>
      <c r="Q26" s="32">
        <f t="shared" si="3"/>
        <v>1757</v>
      </c>
    </row>
    <row r="27" spans="1:17" s="33" customFormat="1" ht="15" hidden="1" customHeight="1" x14ac:dyDescent="0.25">
      <c r="A27" s="5" t="s">
        <v>9</v>
      </c>
      <c r="B27" s="4">
        <v>3708</v>
      </c>
      <c r="C27" s="5">
        <v>5500012550</v>
      </c>
      <c r="D27" s="5" t="s">
        <v>6</v>
      </c>
      <c r="E27" s="78" t="s">
        <v>36</v>
      </c>
      <c r="F27" s="78" t="s">
        <v>438</v>
      </c>
      <c r="G27" s="31">
        <v>50</v>
      </c>
      <c r="H27" s="31">
        <v>50</v>
      </c>
      <c r="I27" s="119">
        <f t="shared" si="2"/>
        <v>50</v>
      </c>
      <c r="J27" s="35">
        <v>45306</v>
      </c>
      <c r="K27" s="35"/>
      <c r="L27" s="4"/>
      <c r="M27" s="35"/>
      <c r="N27" s="4"/>
      <c r="O27" s="4"/>
      <c r="P27" s="36">
        <v>24.66</v>
      </c>
      <c r="Q27" s="32">
        <f t="shared" si="3"/>
        <v>1233</v>
      </c>
    </row>
    <row r="28" spans="1:17" s="33" customFormat="1" ht="15" hidden="1" customHeight="1" x14ac:dyDescent="0.25">
      <c r="A28" s="20" t="s">
        <v>9</v>
      </c>
      <c r="B28" s="20">
        <v>3615</v>
      </c>
      <c r="C28" s="20">
        <v>5500015214</v>
      </c>
      <c r="D28" s="20" t="s">
        <v>6</v>
      </c>
      <c r="E28" s="170" t="s">
        <v>22</v>
      </c>
      <c r="F28" s="170" t="s">
        <v>193</v>
      </c>
      <c r="G28" s="31">
        <v>180</v>
      </c>
      <c r="H28" s="5">
        <v>76</v>
      </c>
      <c r="I28" s="131">
        <f t="shared" si="2"/>
        <v>76</v>
      </c>
      <c r="J28" s="22">
        <v>45267</v>
      </c>
      <c r="K28" s="35"/>
      <c r="L28" s="4"/>
      <c r="M28" s="35"/>
      <c r="N28" s="4"/>
      <c r="O28" s="4"/>
      <c r="P28" s="36">
        <v>60.83</v>
      </c>
      <c r="Q28" s="32">
        <f t="shared" si="3"/>
        <v>4623.08</v>
      </c>
    </row>
    <row r="29" spans="1:17" s="33" customFormat="1" ht="15" hidden="1" customHeight="1" x14ac:dyDescent="0.25">
      <c r="A29" s="5" t="s">
        <v>9</v>
      </c>
      <c r="B29" s="5"/>
      <c r="C29" s="5">
        <v>5500015214</v>
      </c>
      <c r="D29" s="5" t="s">
        <v>6</v>
      </c>
      <c r="E29" s="78" t="s">
        <v>22</v>
      </c>
      <c r="F29" s="78" t="s">
        <v>193</v>
      </c>
      <c r="G29" s="31">
        <v>280</v>
      </c>
      <c r="H29" s="5">
        <v>280</v>
      </c>
      <c r="I29" s="119">
        <f t="shared" si="2"/>
        <v>280</v>
      </c>
      <c r="J29" s="35">
        <v>45295</v>
      </c>
      <c r="K29" s="35"/>
      <c r="L29" s="4"/>
      <c r="M29" s="35"/>
      <c r="N29" s="4"/>
      <c r="O29" s="4"/>
      <c r="P29" s="36">
        <v>60.83</v>
      </c>
      <c r="Q29" s="32">
        <f t="shared" si="3"/>
        <v>17032.399999999998</v>
      </c>
    </row>
    <row r="30" spans="1:17" s="33" customFormat="1" ht="15" hidden="1" customHeight="1" x14ac:dyDescent="0.25">
      <c r="A30" s="5" t="s">
        <v>9</v>
      </c>
      <c r="B30" s="5"/>
      <c r="C30" s="5">
        <v>5500015214</v>
      </c>
      <c r="D30" s="5" t="s">
        <v>6</v>
      </c>
      <c r="E30" s="31" t="s">
        <v>22</v>
      </c>
      <c r="F30" s="31" t="s">
        <v>193</v>
      </c>
      <c r="G30" s="31">
        <v>160</v>
      </c>
      <c r="H30" s="5">
        <v>160</v>
      </c>
      <c r="I30" s="119">
        <f t="shared" si="2"/>
        <v>160</v>
      </c>
      <c r="J30" s="35">
        <v>45320</v>
      </c>
      <c r="K30" s="35"/>
      <c r="L30" s="4"/>
      <c r="M30" s="35"/>
      <c r="N30" s="4"/>
      <c r="O30" s="4"/>
      <c r="P30" s="36">
        <v>60.83</v>
      </c>
      <c r="Q30" s="32">
        <f t="shared" si="3"/>
        <v>9732.7999999999993</v>
      </c>
    </row>
    <row r="31" spans="1:17" s="33" customFormat="1" ht="15" hidden="1" customHeight="1" x14ac:dyDescent="0.25">
      <c r="A31" s="20" t="s">
        <v>9</v>
      </c>
      <c r="B31" s="20">
        <v>3701</v>
      </c>
      <c r="C31" s="20">
        <v>4500078535</v>
      </c>
      <c r="D31" s="20">
        <v>10</v>
      </c>
      <c r="E31" s="21" t="s">
        <v>424</v>
      </c>
      <c r="F31" s="21" t="s">
        <v>425</v>
      </c>
      <c r="G31" s="120">
        <v>100</v>
      </c>
      <c r="H31" s="6">
        <v>84</v>
      </c>
      <c r="I31" s="131">
        <f t="shared" si="2"/>
        <v>84</v>
      </c>
      <c r="J31" s="22">
        <v>45280</v>
      </c>
      <c r="K31" s="35"/>
      <c r="L31" s="4"/>
      <c r="M31" s="35"/>
      <c r="N31" s="4"/>
      <c r="O31" s="4"/>
      <c r="P31" s="36">
        <v>47.88</v>
      </c>
      <c r="Q31" s="32">
        <f t="shared" si="3"/>
        <v>4021.92</v>
      </c>
    </row>
    <row r="32" spans="1:17" s="33" customFormat="1" ht="15" hidden="1" customHeight="1" x14ac:dyDescent="0.25">
      <c r="A32" s="182" t="s">
        <v>32</v>
      </c>
      <c r="B32" s="182" t="s">
        <v>38</v>
      </c>
      <c r="C32" s="182">
        <v>51000589</v>
      </c>
      <c r="D32" s="182" t="s">
        <v>6</v>
      </c>
      <c r="E32" s="185" t="s">
        <v>17</v>
      </c>
      <c r="F32" s="185" t="s">
        <v>8</v>
      </c>
      <c r="G32" s="185">
        <v>25</v>
      </c>
      <c r="H32" s="182">
        <v>25</v>
      </c>
      <c r="I32" s="131">
        <f t="shared" si="2"/>
        <v>25</v>
      </c>
      <c r="J32" s="171">
        <v>45271</v>
      </c>
      <c r="K32" s="35"/>
      <c r="L32" s="4"/>
      <c r="M32" s="35"/>
      <c r="N32" s="4"/>
      <c r="O32" s="4"/>
      <c r="P32" s="36">
        <v>27.01</v>
      </c>
      <c r="Q32" s="71">
        <f t="shared" si="3"/>
        <v>675.25</v>
      </c>
    </row>
    <row r="33" spans="1:17" s="33" customFormat="1" ht="15" hidden="1" customHeight="1" x14ac:dyDescent="0.25">
      <c r="A33" s="182" t="s">
        <v>32</v>
      </c>
      <c r="B33" s="182" t="s">
        <v>38</v>
      </c>
      <c r="C33" s="182">
        <v>51000589</v>
      </c>
      <c r="D33" s="182" t="s">
        <v>6</v>
      </c>
      <c r="E33" s="185" t="s">
        <v>239</v>
      </c>
      <c r="F33" s="185" t="s">
        <v>23</v>
      </c>
      <c r="G33" s="185">
        <v>57</v>
      </c>
      <c r="H33" s="182">
        <v>57</v>
      </c>
      <c r="I33" s="131">
        <f t="shared" si="2"/>
        <v>57</v>
      </c>
      <c r="J33" s="171">
        <v>45271</v>
      </c>
      <c r="K33" s="35"/>
      <c r="L33" s="4"/>
      <c r="M33" s="35"/>
      <c r="N33" s="4"/>
      <c r="O33" s="4"/>
      <c r="P33" s="36">
        <v>7.16</v>
      </c>
      <c r="Q33" s="71">
        <f t="shared" si="3"/>
        <v>408.12</v>
      </c>
    </row>
    <row r="34" spans="1:17" s="33" customFormat="1" ht="15" hidden="1" customHeight="1" x14ac:dyDescent="0.25">
      <c r="A34" s="5" t="s">
        <v>32</v>
      </c>
      <c r="B34" s="5">
        <v>3699</v>
      </c>
      <c r="C34" s="5">
        <v>275526</v>
      </c>
      <c r="D34" s="5">
        <v>1</v>
      </c>
      <c r="E34" s="31" t="s">
        <v>238</v>
      </c>
      <c r="F34" s="31" t="s">
        <v>8</v>
      </c>
      <c r="G34" s="185">
        <v>160</v>
      </c>
      <c r="H34" s="182">
        <v>160</v>
      </c>
      <c r="I34" s="119">
        <f t="shared" si="2"/>
        <v>160</v>
      </c>
      <c r="J34" s="35">
        <v>45299</v>
      </c>
      <c r="K34" s="35"/>
      <c r="L34" s="4"/>
      <c r="M34" s="35"/>
      <c r="N34" s="4"/>
      <c r="O34" s="4"/>
      <c r="P34" s="36">
        <v>48.89</v>
      </c>
      <c r="Q34" s="71">
        <f t="shared" si="3"/>
        <v>7822.4</v>
      </c>
    </row>
    <row r="35" spans="1:17" s="33" customFormat="1" ht="15" customHeight="1" x14ac:dyDescent="0.25">
      <c r="A35" s="5" t="s">
        <v>57</v>
      </c>
      <c r="B35" s="5">
        <v>3501</v>
      </c>
      <c r="C35" s="5">
        <v>182965</v>
      </c>
      <c r="D35" s="5">
        <v>6</v>
      </c>
      <c r="E35" s="31" t="s">
        <v>67</v>
      </c>
      <c r="F35" s="31" t="s">
        <v>68</v>
      </c>
      <c r="G35" s="31">
        <v>100</v>
      </c>
      <c r="H35" s="5">
        <v>100</v>
      </c>
      <c r="I35" s="119">
        <f t="shared" si="2"/>
        <v>100</v>
      </c>
      <c r="J35" s="35">
        <v>45350</v>
      </c>
      <c r="K35" s="35"/>
      <c r="L35" s="4"/>
      <c r="M35" s="35"/>
      <c r="N35" s="4"/>
      <c r="O35" s="4"/>
      <c r="P35" s="36">
        <v>34.200000000000003</v>
      </c>
      <c r="Q35" s="32">
        <f t="shared" si="3"/>
        <v>3420.0000000000005</v>
      </c>
    </row>
    <row r="36" spans="1:17" s="33" customFormat="1" ht="15" customHeight="1" x14ac:dyDescent="0.25">
      <c r="A36" s="6" t="s">
        <v>57</v>
      </c>
      <c r="B36" s="6">
        <v>3519</v>
      </c>
      <c r="C36" s="6">
        <v>183228</v>
      </c>
      <c r="D36" s="6">
        <v>2</v>
      </c>
      <c r="E36" s="120" t="s">
        <v>159</v>
      </c>
      <c r="F36" s="120" t="s">
        <v>160</v>
      </c>
      <c r="G36" s="120">
        <v>500</v>
      </c>
      <c r="H36" s="6">
        <v>500</v>
      </c>
      <c r="I36" s="136">
        <f t="shared" si="2"/>
        <v>500</v>
      </c>
      <c r="J36" s="123">
        <v>45289</v>
      </c>
      <c r="K36" s="127"/>
      <c r="L36" s="128"/>
      <c r="M36" s="127"/>
      <c r="N36" s="128"/>
      <c r="O36" s="128"/>
      <c r="P36" s="94">
        <v>13.7</v>
      </c>
      <c r="Q36" s="72">
        <f t="shared" si="3"/>
        <v>6850</v>
      </c>
    </row>
    <row r="37" spans="1:17" s="33" customFormat="1" ht="15" customHeight="1" x14ac:dyDescent="0.25">
      <c r="A37" s="5" t="s">
        <v>57</v>
      </c>
      <c r="B37" s="5">
        <v>3530</v>
      </c>
      <c r="C37" s="5">
        <v>183436</v>
      </c>
      <c r="D37" s="5">
        <v>3</v>
      </c>
      <c r="E37" s="31" t="s">
        <v>159</v>
      </c>
      <c r="F37" s="31" t="s">
        <v>160</v>
      </c>
      <c r="G37" s="31">
        <v>500</v>
      </c>
      <c r="H37" s="5">
        <v>500</v>
      </c>
      <c r="I37" s="119">
        <f t="shared" si="2"/>
        <v>500</v>
      </c>
      <c r="J37" s="35">
        <v>45351</v>
      </c>
      <c r="K37" s="35"/>
      <c r="L37" s="4"/>
      <c r="M37" s="35"/>
      <c r="N37" s="4"/>
      <c r="O37" s="4"/>
      <c r="P37" s="36">
        <v>13.7</v>
      </c>
      <c r="Q37" s="32">
        <f t="shared" si="3"/>
        <v>6850</v>
      </c>
    </row>
    <row r="38" spans="1:17" s="33" customFormat="1" ht="15" hidden="1" customHeight="1" x14ac:dyDescent="0.25">
      <c r="A38" s="5" t="s">
        <v>34</v>
      </c>
      <c r="B38" s="5" t="s">
        <v>38</v>
      </c>
      <c r="C38" s="5">
        <v>348410</v>
      </c>
      <c r="D38" s="5" t="s">
        <v>6</v>
      </c>
      <c r="E38" s="31" t="s">
        <v>39</v>
      </c>
      <c r="F38" s="31" t="s">
        <v>372</v>
      </c>
      <c r="G38" s="31">
        <v>3</v>
      </c>
      <c r="H38" s="5">
        <v>3</v>
      </c>
      <c r="I38" s="119">
        <f t="shared" si="2"/>
        <v>3</v>
      </c>
      <c r="J38" s="35">
        <v>45302</v>
      </c>
      <c r="K38" s="35"/>
      <c r="L38" s="4"/>
      <c r="M38" s="35"/>
      <c r="N38" s="4"/>
      <c r="O38" s="4"/>
      <c r="P38" s="36">
        <v>487</v>
      </c>
      <c r="Q38" s="32">
        <f t="shared" si="3"/>
        <v>1461</v>
      </c>
    </row>
    <row r="39" spans="1:17" s="33" customFormat="1" ht="15" hidden="1" customHeight="1" x14ac:dyDescent="0.25">
      <c r="A39" s="5" t="s">
        <v>34</v>
      </c>
      <c r="B39" s="5">
        <v>3685</v>
      </c>
      <c r="C39" s="5">
        <v>348410</v>
      </c>
      <c r="D39" s="5" t="s">
        <v>6</v>
      </c>
      <c r="E39" s="31" t="s">
        <v>373</v>
      </c>
      <c r="F39" s="31" t="s">
        <v>374</v>
      </c>
      <c r="G39" s="31">
        <v>3</v>
      </c>
      <c r="H39" s="5">
        <v>3</v>
      </c>
      <c r="I39" s="119">
        <f t="shared" si="2"/>
        <v>3</v>
      </c>
      <c r="J39" s="35">
        <v>45302</v>
      </c>
      <c r="K39" s="127"/>
      <c r="L39" s="128"/>
      <c r="M39" s="127"/>
      <c r="N39" s="128"/>
      <c r="O39" s="128"/>
      <c r="P39" s="94">
        <v>3391.78</v>
      </c>
      <c r="Q39" s="32">
        <f t="shared" si="3"/>
        <v>10175.34</v>
      </c>
    </row>
    <row r="40" spans="1:17" s="33" customFormat="1" ht="15.75" hidden="1" customHeight="1" x14ac:dyDescent="0.25">
      <c r="A40" s="5" t="s">
        <v>31</v>
      </c>
      <c r="B40" s="5">
        <v>3700</v>
      </c>
      <c r="C40" s="5">
        <v>100495</v>
      </c>
      <c r="D40" s="5">
        <v>3</v>
      </c>
      <c r="E40" s="31" t="s">
        <v>260</v>
      </c>
      <c r="F40" s="31" t="s">
        <v>24</v>
      </c>
      <c r="G40" s="31">
        <v>60</v>
      </c>
      <c r="H40" s="5">
        <v>60</v>
      </c>
      <c r="I40" s="114">
        <f t="shared" ref="I40:I71" si="4">H40-L40</f>
        <v>60</v>
      </c>
      <c r="J40" s="43">
        <v>45302</v>
      </c>
      <c r="K40" s="107"/>
      <c r="L40" s="109"/>
      <c r="M40" s="107"/>
      <c r="N40" s="109"/>
      <c r="O40" s="109"/>
      <c r="P40" s="74">
        <v>23.77</v>
      </c>
      <c r="Q40" s="32">
        <f t="shared" si="3"/>
        <v>1426.2</v>
      </c>
    </row>
    <row r="41" spans="1:17" s="33" customFormat="1" ht="15" hidden="1" customHeight="1" x14ac:dyDescent="0.25">
      <c r="A41" s="5" t="s">
        <v>31</v>
      </c>
      <c r="B41" s="5">
        <v>3700</v>
      </c>
      <c r="C41" s="5">
        <v>100495</v>
      </c>
      <c r="D41" s="5">
        <v>2</v>
      </c>
      <c r="E41" s="42" t="s">
        <v>423</v>
      </c>
      <c r="F41" s="42" t="s">
        <v>164</v>
      </c>
      <c r="G41" s="31">
        <v>160</v>
      </c>
      <c r="H41" s="5">
        <v>160</v>
      </c>
      <c r="I41" s="114">
        <f t="shared" si="4"/>
        <v>160</v>
      </c>
      <c r="J41" s="43">
        <v>45302</v>
      </c>
      <c r="K41" s="107"/>
      <c r="L41" s="109"/>
      <c r="M41" s="107"/>
      <c r="N41" s="109"/>
      <c r="O41" s="109"/>
      <c r="P41" s="74">
        <v>85.44</v>
      </c>
      <c r="Q41" s="32">
        <f t="shared" si="3"/>
        <v>13670.4</v>
      </c>
    </row>
    <row r="42" spans="1:17" s="33" customFormat="1" ht="16.5" hidden="1" customHeight="1" x14ac:dyDescent="0.25">
      <c r="A42" s="5" t="s">
        <v>31</v>
      </c>
      <c r="B42" s="5">
        <v>3700</v>
      </c>
      <c r="C42" s="5">
        <v>100495</v>
      </c>
      <c r="D42" s="5">
        <v>1</v>
      </c>
      <c r="E42" s="31" t="s">
        <v>263</v>
      </c>
      <c r="F42" s="31" t="s">
        <v>164</v>
      </c>
      <c r="G42" s="31">
        <v>380</v>
      </c>
      <c r="H42" s="5">
        <v>380</v>
      </c>
      <c r="I42" s="114">
        <f t="shared" si="4"/>
        <v>380</v>
      </c>
      <c r="J42" s="35">
        <v>45302</v>
      </c>
      <c r="K42" s="107"/>
      <c r="L42" s="109"/>
      <c r="M42" s="107"/>
      <c r="N42" s="109"/>
      <c r="O42" s="109"/>
      <c r="P42" s="36">
        <v>60.96</v>
      </c>
      <c r="Q42" s="32">
        <f t="shared" si="3"/>
        <v>23164.799999999999</v>
      </c>
    </row>
    <row r="43" spans="1:17" s="33" customFormat="1" ht="16.5" hidden="1" customHeight="1" x14ac:dyDescent="0.25">
      <c r="A43" s="5" t="s">
        <v>32</v>
      </c>
      <c r="B43" s="4">
        <v>3669</v>
      </c>
      <c r="C43" s="5">
        <v>51000589</v>
      </c>
      <c r="D43" s="5" t="s">
        <v>6</v>
      </c>
      <c r="E43" s="31" t="s">
        <v>344</v>
      </c>
      <c r="F43" s="31" t="s">
        <v>23</v>
      </c>
      <c r="G43" s="115">
        <v>200</v>
      </c>
      <c r="H43" s="70">
        <v>200</v>
      </c>
      <c r="I43" s="114">
        <f t="shared" si="4"/>
        <v>200</v>
      </c>
      <c r="J43" s="35">
        <v>45306</v>
      </c>
      <c r="K43" s="107"/>
      <c r="L43" s="109"/>
      <c r="M43" s="107"/>
      <c r="N43" s="109"/>
      <c r="O43" s="109"/>
      <c r="P43" s="36">
        <v>6.75</v>
      </c>
      <c r="Q43" s="32">
        <f t="shared" si="3"/>
        <v>1350</v>
      </c>
    </row>
    <row r="44" spans="1:17" s="33" customFormat="1" ht="16.5" hidden="1" customHeight="1" x14ac:dyDescent="0.25">
      <c r="A44" s="5" t="s">
        <v>32</v>
      </c>
      <c r="B44" s="5">
        <v>3644</v>
      </c>
      <c r="C44" s="5">
        <v>51000589</v>
      </c>
      <c r="D44" s="5" t="s">
        <v>6</v>
      </c>
      <c r="E44" s="31" t="s">
        <v>18</v>
      </c>
      <c r="F44" s="31" t="s">
        <v>24</v>
      </c>
      <c r="G44" s="115">
        <v>100</v>
      </c>
      <c r="H44" s="70">
        <v>100</v>
      </c>
      <c r="I44" s="114">
        <f t="shared" si="4"/>
        <v>100</v>
      </c>
      <c r="J44" s="35">
        <v>45306</v>
      </c>
      <c r="K44" s="107"/>
      <c r="L44" s="109"/>
      <c r="M44" s="107"/>
      <c r="N44" s="109"/>
      <c r="O44" s="109"/>
      <c r="P44" s="36">
        <v>137.5</v>
      </c>
      <c r="Q44" s="32">
        <f t="shared" si="3"/>
        <v>13750</v>
      </c>
    </row>
    <row r="45" spans="1:17" s="33" customFormat="1" ht="15" hidden="1" customHeight="1" x14ac:dyDescent="0.25">
      <c r="A45" s="5" t="s">
        <v>32</v>
      </c>
      <c r="B45" s="4">
        <v>3669</v>
      </c>
      <c r="C45" s="5">
        <v>51000589</v>
      </c>
      <c r="D45" s="5" t="s">
        <v>6</v>
      </c>
      <c r="E45" s="31" t="s">
        <v>37</v>
      </c>
      <c r="F45" s="31" t="s">
        <v>8</v>
      </c>
      <c r="G45" s="115">
        <v>100</v>
      </c>
      <c r="H45" s="70">
        <v>100</v>
      </c>
      <c r="I45" s="114">
        <f t="shared" si="4"/>
        <v>100</v>
      </c>
      <c r="J45" s="35">
        <v>45306</v>
      </c>
      <c r="K45" s="107"/>
      <c r="L45" s="109"/>
      <c r="M45" s="107"/>
      <c r="N45" s="109"/>
      <c r="O45" s="109"/>
      <c r="P45" s="36">
        <v>15.61</v>
      </c>
      <c r="Q45" s="32">
        <f t="shared" si="3"/>
        <v>1561</v>
      </c>
    </row>
    <row r="46" spans="1:17" s="33" customFormat="1" ht="15" hidden="1" customHeight="1" x14ac:dyDescent="0.25">
      <c r="A46" s="5" t="s">
        <v>32</v>
      </c>
      <c r="B46" s="5">
        <v>3669</v>
      </c>
      <c r="C46" s="5">
        <v>51000589</v>
      </c>
      <c r="D46" s="5" t="s">
        <v>6</v>
      </c>
      <c r="E46" s="31" t="s">
        <v>241</v>
      </c>
      <c r="F46" s="31" t="s">
        <v>8</v>
      </c>
      <c r="G46" s="115">
        <v>109</v>
      </c>
      <c r="H46" s="70">
        <v>109</v>
      </c>
      <c r="I46" s="114">
        <f t="shared" si="4"/>
        <v>109</v>
      </c>
      <c r="J46" s="35">
        <v>45306</v>
      </c>
      <c r="K46" s="107"/>
      <c r="L46" s="109"/>
      <c r="M46" s="107"/>
      <c r="N46" s="109"/>
      <c r="O46" s="109"/>
      <c r="P46" s="36">
        <v>31.12</v>
      </c>
      <c r="Q46" s="32">
        <f t="shared" si="3"/>
        <v>3392.08</v>
      </c>
    </row>
    <row r="47" spans="1:17" s="33" customFormat="1" ht="15" hidden="1" customHeight="1" x14ac:dyDescent="0.25">
      <c r="A47" s="5" t="s">
        <v>32</v>
      </c>
      <c r="B47" s="5">
        <v>3669</v>
      </c>
      <c r="C47" s="5">
        <v>51000589</v>
      </c>
      <c r="D47" s="5" t="s">
        <v>6</v>
      </c>
      <c r="E47" s="31" t="s">
        <v>242</v>
      </c>
      <c r="F47" s="31" t="s">
        <v>8</v>
      </c>
      <c r="G47" s="115">
        <v>105</v>
      </c>
      <c r="H47" s="70">
        <v>105</v>
      </c>
      <c r="I47" s="114">
        <f t="shared" si="4"/>
        <v>105</v>
      </c>
      <c r="J47" s="35">
        <v>45306</v>
      </c>
      <c r="K47" s="107"/>
      <c r="L47" s="109"/>
      <c r="M47" s="107"/>
      <c r="N47" s="109"/>
      <c r="O47" s="109"/>
      <c r="P47" s="36">
        <v>43.75</v>
      </c>
      <c r="Q47" s="32">
        <f t="shared" si="3"/>
        <v>4593.75</v>
      </c>
    </row>
    <row r="48" spans="1:17" s="33" customFormat="1" ht="15" hidden="1" customHeight="1" x14ac:dyDescent="0.25">
      <c r="A48" s="5" t="s">
        <v>32</v>
      </c>
      <c r="B48" s="5">
        <v>3644</v>
      </c>
      <c r="C48" s="5">
        <v>51000589</v>
      </c>
      <c r="D48" s="5" t="s">
        <v>6</v>
      </c>
      <c r="E48" s="31" t="s">
        <v>269</v>
      </c>
      <c r="F48" s="31" t="s">
        <v>8</v>
      </c>
      <c r="G48" s="115">
        <v>100</v>
      </c>
      <c r="H48" s="70">
        <v>100</v>
      </c>
      <c r="I48" s="114">
        <f t="shared" si="4"/>
        <v>100</v>
      </c>
      <c r="J48" s="35">
        <v>45306</v>
      </c>
      <c r="K48" s="107"/>
      <c r="L48" s="109"/>
      <c r="M48" s="107"/>
      <c r="N48" s="109"/>
      <c r="O48" s="109"/>
      <c r="P48" s="36">
        <v>181.64</v>
      </c>
      <c r="Q48" s="32">
        <f t="shared" si="3"/>
        <v>18164</v>
      </c>
    </row>
    <row r="49" spans="1:18" s="33" customFormat="1" ht="15" hidden="1" customHeight="1" x14ac:dyDescent="0.25">
      <c r="A49" s="5" t="s">
        <v>32</v>
      </c>
      <c r="B49" s="5">
        <v>3674</v>
      </c>
      <c r="C49" s="5">
        <v>51000589</v>
      </c>
      <c r="D49" s="5" t="s">
        <v>6</v>
      </c>
      <c r="E49" s="31" t="s">
        <v>350</v>
      </c>
      <c r="F49" s="31" t="s">
        <v>354</v>
      </c>
      <c r="G49" s="115">
        <v>100</v>
      </c>
      <c r="H49" s="70">
        <v>100</v>
      </c>
      <c r="I49" s="114">
        <f t="shared" si="4"/>
        <v>100</v>
      </c>
      <c r="J49" s="35">
        <v>45306</v>
      </c>
      <c r="K49" s="107"/>
      <c r="L49" s="109"/>
      <c r="M49" s="107"/>
      <c r="N49" s="109"/>
      <c r="O49" s="109"/>
      <c r="P49" s="36">
        <v>15.15</v>
      </c>
      <c r="Q49" s="32">
        <f t="shared" si="3"/>
        <v>1515</v>
      </c>
    </row>
    <row r="50" spans="1:18" s="33" customFormat="1" ht="15" hidden="1" customHeight="1" x14ac:dyDescent="0.25">
      <c r="A50" s="5" t="s">
        <v>32</v>
      </c>
      <c r="B50" s="5">
        <v>3677</v>
      </c>
      <c r="C50" s="5">
        <v>51000589</v>
      </c>
      <c r="D50" s="5" t="s">
        <v>6</v>
      </c>
      <c r="E50" s="31" t="s">
        <v>351</v>
      </c>
      <c r="F50" s="31" t="s">
        <v>356</v>
      </c>
      <c r="G50" s="115">
        <v>100</v>
      </c>
      <c r="H50" s="70">
        <v>100</v>
      </c>
      <c r="I50" s="114">
        <f t="shared" si="4"/>
        <v>100</v>
      </c>
      <c r="J50" s="35">
        <v>45306</v>
      </c>
      <c r="K50" s="107"/>
      <c r="L50" s="109"/>
      <c r="M50" s="107"/>
      <c r="N50" s="109"/>
      <c r="O50" s="109"/>
      <c r="P50" s="36">
        <v>48.73</v>
      </c>
      <c r="Q50" s="32">
        <f t="shared" si="3"/>
        <v>4873</v>
      </c>
    </row>
    <row r="51" spans="1:18" s="33" customFormat="1" ht="15" hidden="1" customHeight="1" x14ac:dyDescent="0.25">
      <c r="A51" s="5" t="s">
        <v>32</v>
      </c>
      <c r="B51" s="5">
        <v>3677</v>
      </c>
      <c r="C51" s="5">
        <v>51000589</v>
      </c>
      <c r="D51" s="5" t="s">
        <v>6</v>
      </c>
      <c r="E51" s="31" t="s">
        <v>244</v>
      </c>
      <c r="F51" s="31" t="s">
        <v>356</v>
      </c>
      <c r="G51" s="115">
        <v>100</v>
      </c>
      <c r="H51" s="70">
        <v>100</v>
      </c>
      <c r="I51" s="114">
        <f t="shared" si="4"/>
        <v>100</v>
      </c>
      <c r="J51" s="35">
        <v>45306</v>
      </c>
      <c r="K51" s="107"/>
      <c r="L51" s="109"/>
      <c r="M51" s="107"/>
      <c r="N51" s="109"/>
      <c r="O51" s="109"/>
      <c r="P51" s="36">
        <v>43.37</v>
      </c>
      <c r="Q51" s="32">
        <f t="shared" ref="Q51:Q82" si="5">P51*H51</f>
        <v>4337</v>
      </c>
    </row>
    <row r="52" spans="1:18" s="33" customFormat="1" ht="15" hidden="1" customHeight="1" x14ac:dyDescent="0.25">
      <c r="A52" s="5" t="s">
        <v>32</v>
      </c>
      <c r="B52" s="5">
        <v>3674</v>
      </c>
      <c r="C52" s="5">
        <v>51000589</v>
      </c>
      <c r="D52" s="5" t="s">
        <v>6</v>
      </c>
      <c r="E52" s="31" t="s">
        <v>353</v>
      </c>
      <c r="F52" s="31" t="s">
        <v>8</v>
      </c>
      <c r="G52" s="115">
        <v>100</v>
      </c>
      <c r="H52" s="70">
        <v>100</v>
      </c>
      <c r="I52" s="114">
        <f t="shared" si="4"/>
        <v>100</v>
      </c>
      <c r="J52" s="35">
        <v>45306</v>
      </c>
      <c r="K52" s="107"/>
      <c r="L52" s="109"/>
      <c r="M52" s="107"/>
      <c r="N52" s="109"/>
      <c r="O52" s="109"/>
      <c r="P52" s="36">
        <v>30.06</v>
      </c>
      <c r="Q52" s="32">
        <f t="shared" si="5"/>
        <v>3006</v>
      </c>
    </row>
    <row r="53" spans="1:18" s="33" customFormat="1" ht="15" hidden="1" customHeight="1" x14ac:dyDescent="0.25">
      <c r="A53" s="5" t="s">
        <v>32</v>
      </c>
      <c r="B53" s="5">
        <v>3674</v>
      </c>
      <c r="C53" s="5">
        <v>51000589</v>
      </c>
      <c r="D53" s="5" t="s">
        <v>6</v>
      </c>
      <c r="E53" s="31" t="s">
        <v>20</v>
      </c>
      <c r="F53" s="31" t="s">
        <v>355</v>
      </c>
      <c r="G53" s="115">
        <v>392</v>
      </c>
      <c r="H53" s="70">
        <v>392</v>
      </c>
      <c r="I53" s="114">
        <f t="shared" si="4"/>
        <v>392</v>
      </c>
      <c r="J53" s="35">
        <v>45306</v>
      </c>
      <c r="K53" s="107"/>
      <c r="L53" s="109"/>
      <c r="M53" s="107"/>
      <c r="N53" s="109"/>
      <c r="O53" s="109"/>
      <c r="P53" s="36">
        <v>9.23</v>
      </c>
      <c r="Q53" s="32">
        <f t="shared" si="5"/>
        <v>3618.1600000000003</v>
      </c>
    </row>
    <row r="54" spans="1:18" s="33" customFormat="1" ht="15" hidden="1" customHeight="1" x14ac:dyDescent="0.25">
      <c r="A54" s="5" t="s">
        <v>32</v>
      </c>
      <c r="B54" s="4" t="s">
        <v>38</v>
      </c>
      <c r="C54" s="5">
        <v>51000589</v>
      </c>
      <c r="D54" s="5" t="s">
        <v>6</v>
      </c>
      <c r="E54" s="1" t="s">
        <v>28</v>
      </c>
      <c r="F54" s="1" t="s">
        <v>41</v>
      </c>
      <c r="G54" s="292">
        <v>100</v>
      </c>
      <c r="H54" s="70">
        <v>100</v>
      </c>
      <c r="I54" s="2">
        <f t="shared" si="4"/>
        <v>100</v>
      </c>
      <c r="J54" s="3">
        <v>45306</v>
      </c>
      <c r="K54" s="3"/>
      <c r="L54" s="293"/>
      <c r="M54" s="294"/>
      <c r="N54" s="293"/>
      <c r="O54" s="293"/>
      <c r="P54" s="28">
        <v>4.25</v>
      </c>
      <c r="Q54" s="32">
        <f t="shared" si="5"/>
        <v>425</v>
      </c>
    </row>
    <row r="55" spans="1:18" s="33" customFormat="1" ht="15" hidden="1" customHeight="1" x14ac:dyDescent="0.25">
      <c r="A55" s="5" t="s">
        <v>32</v>
      </c>
      <c r="B55" s="5">
        <v>3706</v>
      </c>
      <c r="C55" s="5">
        <v>51000589</v>
      </c>
      <c r="D55" s="5" t="s">
        <v>6</v>
      </c>
      <c r="E55" s="31" t="s">
        <v>243</v>
      </c>
      <c r="F55" s="31" t="s">
        <v>8</v>
      </c>
      <c r="G55" s="31">
        <v>271</v>
      </c>
      <c r="H55" s="5">
        <v>271</v>
      </c>
      <c r="I55" s="119">
        <f t="shared" si="4"/>
        <v>271</v>
      </c>
      <c r="J55" s="35">
        <v>45317</v>
      </c>
      <c r="K55" s="107"/>
      <c r="L55" s="109"/>
      <c r="M55" s="107"/>
      <c r="N55" s="109"/>
      <c r="O55" s="109"/>
      <c r="P55" s="36">
        <v>313.33</v>
      </c>
      <c r="Q55" s="32">
        <f t="shared" si="5"/>
        <v>84912.43</v>
      </c>
    </row>
    <row r="56" spans="1:18" s="33" customFormat="1" ht="15" hidden="1" customHeight="1" x14ac:dyDescent="0.25">
      <c r="A56" s="5" t="s">
        <v>32</v>
      </c>
      <c r="B56" s="5" t="s">
        <v>38</v>
      </c>
      <c r="C56" s="5">
        <v>51000589</v>
      </c>
      <c r="D56" s="5" t="s">
        <v>6</v>
      </c>
      <c r="E56" s="31" t="s">
        <v>19</v>
      </c>
      <c r="F56" s="31" t="s">
        <v>8</v>
      </c>
      <c r="G56" s="31">
        <v>100</v>
      </c>
      <c r="H56" s="5">
        <v>100</v>
      </c>
      <c r="I56" s="119">
        <f t="shared" si="4"/>
        <v>100</v>
      </c>
      <c r="J56" s="35">
        <v>45324</v>
      </c>
      <c r="K56" s="35"/>
      <c r="L56" s="4"/>
      <c r="M56" s="35"/>
      <c r="N56" s="4"/>
      <c r="O56" s="4"/>
      <c r="P56" s="36">
        <v>11.59</v>
      </c>
      <c r="Q56" s="32">
        <f t="shared" si="5"/>
        <v>1159</v>
      </c>
    </row>
    <row r="57" spans="1:18" s="33" customFormat="1" ht="15" customHeight="1" x14ac:dyDescent="0.25">
      <c r="A57" s="5" t="s">
        <v>57</v>
      </c>
      <c r="B57" s="5">
        <v>3504</v>
      </c>
      <c r="C57" s="5">
        <v>182964</v>
      </c>
      <c r="D57" s="5">
        <v>4</v>
      </c>
      <c r="E57" s="31" t="s">
        <v>159</v>
      </c>
      <c r="F57" s="31" t="s">
        <v>160</v>
      </c>
      <c r="G57" s="115">
        <v>500</v>
      </c>
      <c r="H57" s="70">
        <v>500</v>
      </c>
      <c r="I57" s="114">
        <f t="shared" si="4"/>
        <v>500</v>
      </c>
      <c r="J57" s="35">
        <v>45351</v>
      </c>
      <c r="K57" s="35"/>
      <c r="L57" s="4"/>
      <c r="M57" s="35"/>
      <c r="N57" s="4"/>
      <c r="O57" s="4"/>
      <c r="P57" s="36">
        <v>13.7</v>
      </c>
      <c r="Q57" s="32">
        <f t="shared" si="5"/>
        <v>6850</v>
      </c>
    </row>
    <row r="58" spans="1:18" s="33" customFormat="1" ht="15" customHeight="1" x14ac:dyDescent="0.25">
      <c r="A58" s="5" t="s">
        <v>57</v>
      </c>
      <c r="B58" s="5">
        <v>3702</v>
      </c>
      <c r="C58" s="5">
        <v>185636</v>
      </c>
      <c r="D58" s="5">
        <v>3</v>
      </c>
      <c r="E58" s="31" t="s">
        <v>69</v>
      </c>
      <c r="F58" s="42" t="s">
        <v>70</v>
      </c>
      <c r="G58" s="115">
        <v>250</v>
      </c>
      <c r="H58" s="70">
        <v>250</v>
      </c>
      <c r="I58" s="114">
        <f t="shared" si="4"/>
        <v>250</v>
      </c>
      <c r="J58" s="35">
        <v>45325</v>
      </c>
      <c r="K58" s="35"/>
      <c r="L58" s="4"/>
      <c r="M58" s="35"/>
      <c r="N58" s="4"/>
      <c r="O58" s="4"/>
      <c r="P58" s="36">
        <v>5.27</v>
      </c>
      <c r="Q58" s="32">
        <f t="shared" si="5"/>
        <v>1317.5</v>
      </c>
    </row>
    <row r="59" spans="1:18" s="33" customFormat="1" ht="15" customHeight="1" x14ac:dyDescent="0.25">
      <c r="A59" s="5" t="s">
        <v>57</v>
      </c>
      <c r="B59" s="5">
        <v>3619</v>
      </c>
      <c r="C59" s="5">
        <v>184417</v>
      </c>
      <c r="D59" s="5">
        <v>14</v>
      </c>
      <c r="E59" s="31" t="s">
        <v>69</v>
      </c>
      <c r="F59" s="31" t="s">
        <v>70</v>
      </c>
      <c r="G59" s="115">
        <v>69</v>
      </c>
      <c r="H59" s="70">
        <v>69</v>
      </c>
      <c r="I59" s="114">
        <f t="shared" si="4"/>
        <v>69</v>
      </c>
      <c r="J59" s="35">
        <v>45345</v>
      </c>
      <c r="K59" s="35"/>
      <c r="L59" s="4"/>
      <c r="M59" s="35"/>
      <c r="N59" s="4"/>
      <c r="O59" s="4"/>
      <c r="P59" s="36">
        <v>5.27</v>
      </c>
      <c r="Q59" s="32">
        <f t="shared" si="5"/>
        <v>363.63</v>
      </c>
    </row>
    <row r="60" spans="1:18" s="37" customFormat="1" ht="15" customHeight="1" x14ac:dyDescent="0.25">
      <c r="A60" s="2" t="s">
        <v>57</v>
      </c>
      <c r="B60" s="4">
        <v>3712</v>
      </c>
      <c r="C60" s="2">
        <v>185636</v>
      </c>
      <c r="D60" s="2">
        <v>3</v>
      </c>
      <c r="E60" s="1" t="s">
        <v>69</v>
      </c>
      <c r="F60" s="1" t="s">
        <v>70</v>
      </c>
      <c r="G60" s="300">
        <v>250</v>
      </c>
      <c r="H60" s="41">
        <f>G60</f>
        <v>250</v>
      </c>
      <c r="I60" s="114">
        <f t="shared" si="4"/>
        <v>250</v>
      </c>
      <c r="J60" s="3"/>
      <c r="K60" s="3"/>
      <c r="L60" s="67"/>
      <c r="M60" s="3"/>
      <c r="N60" s="67"/>
      <c r="O60" s="67"/>
      <c r="P60" s="28">
        <v>5.27</v>
      </c>
      <c r="Q60" s="32">
        <f t="shared" si="5"/>
        <v>1317.5</v>
      </c>
      <c r="R60" s="33"/>
    </row>
    <row r="61" spans="1:18" s="37" customFormat="1" ht="15" customHeight="1" x14ac:dyDescent="0.25">
      <c r="A61" s="5" t="s">
        <v>57</v>
      </c>
      <c r="B61" s="5">
        <v>3678</v>
      </c>
      <c r="C61" s="5">
        <v>185328</v>
      </c>
      <c r="D61" s="5">
        <v>3</v>
      </c>
      <c r="E61" s="78" t="s">
        <v>71</v>
      </c>
      <c r="F61" s="78" t="s">
        <v>72</v>
      </c>
      <c r="G61" s="80">
        <v>240</v>
      </c>
      <c r="H61" s="41">
        <v>240</v>
      </c>
      <c r="I61" s="125">
        <f t="shared" si="4"/>
        <v>240</v>
      </c>
      <c r="J61" s="35">
        <v>45321</v>
      </c>
      <c r="K61" s="35"/>
      <c r="L61" s="4"/>
      <c r="M61" s="35"/>
      <c r="N61" s="4"/>
      <c r="O61" s="4"/>
      <c r="P61" s="36">
        <v>12.4</v>
      </c>
      <c r="Q61" s="32">
        <f t="shared" si="5"/>
        <v>2976</v>
      </c>
      <c r="R61" s="33"/>
    </row>
    <row r="62" spans="1:18" s="33" customFormat="1" ht="15" customHeight="1" x14ac:dyDescent="0.25">
      <c r="A62" s="5" t="s">
        <v>57</v>
      </c>
      <c r="B62" s="5">
        <v>3664</v>
      </c>
      <c r="C62" s="5">
        <v>184857</v>
      </c>
      <c r="D62" s="5">
        <v>2</v>
      </c>
      <c r="E62" s="31" t="s">
        <v>71</v>
      </c>
      <c r="F62" s="31" t="s">
        <v>72</v>
      </c>
      <c r="G62" s="80">
        <v>100</v>
      </c>
      <c r="H62" s="41">
        <v>100</v>
      </c>
      <c r="I62" s="119">
        <f t="shared" si="4"/>
        <v>100</v>
      </c>
      <c r="J62" s="35">
        <v>45322</v>
      </c>
      <c r="K62" s="35"/>
      <c r="L62" s="4"/>
      <c r="M62" s="35"/>
      <c r="N62" s="4"/>
      <c r="O62" s="4"/>
      <c r="P62" s="36">
        <v>12.4</v>
      </c>
      <c r="Q62" s="32">
        <f t="shared" si="5"/>
        <v>1240</v>
      </c>
    </row>
    <row r="63" spans="1:18" s="37" customFormat="1" ht="15" customHeight="1" x14ac:dyDescent="0.25">
      <c r="A63" s="5" t="s">
        <v>57</v>
      </c>
      <c r="B63" s="5">
        <v>3676</v>
      </c>
      <c r="C63" s="5">
        <v>185769</v>
      </c>
      <c r="D63" s="5">
        <v>3</v>
      </c>
      <c r="E63" s="42" t="s">
        <v>71</v>
      </c>
      <c r="F63" s="42" t="s">
        <v>72</v>
      </c>
      <c r="G63" s="80">
        <v>80</v>
      </c>
      <c r="H63" s="41">
        <v>80</v>
      </c>
      <c r="I63" s="114">
        <f t="shared" si="4"/>
        <v>80</v>
      </c>
      <c r="J63" s="35">
        <v>45327</v>
      </c>
      <c r="K63" s="35"/>
      <c r="L63" s="4"/>
      <c r="M63" s="35"/>
      <c r="N63" s="4"/>
      <c r="O63" s="4"/>
      <c r="P63" s="36">
        <v>12.4</v>
      </c>
      <c r="Q63" s="32">
        <f t="shared" si="5"/>
        <v>992</v>
      </c>
      <c r="R63" s="33"/>
    </row>
    <row r="64" spans="1:18" s="37" customFormat="1" ht="15" customHeight="1" x14ac:dyDescent="0.25">
      <c r="A64" s="5" t="s">
        <v>57</v>
      </c>
      <c r="B64" s="5">
        <v>3678</v>
      </c>
      <c r="C64" s="5">
        <v>185328</v>
      </c>
      <c r="D64" s="5">
        <v>4</v>
      </c>
      <c r="E64" s="31" t="s">
        <v>71</v>
      </c>
      <c r="F64" s="31" t="s">
        <v>72</v>
      </c>
      <c r="G64" s="80">
        <v>120</v>
      </c>
      <c r="H64" s="41">
        <v>120</v>
      </c>
      <c r="I64" s="114">
        <f t="shared" si="4"/>
        <v>120</v>
      </c>
      <c r="J64" s="35">
        <v>45348</v>
      </c>
      <c r="K64" s="35"/>
      <c r="L64" s="4"/>
      <c r="M64" s="35"/>
      <c r="N64" s="4"/>
      <c r="O64" s="4"/>
      <c r="P64" s="36">
        <v>12.4</v>
      </c>
      <c r="Q64" s="32">
        <f t="shared" si="5"/>
        <v>1488</v>
      </c>
      <c r="R64" s="33"/>
    </row>
    <row r="65" spans="1:18" s="37" customFormat="1" ht="15" customHeight="1" x14ac:dyDescent="0.25">
      <c r="A65" s="6" t="s">
        <v>57</v>
      </c>
      <c r="B65" s="6">
        <v>3482</v>
      </c>
      <c r="C65" s="6">
        <v>182437</v>
      </c>
      <c r="D65" s="6">
        <v>6</v>
      </c>
      <c r="E65" s="120" t="s">
        <v>73</v>
      </c>
      <c r="F65" s="120" t="s">
        <v>74</v>
      </c>
      <c r="G65" s="121">
        <v>100</v>
      </c>
      <c r="H65" s="44">
        <v>100</v>
      </c>
      <c r="I65" s="122">
        <f t="shared" si="4"/>
        <v>100</v>
      </c>
      <c r="J65" s="123">
        <v>45288</v>
      </c>
      <c r="K65" s="35"/>
      <c r="L65" s="4"/>
      <c r="M65" s="35"/>
      <c r="N65" s="4"/>
      <c r="O65" s="4"/>
      <c r="P65" s="36">
        <v>54.34</v>
      </c>
      <c r="Q65" s="32">
        <f t="shared" si="5"/>
        <v>5434</v>
      </c>
      <c r="R65" s="33"/>
    </row>
    <row r="66" spans="1:18" s="37" customFormat="1" ht="15" customHeight="1" x14ac:dyDescent="0.25">
      <c r="A66" s="5" t="s">
        <v>57</v>
      </c>
      <c r="B66" s="5">
        <v>3619</v>
      </c>
      <c r="C66" s="5">
        <v>184417</v>
      </c>
      <c r="D66" s="5">
        <v>18</v>
      </c>
      <c r="E66" s="31" t="s">
        <v>75</v>
      </c>
      <c r="F66" s="31" t="s">
        <v>76</v>
      </c>
      <c r="G66" s="80">
        <v>150</v>
      </c>
      <c r="H66" s="41">
        <v>150</v>
      </c>
      <c r="I66" s="114">
        <f t="shared" si="4"/>
        <v>150</v>
      </c>
      <c r="J66" s="35">
        <v>45316</v>
      </c>
      <c r="K66" s="35"/>
      <c r="L66" s="4"/>
      <c r="M66" s="35"/>
      <c r="N66" s="4"/>
      <c r="O66" s="4"/>
      <c r="P66" s="36">
        <v>21.2</v>
      </c>
      <c r="Q66" s="32">
        <f t="shared" si="5"/>
        <v>3180</v>
      </c>
      <c r="R66" s="33"/>
    </row>
    <row r="67" spans="1:18" s="37" customFormat="1" ht="15" customHeight="1" x14ac:dyDescent="0.25">
      <c r="A67" s="5" t="s">
        <v>57</v>
      </c>
      <c r="B67" s="5">
        <v>3619</v>
      </c>
      <c r="C67" s="5">
        <v>184417</v>
      </c>
      <c r="D67" s="5">
        <v>19</v>
      </c>
      <c r="E67" s="31" t="s">
        <v>77</v>
      </c>
      <c r="F67" s="31" t="s">
        <v>78</v>
      </c>
      <c r="G67" s="80">
        <v>5</v>
      </c>
      <c r="H67" s="41">
        <v>5</v>
      </c>
      <c r="I67" s="114">
        <f t="shared" si="4"/>
        <v>5</v>
      </c>
      <c r="J67" s="35">
        <v>45345</v>
      </c>
      <c r="K67" s="35"/>
      <c r="L67" s="4"/>
      <c r="M67" s="35"/>
      <c r="N67" s="4"/>
      <c r="O67" s="4"/>
      <c r="P67" s="36">
        <v>29.88</v>
      </c>
      <c r="Q67" s="32">
        <f t="shared" si="5"/>
        <v>149.4</v>
      </c>
      <c r="R67" s="33"/>
    </row>
    <row r="68" spans="1:18" s="37" customFormat="1" ht="15" customHeight="1" x14ac:dyDescent="0.25">
      <c r="A68" s="5" t="s">
        <v>57</v>
      </c>
      <c r="B68" s="5">
        <v>3678</v>
      </c>
      <c r="C68" s="5">
        <v>185328</v>
      </c>
      <c r="D68" s="5">
        <v>5</v>
      </c>
      <c r="E68" s="31" t="s">
        <v>77</v>
      </c>
      <c r="F68" s="31" t="s">
        <v>78</v>
      </c>
      <c r="G68" s="80">
        <v>40</v>
      </c>
      <c r="H68" s="41">
        <v>40</v>
      </c>
      <c r="I68" s="114">
        <f t="shared" si="4"/>
        <v>40</v>
      </c>
      <c r="J68" s="35">
        <v>45348</v>
      </c>
      <c r="K68" s="35"/>
      <c r="L68" s="4"/>
      <c r="M68" s="35"/>
      <c r="N68" s="4"/>
      <c r="O68" s="4"/>
      <c r="P68" s="36">
        <v>29.88</v>
      </c>
      <c r="Q68" s="32">
        <f t="shared" si="5"/>
        <v>1195.2</v>
      </c>
      <c r="R68" s="33"/>
    </row>
    <row r="69" spans="1:18" s="37" customFormat="1" ht="15" customHeight="1" x14ac:dyDescent="0.25">
      <c r="A69" s="6" t="s">
        <v>57</v>
      </c>
      <c r="B69" s="6">
        <v>3619</v>
      </c>
      <c r="C69" s="6">
        <v>184417</v>
      </c>
      <c r="D69" s="6">
        <v>20</v>
      </c>
      <c r="E69" s="120" t="s">
        <v>148</v>
      </c>
      <c r="F69" s="120" t="s">
        <v>149</v>
      </c>
      <c r="G69" s="80">
        <v>200</v>
      </c>
      <c r="H69" s="41">
        <v>200</v>
      </c>
      <c r="I69" s="122">
        <f t="shared" si="4"/>
        <v>200</v>
      </c>
      <c r="J69" s="123">
        <v>45287</v>
      </c>
      <c r="K69" s="35"/>
      <c r="L69" s="4"/>
      <c r="M69" s="35"/>
      <c r="N69" s="4"/>
      <c r="O69" s="4"/>
      <c r="P69" s="36">
        <v>28.11</v>
      </c>
      <c r="Q69" s="32">
        <f t="shared" si="5"/>
        <v>5622</v>
      </c>
      <c r="R69" s="33"/>
    </row>
    <row r="70" spans="1:18" s="37" customFormat="1" ht="15" customHeight="1" x14ac:dyDescent="0.25">
      <c r="A70" s="6" t="s">
        <v>57</v>
      </c>
      <c r="B70" s="6">
        <v>3558</v>
      </c>
      <c r="C70" s="6">
        <v>183790</v>
      </c>
      <c r="D70" s="6">
        <v>3</v>
      </c>
      <c r="E70" s="120" t="s">
        <v>79</v>
      </c>
      <c r="F70" s="120" t="s">
        <v>80</v>
      </c>
      <c r="G70" s="121">
        <v>100</v>
      </c>
      <c r="H70" s="44">
        <v>100</v>
      </c>
      <c r="I70" s="122">
        <f t="shared" si="4"/>
        <v>100</v>
      </c>
      <c r="J70" s="123">
        <v>45287</v>
      </c>
      <c r="K70" s="35"/>
      <c r="L70" s="4"/>
      <c r="M70" s="35"/>
      <c r="N70" s="4"/>
      <c r="O70" s="4"/>
      <c r="P70" s="36">
        <v>24.96</v>
      </c>
      <c r="Q70" s="32">
        <f t="shared" si="5"/>
        <v>2496</v>
      </c>
      <c r="R70" s="33"/>
    </row>
    <row r="71" spans="1:18" s="33" customFormat="1" ht="17.25" customHeight="1" x14ac:dyDescent="0.25">
      <c r="A71" s="5" t="s">
        <v>57</v>
      </c>
      <c r="B71" s="5">
        <v>3518</v>
      </c>
      <c r="C71" s="5">
        <v>183092</v>
      </c>
      <c r="D71" s="5">
        <v>11</v>
      </c>
      <c r="E71" s="31" t="s">
        <v>79</v>
      </c>
      <c r="F71" s="31" t="s">
        <v>80</v>
      </c>
      <c r="G71" s="80">
        <v>100</v>
      </c>
      <c r="H71" s="41">
        <v>100</v>
      </c>
      <c r="I71" s="119">
        <f t="shared" si="4"/>
        <v>100</v>
      </c>
      <c r="J71" s="35">
        <v>45316</v>
      </c>
      <c r="K71" s="35"/>
      <c r="L71" s="4"/>
      <c r="M71" s="35"/>
      <c r="N71" s="4"/>
      <c r="O71" s="4"/>
      <c r="P71" s="36">
        <v>24.96</v>
      </c>
      <c r="Q71" s="32">
        <f t="shared" si="5"/>
        <v>2496</v>
      </c>
    </row>
    <row r="72" spans="1:18" s="33" customFormat="1" ht="17.25" customHeight="1" x14ac:dyDescent="0.25">
      <c r="A72" s="5" t="s">
        <v>57</v>
      </c>
      <c r="B72" s="116">
        <v>3619</v>
      </c>
      <c r="C72" s="16">
        <v>184417</v>
      </c>
      <c r="D72" s="16">
        <v>21</v>
      </c>
      <c r="E72" s="31" t="s">
        <v>79</v>
      </c>
      <c r="F72" s="31" t="s">
        <v>80</v>
      </c>
      <c r="G72" s="80">
        <v>100</v>
      </c>
      <c r="H72" s="41">
        <v>100</v>
      </c>
      <c r="I72" s="114">
        <f t="shared" ref="I72:I103" si="6">H72-L72</f>
        <v>100</v>
      </c>
      <c r="J72" s="35">
        <v>45348</v>
      </c>
      <c r="K72" s="35"/>
      <c r="L72" s="4"/>
      <c r="M72" s="35"/>
      <c r="N72" s="4"/>
      <c r="O72" s="4"/>
      <c r="P72" s="36">
        <v>24.96</v>
      </c>
      <c r="Q72" s="32">
        <f t="shared" si="5"/>
        <v>2496</v>
      </c>
    </row>
    <row r="73" spans="1:18" s="33" customFormat="1" ht="17.25" customHeight="1" x14ac:dyDescent="0.25">
      <c r="A73" s="5" t="s">
        <v>57</v>
      </c>
      <c r="B73" s="116">
        <v>3664</v>
      </c>
      <c r="C73" s="16">
        <v>184857</v>
      </c>
      <c r="D73" s="16">
        <v>3</v>
      </c>
      <c r="E73" s="31" t="s">
        <v>79</v>
      </c>
      <c r="F73" s="31" t="s">
        <v>80</v>
      </c>
      <c r="G73" s="80">
        <v>300</v>
      </c>
      <c r="H73" s="41">
        <v>300</v>
      </c>
      <c r="I73" s="114">
        <f t="shared" si="6"/>
        <v>300</v>
      </c>
      <c r="J73" s="35">
        <v>45350</v>
      </c>
      <c r="K73" s="35"/>
      <c r="L73" s="4"/>
      <c r="M73" s="35"/>
      <c r="N73" s="4"/>
      <c r="O73" s="4"/>
      <c r="P73" s="36">
        <v>24.96</v>
      </c>
      <c r="Q73" s="32">
        <f t="shared" si="5"/>
        <v>7488</v>
      </c>
    </row>
    <row r="74" spans="1:18" s="33" customFormat="1" ht="17.25" customHeight="1" x14ac:dyDescent="0.25">
      <c r="A74" s="5" t="s">
        <v>57</v>
      </c>
      <c r="B74" s="16">
        <v>3678</v>
      </c>
      <c r="C74" s="16">
        <v>185328</v>
      </c>
      <c r="D74" s="16">
        <v>6</v>
      </c>
      <c r="E74" s="31" t="s">
        <v>83</v>
      </c>
      <c r="F74" s="31" t="s">
        <v>84</v>
      </c>
      <c r="G74" s="80">
        <v>200</v>
      </c>
      <c r="H74" s="41">
        <v>200</v>
      </c>
      <c r="I74" s="114">
        <f t="shared" si="6"/>
        <v>200</v>
      </c>
      <c r="J74" s="35">
        <v>45348</v>
      </c>
      <c r="K74" s="35"/>
      <c r="L74" s="4"/>
      <c r="M74" s="35"/>
      <c r="N74" s="4"/>
      <c r="O74" s="4"/>
      <c r="P74" s="36">
        <v>25.64</v>
      </c>
      <c r="Q74" s="32">
        <f t="shared" si="5"/>
        <v>5128</v>
      </c>
    </row>
    <row r="75" spans="1:18" s="33" customFormat="1" ht="15" customHeight="1" x14ac:dyDescent="0.25">
      <c r="A75" s="5" t="s">
        <v>57</v>
      </c>
      <c r="B75" s="16">
        <v>3619</v>
      </c>
      <c r="C75" s="16">
        <v>184417</v>
      </c>
      <c r="D75" s="16">
        <v>22</v>
      </c>
      <c r="E75" s="31" t="s">
        <v>301</v>
      </c>
      <c r="F75" s="31" t="s">
        <v>302</v>
      </c>
      <c r="G75" s="80">
        <v>1000</v>
      </c>
      <c r="H75" s="41">
        <v>1000</v>
      </c>
      <c r="I75" s="114">
        <f t="shared" si="6"/>
        <v>1000</v>
      </c>
      <c r="J75" s="35">
        <v>45347</v>
      </c>
      <c r="K75" s="35"/>
      <c r="L75" s="4"/>
      <c r="M75" s="35"/>
      <c r="N75" s="4"/>
      <c r="O75" s="4"/>
      <c r="P75" s="36">
        <v>33.619999999999997</v>
      </c>
      <c r="Q75" s="32">
        <f t="shared" si="5"/>
        <v>33620</v>
      </c>
    </row>
    <row r="76" spans="1:18" s="33" customFormat="1" ht="15" customHeight="1" x14ac:dyDescent="0.25">
      <c r="A76" s="16" t="s">
        <v>57</v>
      </c>
      <c r="B76" s="16">
        <v>3619</v>
      </c>
      <c r="C76" s="16">
        <v>184417</v>
      </c>
      <c r="D76" s="16">
        <v>23</v>
      </c>
      <c r="E76" s="42" t="s">
        <v>85</v>
      </c>
      <c r="F76" s="42" t="s">
        <v>179</v>
      </c>
      <c r="G76" s="121">
        <v>1000</v>
      </c>
      <c r="H76" s="44">
        <v>1000</v>
      </c>
      <c r="I76" s="114">
        <f t="shared" si="6"/>
        <v>1000</v>
      </c>
      <c r="J76" s="35">
        <v>45347</v>
      </c>
      <c r="K76" s="35"/>
      <c r="L76" s="4"/>
      <c r="M76" s="35"/>
      <c r="N76" s="4"/>
      <c r="O76" s="4"/>
      <c r="P76" s="36">
        <v>39.950000000000003</v>
      </c>
      <c r="Q76" s="32">
        <f t="shared" si="5"/>
        <v>39950</v>
      </c>
    </row>
    <row r="77" spans="1:18" s="33" customFormat="1" ht="15" customHeight="1" x14ac:dyDescent="0.25">
      <c r="A77" s="16" t="s">
        <v>57</v>
      </c>
      <c r="B77" s="16">
        <v>3702</v>
      </c>
      <c r="C77" s="16">
        <v>185636</v>
      </c>
      <c r="D77" s="16">
        <v>4</v>
      </c>
      <c r="E77" s="42" t="s">
        <v>85</v>
      </c>
      <c r="F77" s="42" t="s">
        <v>179</v>
      </c>
      <c r="G77" s="121">
        <v>1000</v>
      </c>
      <c r="H77" s="44">
        <v>1000</v>
      </c>
      <c r="I77" s="114">
        <f t="shared" si="6"/>
        <v>1000</v>
      </c>
      <c r="J77" s="35">
        <v>45356</v>
      </c>
      <c r="K77" s="35"/>
      <c r="L77" s="4"/>
      <c r="M77" s="35"/>
      <c r="N77" s="4"/>
      <c r="O77" s="4"/>
      <c r="P77" s="36">
        <v>39.950000000000003</v>
      </c>
      <c r="Q77" s="32">
        <f t="shared" si="5"/>
        <v>39950</v>
      </c>
    </row>
    <row r="78" spans="1:18" s="33" customFormat="1" ht="15" customHeight="1" x14ac:dyDescent="0.25">
      <c r="A78" s="14" t="s">
        <v>57</v>
      </c>
      <c r="B78" s="116">
        <v>3712</v>
      </c>
      <c r="C78" s="14">
        <v>185636</v>
      </c>
      <c r="D78" s="14">
        <v>4</v>
      </c>
      <c r="E78" s="15" t="s">
        <v>85</v>
      </c>
      <c r="F78" s="15" t="s">
        <v>179</v>
      </c>
      <c r="G78" s="300">
        <v>1000</v>
      </c>
      <c r="H78" s="41">
        <f>G78</f>
        <v>1000</v>
      </c>
      <c r="I78" s="114">
        <f t="shared" si="6"/>
        <v>1000</v>
      </c>
      <c r="J78" s="3"/>
      <c r="K78" s="3"/>
      <c r="L78" s="67"/>
      <c r="M78" s="3"/>
      <c r="N78" s="67"/>
      <c r="O78" s="67"/>
      <c r="P78" s="28">
        <v>39.950000000000003</v>
      </c>
      <c r="Q78" s="32">
        <f t="shared" si="5"/>
        <v>39950</v>
      </c>
    </row>
    <row r="79" spans="1:18" s="37" customFormat="1" ht="15" customHeight="1" x14ac:dyDescent="0.25">
      <c r="A79" s="191" t="s">
        <v>57</v>
      </c>
      <c r="B79" s="191">
        <v>3374</v>
      </c>
      <c r="C79" s="191">
        <v>180913</v>
      </c>
      <c r="D79" s="191">
        <v>6</v>
      </c>
      <c r="E79" s="151" t="s">
        <v>86</v>
      </c>
      <c r="F79" s="151" t="s">
        <v>87</v>
      </c>
      <c r="G79" s="121">
        <v>200</v>
      </c>
      <c r="H79" s="44">
        <v>200</v>
      </c>
      <c r="I79" s="122">
        <f t="shared" si="6"/>
        <v>200</v>
      </c>
      <c r="J79" s="123">
        <v>45287</v>
      </c>
      <c r="K79" s="35"/>
      <c r="L79" s="4"/>
      <c r="M79" s="35"/>
      <c r="N79" s="4"/>
      <c r="O79" s="4"/>
      <c r="P79" s="36">
        <v>50.99</v>
      </c>
      <c r="Q79" s="32">
        <f t="shared" si="5"/>
        <v>10198</v>
      </c>
      <c r="R79" s="33"/>
    </row>
    <row r="80" spans="1:18" s="37" customFormat="1" ht="15" customHeight="1" x14ac:dyDescent="0.25">
      <c r="A80" s="6" t="s">
        <v>57</v>
      </c>
      <c r="B80" s="6">
        <v>3531</v>
      </c>
      <c r="C80" s="6">
        <v>183438</v>
      </c>
      <c r="D80" s="6">
        <v>11</v>
      </c>
      <c r="E80" s="120" t="s">
        <v>88</v>
      </c>
      <c r="F80" s="120" t="s">
        <v>89</v>
      </c>
      <c r="G80" s="121">
        <v>500</v>
      </c>
      <c r="H80" s="44">
        <v>130</v>
      </c>
      <c r="I80" s="122">
        <f t="shared" si="6"/>
        <v>130</v>
      </c>
      <c r="J80" s="123">
        <v>45287</v>
      </c>
      <c r="K80" s="35"/>
      <c r="L80" s="4"/>
      <c r="M80" s="35"/>
      <c r="N80" s="4"/>
      <c r="O80" s="4"/>
      <c r="P80" s="36">
        <v>23.05</v>
      </c>
      <c r="Q80" s="32">
        <f t="shared" si="5"/>
        <v>2996.5</v>
      </c>
      <c r="R80" s="33"/>
    </row>
    <row r="81" spans="1:18" s="37" customFormat="1" ht="15" customHeight="1" x14ac:dyDescent="0.25">
      <c r="A81" s="5" t="s">
        <v>57</v>
      </c>
      <c r="B81" s="5">
        <v>3619</v>
      </c>
      <c r="C81" s="5">
        <v>184417</v>
      </c>
      <c r="D81" s="5">
        <v>24</v>
      </c>
      <c r="E81" s="31" t="s">
        <v>88</v>
      </c>
      <c r="F81" s="31" t="s">
        <v>89</v>
      </c>
      <c r="G81" s="80">
        <v>500</v>
      </c>
      <c r="H81" s="41">
        <v>500</v>
      </c>
      <c r="I81" s="114">
        <f t="shared" si="6"/>
        <v>500</v>
      </c>
      <c r="J81" s="35">
        <v>45316</v>
      </c>
      <c r="K81" s="35"/>
      <c r="L81" s="4"/>
      <c r="M81" s="35"/>
      <c r="N81" s="4"/>
      <c r="O81" s="4"/>
      <c r="P81" s="36">
        <v>23.05</v>
      </c>
      <c r="Q81" s="32">
        <f t="shared" si="5"/>
        <v>11525</v>
      </c>
      <c r="R81" s="33"/>
    </row>
    <row r="82" spans="1:18" s="33" customFormat="1" ht="15" customHeight="1" x14ac:dyDescent="0.25">
      <c r="A82" s="5" t="s">
        <v>57</v>
      </c>
      <c r="B82" s="5">
        <v>3695</v>
      </c>
      <c r="C82" s="5">
        <v>185440</v>
      </c>
      <c r="D82" s="5">
        <v>1</v>
      </c>
      <c r="E82" s="31" t="s">
        <v>88</v>
      </c>
      <c r="F82" s="31" t="s">
        <v>89</v>
      </c>
      <c r="G82" s="80">
        <v>500</v>
      </c>
      <c r="H82" s="41">
        <v>500</v>
      </c>
      <c r="I82" s="114">
        <f t="shared" si="6"/>
        <v>500</v>
      </c>
      <c r="J82" s="35">
        <v>45344</v>
      </c>
      <c r="K82" s="35"/>
      <c r="L82" s="4"/>
      <c r="M82" s="35"/>
      <c r="N82" s="4"/>
      <c r="O82" s="4"/>
      <c r="P82" s="36">
        <v>23.05</v>
      </c>
      <c r="Q82" s="32">
        <f t="shared" si="5"/>
        <v>11525</v>
      </c>
    </row>
    <row r="83" spans="1:18" s="37" customFormat="1" ht="15" customHeight="1" x14ac:dyDescent="0.25">
      <c r="A83" s="5" t="s">
        <v>57</v>
      </c>
      <c r="B83" s="5">
        <v>3678</v>
      </c>
      <c r="C83" s="5">
        <v>185328</v>
      </c>
      <c r="D83" s="5">
        <v>7</v>
      </c>
      <c r="E83" s="31" t="s">
        <v>88</v>
      </c>
      <c r="F83" s="31" t="s">
        <v>89</v>
      </c>
      <c r="G83" s="80">
        <v>500</v>
      </c>
      <c r="H83" s="41">
        <v>500</v>
      </c>
      <c r="I83" s="114">
        <f t="shared" si="6"/>
        <v>500</v>
      </c>
      <c r="J83" s="35">
        <v>45348</v>
      </c>
      <c r="K83" s="35"/>
      <c r="L83" s="4"/>
      <c r="M83" s="35"/>
      <c r="N83" s="4"/>
      <c r="O83" s="4"/>
      <c r="P83" s="36">
        <v>23.05</v>
      </c>
      <c r="Q83" s="32">
        <f t="shared" ref="Q83:Q114" si="7">P83*H83</f>
        <v>11525</v>
      </c>
      <c r="R83" s="33"/>
    </row>
    <row r="84" spans="1:18" s="37" customFormat="1" ht="15" customHeight="1" x14ac:dyDescent="0.25">
      <c r="A84" s="5" t="s">
        <v>57</v>
      </c>
      <c r="B84" s="5">
        <v>3619</v>
      </c>
      <c r="C84" s="5">
        <v>184417</v>
      </c>
      <c r="D84" s="5">
        <v>25</v>
      </c>
      <c r="E84" s="31" t="s">
        <v>90</v>
      </c>
      <c r="F84" s="31" t="s">
        <v>91</v>
      </c>
      <c r="G84" s="80">
        <v>100</v>
      </c>
      <c r="H84" s="41">
        <v>100</v>
      </c>
      <c r="I84" s="114">
        <f t="shared" si="6"/>
        <v>100</v>
      </c>
      <c r="J84" s="35">
        <v>45350</v>
      </c>
      <c r="K84" s="35"/>
      <c r="L84" s="4"/>
      <c r="M84" s="35"/>
      <c r="N84" s="4"/>
      <c r="O84" s="4"/>
      <c r="P84" s="36">
        <v>39.76</v>
      </c>
      <c r="Q84" s="32">
        <f t="shared" si="7"/>
        <v>3976</v>
      </c>
      <c r="R84" s="33"/>
    </row>
    <row r="85" spans="1:18" s="37" customFormat="1" ht="15" hidden="1" customHeight="1" x14ac:dyDescent="0.25">
      <c r="A85" s="5" t="s">
        <v>32</v>
      </c>
      <c r="B85" s="291"/>
      <c r="C85" s="5">
        <v>51000589</v>
      </c>
      <c r="D85" s="5" t="s">
        <v>6</v>
      </c>
      <c r="E85" s="31" t="s">
        <v>20</v>
      </c>
      <c r="F85" s="31" t="s">
        <v>355</v>
      </c>
      <c r="G85" s="80">
        <v>46</v>
      </c>
      <c r="H85" s="41">
        <v>46</v>
      </c>
      <c r="I85" s="114">
        <f t="shared" si="6"/>
        <v>46</v>
      </c>
      <c r="J85" s="35">
        <v>45324</v>
      </c>
      <c r="K85" s="35"/>
      <c r="L85" s="4"/>
      <c r="M85" s="35"/>
      <c r="N85" s="4"/>
      <c r="O85" s="4"/>
      <c r="P85" s="36">
        <v>9.23</v>
      </c>
      <c r="Q85" s="32">
        <f t="shared" si="7"/>
        <v>424.58000000000004</v>
      </c>
      <c r="R85" s="33"/>
    </row>
    <row r="86" spans="1:18" s="37" customFormat="1" ht="15" hidden="1" customHeight="1" x14ac:dyDescent="0.25">
      <c r="A86" s="5" t="s">
        <v>32</v>
      </c>
      <c r="B86" s="5">
        <v>3691</v>
      </c>
      <c r="C86" s="5">
        <v>51000589</v>
      </c>
      <c r="D86" s="5" t="s">
        <v>6</v>
      </c>
      <c r="E86" s="31" t="s">
        <v>368</v>
      </c>
      <c r="F86" s="31" t="s">
        <v>8</v>
      </c>
      <c r="G86" s="80">
        <v>100</v>
      </c>
      <c r="H86" s="41">
        <v>100</v>
      </c>
      <c r="I86" s="114">
        <f t="shared" si="6"/>
        <v>100</v>
      </c>
      <c r="J86" s="35">
        <v>45345</v>
      </c>
      <c r="K86" s="35"/>
      <c r="L86" s="4"/>
      <c r="M86" s="35"/>
      <c r="N86" s="4"/>
      <c r="O86" s="4"/>
      <c r="P86" s="36">
        <v>27.66</v>
      </c>
      <c r="Q86" s="32">
        <f t="shared" si="7"/>
        <v>2766</v>
      </c>
      <c r="R86" s="33"/>
    </row>
    <row r="87" spans="1:18" s="37" customFormat="1" ht="15" hidden="1" customHeight="1" x14ac:dyDescent="0.25">
      <c r="A87" s="5" t="s">
        <v>32</v>
      </c>
      <c r="B87" s="5">
        <v>3691</v>
      </c>
      <c r="C87" s="5">
        <v>51000589</v>
      </c>
      <c r="D87" s="5" t="s">
        <v>6</v>
      </c>
      <c r="E87" s="31" t="s">
        <v>369</v>
      </c>
      <c r="F87" s="31" t="s">
        <v>375</v>
      </c>
      <c r="G87" s="80">
        <v>100</v>
      </c>
      <c r="H87" s="41">
        <v>100</v>
      </c>
      <c r="I87" s="114">
        <f t="shared" si="6"/>
        <v>100</v>
      </c>
      <c r="J87" s="35">
        <v>45345</v>
      </c>
      <c r="K87" s="35"/>
      <c r="L87" s="4"/>
      <c r="M87" s="35"/>
      <c r="N87" s="4"/>
      <c r="O87" s="4"/>
      <c r="P87" s="36">
        <v>55.96</v>
      </c>
      <c r="Q87" s="32">
        <f t="shared" si="7"/>
        <v>5596</v>
      </c>
      <c r="R87" s="33"/>
    </row>
    <row r="88" spans="1:18" s="37" customFormat="1" ht="15" hidden="1" customHeight="1" x14ac:dyDescent="0.25">
      <c r="A88" s="5" t="s">
        <v>32</v>
      </c>
      <c r="B88" s="5">
        <v>3691</v>
      </c>
      <c r="C88" s="5">
        <v>51000589</v>
      </c>
      <c r="D88" s="5" t="s">
        <v>6</v>
      </c>
      <c r="E88" s="31" t="s">
        <v>370</v>
      </c>
      <c r="F88" s="31" t="s">
        <v>356</v>
      </c>
      <c r="G88" s="80">
        <v>100</v>
      </c>
      <c r="H88" s="41">
        <v>100</v>
      </c>
      <c r="I88" s="114">
        <f t="shared" si="6"/>
        <v>100</v>
      </c>
      <c r="J88" s="35">
        <v>45345</v>
      </c>
      <c r="K88" s="35"/>
      <c r="L88" s="4"/>
      <c r="M88" s="35"/>
      <c r="N88" s="4"/>
      <c r="O88" s="4"/>
      <c r="P88" s="36">
        <v>120.28</v>
      </c>
      <c r="Q88" s="32">
        <f t="shared" si="7"/>
        <v>12028</v>
      </c>
      <c r="R88" s="33"/>
    </row>
    <row r="89" spans="1:18" s="37" customFormat="1" ht="15" hidden="1" customHeight="1" x14ac:dyDescent="0.25">
      <c r="A89" s="5" t="s">
        <v>32</v>
      </c>
      <c r="B89" s="5">
        <v>3706</v>
      </c>
      <c r="C89" s="5">
        <v>51000589</v>
      </c>
      <c r="D89" s="5" t="s">
        <v>6</v>
      </c>
      <c r="E89" s="31" t="s">
        <v>353</v>
      </c>
      <c r="F89" s="31" t="s">
        <v>8</v>
      </c>
      <c r="G89" s="80">
        <v>100</v>
      </c>
      <c r="H89" s="41">
        <v>100</v>
      </c>
      <c r="I89" s="114">
        <f t="shared" si="6"/>
        <v>100</v>
      </c>
      <c r="J89" s="35">
        <v>45345</v>
      </c>
      <c r="K89" s="35"/>
      <c r="L89" s="4"/>
      <c r="M89" s="35"/>
      <c r="N89" s="4"/>
      <c r="O89" s="4"/>
      <c r="P89" s="36">
        <v>30.06</v>
      </c>
      <c r="Q89" s="32">
        <f t="shared" si="7"/>
        <v>3006</v>
      </c>
      <c r="R89" s="33"/>
    </row>
    <row r="90" spans="1:18" s="37" customFormat="1" ht="15" customHeight="1" x14ac:dyDescent="0.25">
      <c r="A90" s="5" t="s">
        <v>57</v>
      </c>
      <c r="B90" s="5">
        <v>3676</v>
      </c>
      <c r="C90" s="5">
        <v>185169</v>
      </c>
      <c r="D90" s="5">
        <v>4</v>
      </c>
      <c r="E90" s="31" t="s">
        <v>94</v>
      </c>
      <c r="F90" s="31" t="s">
        <v>303</v>
      </c>
      <c r="G90" s="80">
        <v>100</v>
      </c>
      <c r="H90" s="41">
        <v>100</v>
      </c>
      <c r="I90" s="114">
        <f t="shared" si="6"/>
        <v>100</v>
      </c>
      <c r="J90" s="35">
        <v>45327</v>
      </c>
      <c r="K90" s="35"/>
      <c r="L90" s="4"/>
      <c r="M90" s="35"/>
      <c r="N90" s="4"/>
      <c r="O90" s="4"/>
      <c r="P90" s="36">
        <v>38.46</v>
      </c>
      <c r="Q90" s="32">
        <f t="shared" si="7"/>
        <v>3846</v>
      </c>
      <c r="R90" s="33"/>
    </row>
    <row r="91" spans="1:18" s="37" customFormat="1" ht="15" customHeight="1" x14ac:dyDescent="0.25">
      <c r="A91" s="5" t="s">
        <v>57</v>
      </c>
      <c r="B91" s="5">
        <v>3619</v>
      </c>
      <c r="C91" s="5">
        <v>184417</v>
      </c>
      <c r="D91" s="5">
        <v>26</v>
      </c>
      <c r="E91" s="31" t="s">
        <v>94</v>
      </c>
      <c r="F91" s="31" t="s">
        <v>303</v>
      </c>
      <c r="G91" s="80">
        <v>100</v>
      </c>
      <c r="H91" s="41">
        <v>100</v>
      </c>
      <c r="I91" s="114">
        <f t="shared" si="6"/>
        <v>100</v>
      </c>
      <c r="J91" s="35">
        <v>45345</v>
      </c>
      <c r="K91" s="35"/>
      <c r="L91" s="4"/>
      <c r="M91" s="35"/>
      <c r="N91" s="4"/>
      <c r="O91" s="4"/>
      <c r="P91" s="36">
        <v>38.46</v>
      </c>
      <c r="Q91" s="32">
        <f t="shared" si="7"/>
        <v>3846</v>
      </c>
      <c r="R91" s="33"/>
    </row>
    <row r="92" spans="1:18" s="37" customFormat="1" ht="15" customHeight="1" x14ac:dyDescent="0.25">
      <c r="A92" s="5" t="s">
        <v>57</v>
      </c>
      <c r="B92" s="5">
        <v>3664</v>
      </c>
      <c r="C92" s="5">
        <v>184857</v>
      </c>
      <c r="D92" s="5">
        <v>4</v>
      </c>
      <c r="E92" s="31" t="s">
        <v>96</v>
      </c>
      <c r="F92" s="31" t="s">
        <v>180</v>
      </c>
      <c r="G92" s="80">
        <v>100</v>
      </c>
      <c r="H92" s="41">
        <v>100</v>
      </c>
      <c r="I92" s="114">
        <f t="shared" si="6"/>
        <v>100</v>
      </c>
      <c r="J92" s="35">
        <v>45348</v>
      </c>
      <c r="K92" s="35"/>
      <c r="L92" s="4"/>
      <c r="M92" s="35"/>
      <c r="N92" s="4"/>
      <c r="O92" s="4"/>
      <c r="P92" s="187">
        <v>49.04</v>
      </c>
      <c r="Q92" s="32">
        <f t="shared" si="7"/>
        <v>4904</v>
      </c>
      <c r="R92" s="33"/>
    </row>
    <row r="93" spans="1:18" s="37" customFormat="1" ht="15" customHeight="1" x14ac:dyDescent="0.25">
      <c r="A93" s="5" t="s">
        <v>57</v>
      </c>
      <c r="B93" s="5">
        <v>3619</v>
      </c>
      <c r="C93" s="5">
        <v>184417</v>
      </c>
      <c r="D93" s="5">
        <v>27</v>
      </c>
      <c r="E93" s="31" t="s">
        <v>97</v>
      </c>
      <c r="F93" s="31" t="s">
        <v>98</v>
      </c>
      <c r="G93" s="80">
        <v>200</v>
      </c>
      <c r="H93" s="41">
        <v>200</v>
      </c>
      <c r="I93" s="114">
        <f t="shared" si="6"/>
        <v>200</v>
      </c>
      <c r="J93" s="35">
        <v>45338</v>
      </c>
      <c r="K93" s="35"/>
      <c r="L93" s="4"/>
      <c r="M93" s="35"/>
      <c r="N93" s="4"/>
      <c r="O93" s="4"/>
      <c r="P93" s="36">
        <v>49.92</v>
      </c>
      <c r="Q93" s="32">
        <f t="shared" si="7"/>
        <v>9984</v>
      </c>
      <c r="R93" s="33"/>
    </row>
    <row r="94" spans="1:18" s="37" customFormat="1" ht="15" customHeight="1" x14ac:dyDescent="0.25">
      <c r="A94" s="5" t="s">
        <v>57</v>
      </c>
      <c r="B94" s="5">
        <v>3611</v>
      </c>
      <c r="C94" s="5">
        <v>184491</v>
      </c>
      <c r="D94" s="5">
        <v>2</v>
      </c>
      <c r="E94" s="31" t="s">
        <v>253</v>
      </c>
      <c r="F94" s="31" t="s">
        <v>254</v>
      </c>
      <c r="G94" s="80">
        <v>100</v>
      </c>
      <c r="H94" s="41">
        <v>100</v>
      </c>
      <c r="I94" s="114">
        <f t="shared" si="6"/>
        <v>100</v>
      </c>
      <c r="J94" s="35">
        <v>45323</v>
      </c>
      <c r="K94" s="35"/>
      <c r="L94" s="4"/>
      <c r="M94" s="35"/>
      <c r="N94" s="4"/>
      <c r="O94" s="4"/>
      <c r="P94" s="36">
        <v>8.68</v>
      </c>
      <c r="Q94" s="32">
        <f t="shared" si="7"/>
        <v>868</v>
      </c>
      <c r="R94" s="33"/>
    </row>
    <row r="95" spans="1:18" s="37" customFormat="1" ht="15" customHeight="1" x14ac:dyDescent="0.25">
      <c r="A95" s="5" t="s">
        <v>57</v>
      </c>
      <c r="B95" s="5">
        <v>3655</v>
      </c>
      <c r="C95" s="5">
        <v>185088</v>
      </c>
      <c r="D95" s="5">
        <v>2</v>
      </c>
      <c r="E95" s="31" t="s">
        <v>99</v>
      </c>
      <c r="F95" s="31" t="s">
        <v>100</v>
      </c>
      <c r="G95" s="80">
        <v>100</v>
      </c>
      <c r="H95" s="41">
        <v>100</v>
      </c>
      <c r="I95" s="114">
        <f t="shared" si="6"/>
        <v>100</v>
      </c>
      <c r="J95" s="35">
        <v>45351</v>
      </c>
      <c r="K95" s="35"/>
      <c r="L95" s="4"/>
      <c r="M95" s="35"/>
      <c r="N95" s="4"/>
      <c r="O95" s="4"/>
      <c r="P95" s="36">
        <v>35.31</v>
      </c>
      <c r="Q95" s="32">
        <f t="shared" si="7"/>
        <v>3531</v>
      </c>
      <c r="R95" s="33"/>
    </row>
    <row r="96" spans="1:18" s="37" customFormat="1" ht="15" customHeight="1" x14ac:dyDescent="0.25">
      <c r="A96" s="5" t="s">
        <v>57</v>
      </c>
      <c r="B96" s="5">
        <v>3519</v>
      </c>
      <c r="C96" s="5">
        <v>183228</v>
      </c>
      <c r="D96" s="5">
        <v>5</v>
      </c>
      <c r="E96" s="31" t="s">
        <v>101</v>
      </c>
      <c r="F96" s="31" t="s">
        <v>102</v>
      </c>
      <c r="G96" s="80">
        <v>450</v>
      </c>
      <c r="H96" s="41">
        <v>450</v>
      </c>
      <c r="I96" s="114">
        <f t="shared" si="6"/>
        <v>450</v>
      </c>
      <c r="J96" s="35">
        <v>45351</v>
      </c>
      <c r="K96" s="35"/>
      <c r="L96" s="4"/>
      <c r="M96" s="35"/>
      <c r="N96" s="4"/>
      <c r="O96" s="4"/>
      <c r="P96" s="36">
        <v>34.700000000000003</v>
      </c>
      <c r="Q96" s="32">
        <f t="shared" si="7"/>
        <v>15615.000000000002</v>
      </c>
      <c r="R96" s="33"/>
    </row>
    <row r="97" spans="1:18" s="37" customFormat="1" ht="15" customHeight="1" x14ac:dyDescent="0.25">
      <c r="A97" s="5" t="s">
        <v>57</v>
      </c>
      <c r="B97" s="5">
        <v>3504</v>
      </c>
      <c r="C97" s="5">
        <v>182964</v>
      </c>
      <c r="D97" s="5">
        <v>9</v>
      </c>
      <c r="E97" s="31" t="s">
        <v>103</v>
      </c>
      <c r="F97" s="31" t="s">
        <v>104</v>
      </c>
      <c r="G97" s="80">
        <v>180</v>
      </c>
      <c r="H97" s="41">
        <v>149</v>
      </c>
      <c r="I97" s="114">
        <f t="shared" si="6"/>
        <v>149</v>
      </c>
      <c r="J97" s="35">
        <v>45351</v>
      </c>
      <c r="K97" s="35"/>
      <c r="L97" s="4"/>
      <c r="M97" s="35"/>
      <c r="N97" s="4"/>
      <c r="O97" s="4"/>
      <c r="P97" s="36">
        <v>41.63</v>
      </c>
      <c r="Q97" s="32">
        <f t="shared" si="7"/>
        <v>6202.8700000000008</v>
      </c>
      <c r="R97" s="33"/>
    </row>
    <row r="98" spans="1:18" s="37" customFormat="1" ht="15" customHeight="1" x14ac:dyDescent="0.25">
      <c r="A98" s="5" t="s">
        <v>57</v>
      </c>
      <c r="B98" s="5">
        <v>3557</v>
      </c>
      <c r="C98" s="5">
        <v>183791</v>
      </c>
      <c r="D98" s="5">
        <v>1</v>
      </c>
      <c r="E98" s="31" t="s">
        <v>103</v>
      </c>
      <c r="F98" s="31" t="s">
        <v>104</v>
      </c>
      <c r="G98" s="80">
        <v>180</v>
      </c>
      <c r="H98" s="41">
        <v>180</v>
      </c>
      <c r="I98" s="114">
        <f t="shared" si="6"/>
        <v>180</v>
      </c>
      <c r="J98" s="35">
        <v>45351</v>
      </c>
      <c r="K98" s="35"/>
      <c r="L98" s="4"/>
      <c r="M98" s="35"/>
      <c r="N98" s="4"/>
      <c r="O98" s="4"/>
      <c r="P98" s="36">
        <v>41.63</v>
      </c>
      <c r="Q98" s="32">
        <f t="shared" si="7"/>
        <v>7493.4000000000005</v>
      </c>
      <c r="R98" s="33"/>
    </row>
    <row r="99" spans="1:18" s="37" customFormat="1" ht="15" customHeight="1" x14ac:dyDescent="0.25">
      <c r="A99" s="5" t="s">
        <v>57</v>
      </c>
      <c r="B99" s="5">
        <v>3557</v>
      </c>
      <c r="C99" s="5">
        <v>183791</v>
      </c>
      <c r="D99" s="5">
        <v>3</v>
      </c>
      <c r="E99" s="31" t="s">
        <v>105</v>
      </c>
      <c r="F99" s="31" t="s">
        <v>106</v>
      </c>
      <c r="G99" s="80">
        <v>500</v>
      </c>
      <c r="H99" s="41">
        <v>500</v>
      </c>
      <c r="I99" s="114">
        <f t="shared" si="6"/>
        <v>500</v>
      </c>
      <c r="J99" s="35">
        <v>45351</v>
      </c>
      <c r="K99" s="35"/>
      <c r="L99" s="4"/>
      <c r="M99" s="35"/>
      <c r="N99" s="4"/>
      <c r="O99" s="4"/>
      <c r="P99" s="36">
        <v>17.36</v>
      </c>
      <c r="Q99" s="32">
        <f t="shared" si="7"/>
        <v>8680</v>
      </c>
      <c r="R99" s="33"/>
    </row>
    <row r="100" spans="1:18" s="37" customFormat="1" ht="15" customHeight="1" x14ac:dyDescent="0.25">
      <c r="A100" s="5" t="s">
        <v>57</v>
      </c>
      <c r="B100" s="5">
        <v>3501</v>
      </c>
      <c r="C100" s="5">
        <v>182965</v>
      </c>
      <c r="D100" s="5">
        <v>12</v>
      </c>
      <c r="E100" s="31" t="s">
        <v>107</v>
      </c>
      <c r="F100" s="31" t="s">
        <v>188</v>
      </c>
      <c r="G100" s="80">
        <v>100</v>
      </c>
      <c r="H100" s="41">
        <v>100</v>
      </c>
      <c r="I100" s="114">
        <f t="shared" si="6"/>
        <v>100</v>
      </c>
      <c r="J100" s="35">
        <v>45350</v>
      </c>
      <c r="K100" s="35"/>
      <c r="L100" s="4"/>
      <c r="M100" s="35"/>
      <c r="N100" s="4"/>
      <c r="O100" s="4"/>
      <c r="P100" s="36">
        <v>193.89</v>
      </c>
      <c r="Q100" s="32">
        <f t="shared" si="7"/>
        <v>19389</v>
      </c>
      <c r="R100" s="33"/>
    </row>
    <row r="101" spans="1:18" s="37" customFormat="1" ht="15" customHeight="1" x14ac:dyDescent="0.25">
      <c r="A101" s="6" t="s">
        <v>57</v>
      </c>
      <c r="B101" s="6">
        <v>3482</v>
      </c>
      <c r="C101" s="6">
        <v>182437</v>
      </c>
      <c r="D101" s="6">
        <v>10</v>
      </c>
      <c r="E101" s="120" t="s">
        <v>110</v>
      </c>
      <c r="F101" s="120" t="s">
        <v>111</v>
      </c>
      <c r="G101" s="121">
        <v>200</v>
      </c>
      <c r="H101" s="44">
        <v>200</v>
      </c>
      <c r="I101" s="122">
        <f t="shared" si="6"/>
        <v>200</v>
      </c>
      <c r="J101" s="123">
        <v>45288</v>
      </c>
      <c r="K101" s="35"/>
      <c r="L101" s="4"/>
      <c r="M101" s="35"/>
      <c r="N101" s="4"/>
      <c r="O101" s="4"/>
      <c r="P101" s="36">
        <v>42.35</v>
      </c>
      <c r="Q101" s="32">
        <f t="shared" si="7"/>
        <v>8470</v>
      </c>
      <c r="R101" s="33"/>
    </row>
    <row r="102" spans="1:18" s="37" customFormat="1" ht="15" customHeight="1" x14ac:dyDescent="0.25">
      <c r="A102" s="5" t="s">
        <v>57</v>
      </c>
      <c r="B102" s="5">
        <v>3619</v>
      </c>
      <c r="C102" s="5">
        <v>184417</v>
      </c>
      <c r="D102" s="5">
        <v>28</v>
      </c>
      <c r="E102" s="31" t="s">
        <v>112</v>
      </c>
      <c r="F102" s="31" t="s">
        <v>113</v>
      </c>
      <c r="G102" s="183">
        <v>300</v>
      </c>
      <c r="H102" s="184">
        <v>196</v>
      </c>
      <c r="I102" s="114">
        <f t="shared" si="6"/>
        <v>196</v>
      </c>
      <c r="J102" s="35">
        <v>45316</v>
      </c>
      <c r="K102" s="35"/>
      <c r="L102" s="4"/>
      <c r="M102" s="35"/>
      <c r="N102" s="4"/>
      <c r="O102" s="4"/>
      <c r="P102" s="36">
        <v>18.690000000000001</v>
      </c>
      <c r="Q102" s="32">
        <f t="shared" si="7"/>
        <v>3663.2400000000002</v>
      </c>
      <c r="R102" s="33"/>
    </row>
    <row r="103" spans="1:18" s="37" customFormat="1" ht="15" customHeight="1" x14ac:dyDescent="0.25">
      <c r="A103" s="5" t="s">
        <v>57</v>
      </c>
      <c r="B103" s="5">
        <v>3695</v>
      </c>
      <c r="C103" s="5">
        <v>185440</v>
      </c>
      <c r="D103" s="5">
        <v>2</v>
      </c>
      <c r="E103" s="31" t="s">
        <v>112</v>
      </c>
      <c r="F103" s="31" t="s">
        <v>113</v>
      </c>
      <c r="G103" s="183">
        <v>200</v>
      </c>
      <c r="H103" s="184">
        <v>200</v>
      </c>
      <c r="I103" s="114">
        <f t="shared" si="6"/>
        <v>200</v>
      </c>
      <c r="J103" s="35">
        <v>45344</v>
      </c>
      <c r="K103" s="35"/>
      <c r="L103" s="4"/>
      <c r="M103" s="35"/>
      <c r="N103" s="4"/>
      <c r="O103" s="4"/>
      <c r="P103" s="36">
        <v>18.690000000000001</v>
      </c>
      <c r="Q103" s="32">
        <f t="shared" si="7"/>
        <v>3738.0000000000005</v>
      </c>
      <c r="R103" s="33"/>
    </row>
    <row r="104" spans="1:18" s="37" customFormat="1" ht="15" customHeight="1" x14ac:dyDescent="0.25">
      <c r="A104" s="5" t="s">
        <v>57</v>
      </c>
      <c r="B104" s="5">
        <v>3695</v>
      </c>
      <c r="C104" s="5">
        <v>185440</v>
      </c>
      <c r="D104" s="5">
        <v>3</v>
      </c>
      <c r="E104" s="31" t="s">
        <v>112</v>
      </c>
      <c r="F104" s="31" t="s">
        <v>113</v>
      </c>
      <c r="G104" s="183">
        <v>200</v>
      </c>
      <c r="H104" s="184">
        <v>200</v>
      </c>
      <c r="I104" s="114">
        <f t="shared" ref="I104:I135" si="8">H104-L104</f>
        <v>200</v>
      </c>
      <c r="J104" s="35">
        <v>45348</v>
      </c>
      <c r="K104" s="35"/>
      <c r="L104" s="4"/>
      <c r="M104" s="35"/>
      <c r="N104" s="4"/>
      <c r="O104" s="4"/>
      <c r="P104" s="36">
        <v>18.690000000000001</v>
      </c>
      <c r="Q104" s="32">
        <f t="shared" si="7"/>
        <v>3738.0000000000005</v>
      </c>
      <c r="R104" s="33"/>
    </row>
    <row r="105" spans="1:18" s="37" customFormat="1" ht="15" customHeight="1" x14ac:dyDescent="0.25">
      <c r="A105" s="5" t="s">
        <v>57</v>
      </c>
      <c r="B105" s="5">
        <v>3664</v>
      </c>
      <c r="C105" s="5">
        <v>184857</v>
      </c>
      <c r="D105" s="5">
        <v>5</v>
      </c>
      <c r="E105" s="31" t="s">
        <v>112</v>
      </c>
      <c r="F105" s="31" t="s">
        <v>113</v>
      </c>
      <c r="G105" s="80">
        <v>100</v>
      </c>
      <c r="H105" s="41">
        <v>100</v>
      </c>
      <c r="I105" s="114">
        <f t="shared" si="8"/>
        <v>100</v>
      </c>
      <c r="J105" s="35">
        <v>45350</v>
      </c>
      <c r="K105" s="35"/>
      <c r="L105" s="4"/>
      <c r="M105" s="35"/>
      <c r="N105" s="4"/>
      <c r="O105" s="4"/>
      <c r="P105" s="36">
        <v>18.690000000000001</v>
      </c>
      <c r="Q105" s="32">
        <f t="shared" si="7"/>
        <v>1869.0000000000002</v>
      </c>
      <c r="R105" s="33"/>
    </row>
    <row r="106" spans="1:18" s="37" customFormat="1" ht="15" customHeight="1" x14ac:dyDescent="0.25">
      <c r="A106" s="5" t="s">
        <v>57</v>
      </c>
      <c r="B106" s="5">
        <v>3619</v>
      </c>
      <c r="C106" s="5">
        <v>184417</v>
      </c>
      <c r="D106" s="5">
        <v>29</v>
      </c>
      <c r="E106" s="31" t="s">
        <v>114</v>
      </c>
      <c r="F106" s="31" t="s">
        <v>115</v>
      </c>
      <c r="G106" s="121">
        <v>470</v>
      </c>
      <c r="H106" s="44">
        <v>470</v>
      </c>
      <c r="I106" s="114">
        <f t="shared" si="8"/>
        <v>470</v>
      </c>
      <c r="J106" s="35">
        <v>45336</v>
      </c>
      <c r="K106" s="35"/>
      <c r="L106" s="4"/>
      <c r="M106" s="35"/>
      <c r="N106" s="4"/>
      <c r="O106" s="4"/>
      <c r="P106" s="36">
        <v>22.28</v>
      </c>
      <c r="Q106" s="32">
        <f t="shared" si="7"/>
        <v>10471.6</v>
      </c>
      <c r="R106" s="33"/>
    </row>
    <row r="107" spans="1:18" s="37" customFormat="1" ht="15" customHeight="1" x14ac:dyDescent="0.25">
      <c r="A107" s="5" t="s">
        <v>57</v>
      </c>
      <c r="B107" s="5">
        <v>3619</v>
      </c>
      <c r="C107" s="5">
        <v>184417</v>
      </c>
      <c r="D107" s="5">
        <v>37</v>
      </c>
      <c r="E107" s="31" t="s">
        <v>116</v>
      </c>
      <c r="F107" s="31" t="s">
        <v>304</v>
      </c>
      <c r="G107" s="80">
        <v>500</v>
      </c>
      <c r="H107" s="41">
        <v>350</v>
      </c>
      <c r="I107" s="114">
        <f t="shared" si="8"/>
        <v>350</v>
      </c>
      <c r="J107" s="35">
        <v>45294</v>
      </c>
      <c r="K107" s="35"/>
      <c r="L107" s="4"/>
      <c r="M107" s="35"/>
      <c r="N107" s="4"/>
      <c r="O107" s="4"/>
      <c r="P107" s="36">
        <v>68.23</v>
      </c>
      <c r="Q107" s="32">
        <f t="shared" si="7"/>
        <v>23880.5</v>
      </c>
      <c r="R107" s="33"/>
    </row>
    <row r="108" spans="1:18" s="37" customFormat="1" ht="15" customHeight="1" x14ac:dyDescent="0.25">
      <c r="A108" s="5" t="s">
        <v>57</v>
      </c>
      <c r="B108" s="5">
        <v>3662</v>
      </c>
      <c r="C108" s="5">
        <v>184857</v>
      </c>
      <c r="D108" s="5">
        <v>6</v>
      </c>
      <c r="E108" s="31" t="s">
        <v>116</v>
      </c>
      <c r="F108" s="31" t="s">
        <v>304</v>
      </c>
      <c r="G108" s="80">
        <v>500</v>
      </c>
      <c r="H108" s="41">
        <v>500</v>
      </c>
      <c r="I108" s="114">
        <f t="shared" si="8"/>
        <v>500</v>
      </c>
      <c r="J108" s="35">
        <v>45322</v>
      </c>
      <c r="K108" s="35"/>
      <c r="L108" s="4"/>
      <c r="M108" s="35"/>
      <c r="N108" s="4"/>
      <c r="O108" s="4"/>
      <c r="P108" s="36">
        <v>68.23</v>
      </c>
      <c r="Q108" s="32">
        <f t="shared" si="7"/>
        <v>34115</v>
      </c>
      <c r="R108" s="33"/>
    </row>
    <row r="109" spans="1:18" s="37" customFormat="1" ht="15" customHeight="1" x14ac:dyDescent="0.25">
      <c r="A109" s="5" t="s">
        <v>57</v>
      </c>
      <c r="B109" s="5">
        <v>3695</v>
      </c>
      <c r="C109" s="5">
        <v>185440</v>
      </c>
      <c r="D109" s="5">
        <v>4</v>
      </c>
      <c r="E109" s="31" t="s">
        <v>116</v>
      </c>
      <c r="F109" s="31" t="s">
        <v>304</v>
      </c>
      <c r="G109" s="80">
        <v>500</v>
      </c>
      <c r="H109" s="41">
        <v>500</v>
      </c>
      <c r="I109" s="114">
        <f t="shared" si="8"/>
        <v>500</v>
      </c>
      <c r="J109" s="35">
        <v>45344</v>
      </c>
      <c r="K109" s="35"/>
      <c r="L109" s="4"/>
      <c r="M109" s="35"/>
      <c r="N109" s="4"/>
      <c r="O109" s="4"/>
      <c r="P109" s="36">
        <v>68.23</v>
      </c>
      <c r="Q109" s="32">
        <f t="shared" si="7"/>
        <v>34115</v>
      </c>
      <c r="R109" s="33"/>
    </row>
    <row r="110" spans="1:18" s="37" customFormat="1" ht="15" customHeight="1" x14ac:dyDescent="0.25">
      <c r="A110" s="5" t="s">
        <v>57</v>
      </c>
      <c r="B110" s="5">
        <v>3695</v>
      </c>
      <c r="C110" s="5">
        <v>185440</v>
      </c>
      <c r="D110" s="5">
        <v>5</v>
      </c>
      <c r="E110" s="31" t="s">
        <v>116</v>
      </c>
      <c r="F110" s="31" t="s">
        <v>304</v>
      </c>
      <c r="G110" s="80">
        <v>500</v>
      </c>
      <c r="H110" s="41">
        <v>500</v>
      </c>
      <c r="I110" s="114">
        <f t="shared" si="8"/>
        <v>500</v>
      </c>
      <c r="J110" s="35">
        <v>45363</v>
      </c>
      <c r="K110" s="35"/>
      <c r="L110" s="4"/>
      <c r="M110" s="35"/>
      <c r="N110" s="4"/>
      <c r="O110" s="4"/>
      <c r="P110" s="36">
        <v>68.23</v>
      </c>
      <c r="Q110" s="32">
        <f t="shared" si="7"/>
        <v>34115</v>
      </c>
      <c r="R110" s="33"/>
    </row>
    <row r="111" spans="1:18" s="37" customFormat="1" ht="15" customHeight="1" x14ac:dyDescent="0.25">
      <c r="A111" s="5" t="s">
        <v>57</v>
      </c>
      <c r="B111" s="5">
        <v>3619</v>
      </c>
      <c r="C111" s="5">
        <v>184417</v>
      </c>
      <c r="D111" s="5">
        <v>31</v>
      </c>
      <c r="E111" s="31" t="s">
        <v>118</v>
      </c>
      <c r="F111" s="31" t="s">
        <v>119</v>
      </c>
      <c r="G111" s="80">
        <v>100</v>
      </c>
      <c r="H111" s="41">
        <v>100</v>
      </c>
      <c r="I111" s="114">
        <f t="shared" si="8"/>
        <v>100</v>
      </c>
      <c r="J111" s="35">
        <v>45324</v>
      </c>
      <c r="K111" s="35"/>
      <c r="L111" s="4"/>
      <c r="M111" s="35"/>
      <c r="N111" s="4"/>
      <c r="O111" s="4"/>
      <c r="P111" s="36">
        <v>102.64</v>
      </c>
      <c r="Q111" s="32">
        <f t="shared" si="7"/>
        <v>10264</v>
      </c>
      <c r="R111" s="33"/>
    </row>
    <row r="112" spans="1:18" s="37" customFormat="1" ht="15" customHeight="1" x14ac:dyDescent="0.25">
      <c r="A112" s="5" t="s">
        <v>57</v>
      </c>
      <c r="B112" s="5">
        <v>3678</v>
      </c>
      <c r="C112" s="5">
        <v>185328</v>
      </c>
      <c r="D112" s="5">
        <v>8</v>
      </c>
      <c r="E112" s="31" t="s">
        <v>118</v>
      </c>
      <c r="F112" s="31" t="s">
        <v>119</v>
      </c>
      <c r="G112" s="80">
        <v>100</v>
      </c>
      <c r="H112" s="41">
        <v>100</v>
      </c>
      <c r="I112" s="114">
        <f t="shared" si="8"/>
        <v>100</v>
      </c>
      <c r="J112" s="35">
        <v>45348</v>
      </c>
      <c r="K112" s="35"/>
      <c r="L112" s="4"/>
      <c r="M112" s="35"/>
      <c r="N112" s="4"/>
      <c r="O112" s="4"/>
      <c r="P112" s="36">
        <v>102.64</v>
      </c>
      <c r="Q112" s="32">
        <f t="shared" si="7"/>
        <v>10264</v>
      </c>
      <c r="R112" s="33"/>
    </row>
    <row r="113" spans="1:18" s="37" customFormat="1" ht="15" customHeight="1" x14ac:dyDescent="0.25">
      <c r="A113" s="6" t="s">
        <v>57</v>
      </c>
      <c r="B113" s="6">
        <v>3451</v>
      </c>
      <c r="C113" s="6">
        <v>181887</v>
      </c>
      <c r="D113" s="6">
        <v>12</v>
      </c>
      <c r="E113" s="120" t="s">
        <v>120</v>
      </c>
      <c r="F113" s="120" t="s">
        <v>121</v>
      </c>
      <c r="G113" s="121">
        <v>100</v>
      </c>
      <c r="H113" s="44">
        <v>100</v>
      </c>
      <c r="I113" s="122">
        <f t="shared" si="8"/>
        <v>100</v>
      </c>
      <c r="J113" s="123">
        <v>45288</v>
      </c>
      <c r="K113" s="35"/>
      <c r="L113" s="4"/>
      <c r="M113" s="35"/>
      <c r="N113" s="4"/>
      <c r="O113" s="4"/>
      <c r="P113" s="36">
        <v>218.07</v>
      </c>
      <c r="Q113" s="32">
        <f t="shared" si="7"/>
        <v>21807</v>
      </c>
      <c r="R113" s="33"/>
    </row>
    <row r="114" spans="1:18" s="37" customFormat="1" ht="15" customHeight="1" x14ac:dyDescent="0.25">
      <c r="A114" s="5" t="s">
        <v>57</v>
      </c>
      <c r="B114" s="5">
        <v>3459</v>
      </c>
      <c r="C114" s="5">
        <v>182299</v>
      </c>
      <c r="D114" s="5">
        <v>1</v>
      </c>
      <c r="E114" s="31" t="s">
        <v>120</v>
      </c>
      <c r="F114" s="31" t="s">
        <v>121</v>
      </c>
      <c r="G114" s="80">
        <v>100</v>
      </c>
      <c r="H114" s="41">
        <v>100</v>
      </c>
      <c r="I114" s="119">
        <f t="shared" si="8"/>
        <v>100</v>
      </c>
      <c r="J114" s="35">
        <v>45351</v>
      </c>
      <c r="K114" s="35"/>
      <c r="L114" s="4"/>
      <c r="M114" s="35"/>
      <c r="N114" s="4"/>
      <c r="O114" s="4"/>
      <c r="P114" s="36">
        <v>218.07</v>
      </c>
      <c r="Q114" s="32">
        <f t="shared" si="7"/>
        <v>21807</v>
      </c>
      <c r="R114" s="33"/>
    </row>
    <row r="115" spans="1:18" s="37" customFormat="1" ht="15" customHeight="1" x14ac:dyDescent="0.25">
      <c r="A115" s="6" t="s">
        <v>57</v>
      </c>
      <c r="B115" s="6">
        <v>3523</v>
      </c>
      <c r="C115" s="6">
        <v>183229</v>
      </c>
      <c r="D115" s="6">
        <v>6</v>
      </c>
      <c r="E115" s="120" t="s">
        <v>120</v>
      </c>
      <c r="F115" s="120" t="s">
        <v>121</v>
      </c>
      <c r="G115" s="121">
        <v>100</v>
      </c>
      <c r="H115" s="44">
        <v>100</v>
      </c>
      <c r="I115" s="122">
        <f t="shared" si="8"/>
        <v>100</v>
      </c>
      <c r="J115" s="123"/>
      <c r="K115" s="35"/>
      <c r="L115" s="4"/>
      <c r="M115" s="35"/>
      <c r="N115" s="4"/>
      <c r="O115" s="4"/>
      <c r="P115" s="36">
        <v>218.07</v>
      </c>
      <c r="Q115" s="32">
        <f t="shared" ref="Q115:Q146" si="9">P115*H115</f>
        <v>21807</v>
      </c>
      <c r="R115" s="33"/>
    </row>
    <row r="116" spans="1:18" s="37" customFormat="1" ht="15" customHeight="1" x14ac:dyDescent="0.25">
      <c r="A116" s="5" t="s">
        <v>57</v>
      </c>
      <c r="B116" s="5">
        <v>3518</v>
      </c>
      <c r="C116" s="5">
        <v>183092</v>
      </c>
      <c r="D116" s="5">
        <v>15</v>
      </c>
      <c r="E116" s="31" t="s">
        <v>124</v>
      </c>
      <c r="F116" s="31" t="s">
        <v>125</v>
      </c>
      <c r="G116" s="80">
        <v>50</v>
      </c>
      <c r="H116" s="41">
        <v>50</v>
      </c>
      <c r="I116" s="114">
        <f t="shared" si="8"/>
        <v>50</v>
      </c>
      <c r="J116" s="35">
        <v>45350</v>
      </c>
      <c r="K116" s="35"/>
      <c r="L116" s="4"/>
      <c r="M116" s="35"/>
      <c r="N116" s="4"/>
      <c r="O116" s="4"/>
      <c r="P116" s="36">
        <v>50.16</v>
      </c>
      <c r="Q116" s="32">
        <f t="shared" si="9"/>
        <v>2508</v>
      </c>
      <c r="R116" s="33"/>
    </row>
    <row r="117" spans="1:18" s="37" customFormat="1" ht="15" customHeight="1" x14ac:dyDescent="0.25">
      <c r="A117" s="5" t="s">
        <v>57</v>
      </c>
      <c r="B117" s="5">
        <v>3518</v>
      </c>
      <c r="C117" s="5">
        <v>183092</v>
      </c>
      <c r="D117" s="5">
        <v>16</v>
      </c>
      <c r="E117" s="31" t="s">
        <v>126</v>
      </c>
      <c r="F117" s="31" t="s">
        <v>189</v>
      </c>
      <c r="G117" s="80">
        <v>22</v>
      </c>
      <c r="H117" s="41">
        <v>22</v>
      </c>
      <c r="I117" s="114">
        <f t="shared" si="8"/>
        <v>22</v>
      </c>
      <c r="J117" s="35">
        <v>45348</v>
      </c>
      <c r="K117" s="35"/>
      <c r="L117" s="4"/>
      <c r="M117" s="35"/>
      <c r="N117" s="4"/>
      <c r="O117" s="4"/>
      <c r="P117" s="36">
        <v>23.73</v>
      </c>
      <c r="Q117" s="32">
        <f t="shared" si="9"/>
        <v>522.06000000000006</v>
      </c>
      <c r="R117" s="33"/>
    </row>
    <row r="118" spans="1:18" ht="15" customHeight="1" x14ac:dyDescent="0.25">
      <c r="A118" s="5" t="s">
        <v>57</v>
      </c>
      <c r="B118" s="5">
        <v>3518</v>
      </c>
      <c r="C118" s="5">
        <v>183092</v>
      </c>
      <c r="D118" s="5">
        <v>17</v>
      </c>
      <c r="E118" s="31" t="s">
        <v>127</v>
      </c>
      <c r="F118" s="31" t="s">
        <v>190</v>
      </c>
      <c r="G118" s="31">
        <v>100</v>
      </c>
      <c r="H118" s="5">
        <v>100</v>
      </c>
      <c r="I118" s="119">
        <f t="shared" si="8"/>
        <v>100</v>
      </c>
      <c r="J118" s="35">
        <v>45299</v>
      </c>
      <c r="K118" s="35"/>
      <c r="L118" s="4"/>
      <c r="M118" s="35"/>
      <c r="N118" s="4"/>
      <c r="O118" s="4"/>
      <c r="P118" s="36">
        <v>230</v>
      </c>
      <c r="Q118" s="32">
        <f t="shared" si="9"/>
        <v>23000</v>
      </c>
    </row>
    <row r="119" spans="1:18" s="37" customFormat="1" ht="15" customHeight="1" x14ac:dyDescent="0.25">
      <c r="A119" s="16" t="s">
        <v>57</v>
      </c>
      <c r="B119" s="16">
        <v>3619</v>
      </c>
      <c r="C119" s="16">
        <v>184417</v>
      </c>
      <c r="D119" s="16">
        <v>32</v>
      </c>
      <c r="E119" s="42" t="s">
        <v>127</v>
      </c>
      <c r="F119" s="42" t="s">
        <v>190</v>
      </c>
      <c r="G119" s="80">
        <v>100</v>
      </c>
      <c r="H119" s="41">
        <v>100</v>
      </c>
      <c r="I119" s="114">
        <f t="shared" si="8"/>
        <v>100</v>
      </c>
      <c r="J119" s="35">
        <v>45338</v>
      </c>
      <c r="K119" s="35"/>
      <c r="L119" s="4"/>
      <c r="M119" s="35"/>
      <c r="N119" s="4"/>
      <c r="O119" s="4"/>
      <c r="P119" s="36">
        <v>23</v>
      </c>
      <c r="Q119" s="32">
        <f t="shared" si="9"/>
        <v>2300</v>
      </c>
      <c r="R119" s="33"/>
    </row>
    <row r="120" spans="1:18" s="37" customFormat="1" ht="15" customHeight="1" x14ac:dyDescent="0.25">
      <c r="A120" s="16" t="s">
        <v>57</v>
      </c>
      <c r="B120" s="16">
        <v>3619</v>
      </c>
      <c r="C120" s="16">
        <v>184417</v>
      </c>
      <c r="D120" s="16">
        <v>33</v>
      </c>
      <c r="E120" s="42" t="s">
        <v>130</v>
      </c>
      <c r="F120" s="42" t="s">
        <v>131</v>
      </c>
      <c r="G120" s="80">
        <v>50</v>
      </c>
      <c r="H120" s="41">
        <v>50</v>
      </c>
      <c r="I120" s="114">
        <f t="shared" si="8"/>
        <v>50</v>
      </c>
      <c r="J120" s="35">
        <v>45338</v>
      </c>
      <c r="K120" s="35"/>
      <c r="L120" s="4"/>
      <c r="M120" s="35"/>
      <c r="N120" s="4"/>
      <c r="O120" s="4"/>
      <c r="P120" s="36">
        <v>39.97</v>
      </c>
      <c r="Q120" s="32">
        <f t="shared" si="9"/>
        <v>1998.5</v>
      </c>
      <c r="R120" s="33"/>
    </row>
    <row r="121" spans="1:18" s="37" customFormat="1" ht="15" customHeight="1" x14ac:dyDescent="0.25">
      <c r="A121" s="5" t="s">
        <v>57</v>
      </c>
      <c r="B121" s="5">
        <v>3530</v>
      </c>
      <c r="C121" s="5">
        <v>184416</v>
      </c>
      <c r="D121" s="5">
        <v>1</v>
      </c>
      <c r="E121" s="31" t="s">
        <v>132</v>
      </c>
      <c r="F121" s="31" t="s">
        <v>133</v>
      </c>
      <c r="G121" s="80">
        <v>500</v>
      </c>
      <c r="H121" s="41">
        <v>500</v>
      </c>
      <c r="I121" s="114">
        <f t="shared" si="8"/>
        <v>500</v>
      </c>
      <c r="J121" s="35">
        <v>45294</v>
      </c>
      <c r="K121" s="35"/>
      <c r="L121" s="4"/>
      <c r="M121" s="35"/>
      <c r="N121" s="4"/>
      <c r="O121" s="4"/>
      <c r="P121" s="36">
        <v>15.96</v>
      </c>
      <c r="Q121" s="32">
        <f t="shared" si="9"/>
        <v>7980</v>
      </c>
      <c r="R121" s="33"/>
    </row>
    <row r="122" spans="1:18" s="37" customFormat="1" ht="15" customHeight="1" x14ac:dyDescent="0.25">
      <c r="A122" s="5" t="s">
        <v>57</v>
      </c>
      <c r="B122" s="4">
        <v>3650</v>
      </c>
      <c r="C122" s="5">
        <v>184825</v>
      </c>
      <c r="D122" s="5">
        <v>1</v>
      </c>
      <c r="E122" s="31" t="s">
        <v>132</v>
      </c>
      <c r="F122" s="31" t="s">
        <v>133</v>
      </c>
      <c r="G122" s="80">
        <v>500</v>
      </c>
      <c r="H122" s="41">
        <v>500</v>
      </c>
      <c r="I122" s="114">
        <f t="shared" si="8"/>
        <v>500</v>
      </c>
      <c r="J122" s="35">
        <v>45294</v>
      </c>
      <c r="K122" s="35"/>
      <c r="L122" s="4"/>
      <c r="M122" s="35"/>
      <c r="N122" s="4"/>
      <c r="O122" s="4"/>
      <c r="P122" s="36">
        <v>15.96</v>
      </c>
      <c r="Q122" s="32">
        <f t="shared" si="9"/>
        <v>7980</v>
      </c>
      <c r="R122" s="33"/>
    </row>
    <row r="123" spans="1:18" s="37" customFormat="1" ht="15" customHeight="1" x14ac:dyDescent="0.25">
      <c r="A123" s="5" t="s">
        <v>57</v>
      </c>
      <c r="B123" s="4">
        <v>3650</v>
      </c>
      <c r="C123" s="5">
        <v>184825</v>
      </c>
      <c r="D123" s="5">
        <v>2</v>
      </c>
      <c r="E123" s="31" t="s">
        <v>132</v>
      </c>
      <c r="F123" s="31" t="s">
        <v>133</v>
      </c>
      <c r="G123" s="80">
        <v>500</v>
      </c>
      <c r="H123" s="41">
        <v>500</v>
      </c>
      <c r="I123" s="114">
        <f t="shared" si="8"/>
        <v>500</v>
      </c>
      <c r="J123" s="35">
        <v>45328</v>
      </c>
      <c r="K123" s="35"/>
      <c r="L123" s="4"/>
      <c r="M123" s="35"/>
      <c r="N123" s="4"/>
      <c r="O123" s="4"/>
      <c r="P123" s="36">
        <v>15.96</v>
      </c>
      <c r="Q123" s="32">
        <f t="shared" si="9"/>
        <v>7980</v>
      </c>
      <c r="R123" s="33"/>
    </row>
    <row r="124" spans="1:18" s="37" customFormat="1" ht="15" customHeight="1" x14ac:dyDescent="0.25">
      <c r="A124" s="5" t="s">
        <v>57</v>
      </c>
      <c r="B124" s="4">
        <v>3675</v>
      </c>
      <c r="C124" s="5">
        <v>185168</v>
      </c>
      <c r="D124" s="5">
        <v>1</v>
      </c>
      <c r="E124" s="31" t="s">
        <v>132</v>
      </c>
      <c r="F124" s="31" t="s">
        <v>133</v>
      </c>
      <c r="G124" s="80">
        <v>500</v>
      </c>
      <c r="H124" s="41">
        <v>500</v>
      </c>
      <c r="I124" s="114">
        <f t="shared" si="8"/>
        <v>500</v>
      </c>
      <c r="J124" s="35">
        <v>45330</v>
      </c>
      <c r="K124" s="35"/>
      <c r="L124" s="4"/>
      <c r="M124" s="35"/>
      <c r="N124" s="4"/>
      <c r="O124" s="4"/>
      <c r="P124" s="36">
        <v>15.96</v>
      </c>
      <c r="Q124" s="32">
        <f t="shared" si="9"/>
        <v>7980</v>
      </c>
      <c r="R124" s="33"/>
    </row>
    <row r="125" spans="1:18" s="37" customFormat="1" ht="15" customHeight="1" x14ac:dyDescent="0.25">
      <c r="A125" s="5" t="s">
        <v>57</v>
      </c>
      <c r="B125" s="4">
        <v>3675</v>
      </c>
      <c r="C125" s="5">
        <v>185168</v>
      </c>
      <c r="D125" s="5">
        <v>2</v>
      </c>
      <c r="E125" s="31" t="s">
        <v>132</v>
      </c>
      <c r="F125" s="31" t="s">
        <v>133</v>
      </c>
      <c r="G125" s="80">
        <v>1000</v>
      </c>
      <c r="H125" s="41">
        <v>1000</v>
      </c>
      <c r="I125" s="119">
        <f t="shared" si="8"/>
        <v>1000</v>
      </c>
      <c r="J125" s="35">
        <v>45349</v>
      </c>
      <c r="K125" s="35"/>
      <c r="L125" s="4"/>
      <c r="M125" s="35"/>
      <c r="N125" s="4"/>
      <c r="O125" s="4"/>
      <c r="P125" s="36">
        <v>15.96</v>
      </c>
      <c r="Q125" s="32">
        <f t="shared" si="9"/>
        <v>15960</v>
      </c>
      <c r="R125" s="33"/>
    </row>
    <row r="126" spans="1:18" s="37" customFormat="1" ht="15" customHeight="1" x14ac:dyDescent="0.25">
      <c r="A126" s="5" t="s">
        <v>57</v>
      </c>
      <c r="B126" s="5">
        <v>3619</v>
      </c>
      <c r="C126" s="5">
        <v>184417</v>
      </c>
      <c r="D126" s="5">
        <v>3</v>
      </c>
      <c r="E126" s="31" t="s">
        <v>138</v>
      </c>
      <c r="F126" s="31" t="s">
        <v>139</v>
      </c>
      <c r="G126" s="121">
        <v>2000</v>
      </c>
      <c r="H126" s="44">
        <v>2000</v>
      </c>
      <c r="I126" s="5">
        <f t="shared" si="8"/>
        <v>2000</v>
      </c>
      <c r="J126" s="35">
        <v>45338</v>
      </c>
      <c r="K126" s="35"/>
      <c r="L126" s="4"/>
      <c r="M126" s="35"/>
      <c r="N126" s="4"/>
      <c r="O126" s="4"/>
      <c r="P126" s="36">
        <v>20.16</v>
      </c>
      <c r="Q126" s="32">
        <f t="shared" si="9"/>
        <v>40320</v>
      </c>
      <c r="R126" s="33"/>
    </row>
    <row r="127" spans="1:18" s="37" customFormat="1" ht="15" customHeight="1" x14ac:dyDescent="0.25">
      <c r="A127" s="5" t="s">
        <v>57</v>
      </c>
      <c r="B127" s="5">
        <v>3702</v>
      </c>
      <c r="C127" s="5">
        <v>185636</v>
      </c>
      <c r="D127" s="5">
        <v>1</v>
      </c>
      <c r="E127" s="31" t="s">
        <v>297</v>
      </c>
      <c r="F127" s="31" t="s">
        <v>298</v>
      </c>
      <c r="G127" s="31">
        <v>350</v>
      </c>
      <c r="H127" s="5">
        <v>350</v>
      </c>
      <c r="I127" s="119">
        <f t="shared" si="8"/>
        <v>350</v>
      </c>
      <c r="J127" s="35">
        <v>45325</v>
      </c>
      <c r="K127" s="35"/>
      <c r="L127" s="4"/>
      <c r="M127" s="35"/>
      <c r="N127" s="4"/>
      <c r="O127" s="4"/>
      <c r="P127" s="36">
        <v>11.25</v>
      </c>
      <c r="Q127" s="32">
        <f t="shared" si="9"/>
        <v>3937.5</v>
      </c>
      <c r="R127" s="33"/>
    </row>
    <row r="128" spans="1:18" s="37" customFormat="1" ht="15" hidden="1" customHeight="1" x14ac:dyDescent="0.25">
      <c r="A128" s="5" t="s">
        <v>34</v>
      </c>
      <c r="B128" s="5">
        <v>3685</v>
      </c>
      <c r="C128" s="5">
        <v>348411</v>
      </c>
      <c r="D128" s="5" t="s">
        <v>6</v>
      </c>
      <c r="E128" s="31" t="s">
        <v>373</v>
      </c>
      <c r="F128" s="42" t="s">
        <v>374</v>
      </c>
      <c r="G128" s="115">
        <v>3</v>
      </c>
      <c r="H128" s="70">
        <v>3</v>
      </c>
      <c r="I128" s="114">
        <f t="shared" si="8"/>
        <v>3</v>
      </c>
      <c r="J128" s="35">
        <v>45369</v>
      </c>
      <c r="K128" s="35"/>
      <c r="L128" s="4"/>
      <c r="M128" s="35"/>
      <c r="N128" s="4"/>
      <c r="O128" s="4"/>
      <c r="P128" s="94">
        <v>3391.78</v>
      </c>
      <c r="Q128" s="32">
        <f t="shared" si="9"/>
        <v>10175.34</v>
      </c>
      <c r="R128" s="33"/>
    </row>
    <row r="129" spans="1:18" s="37" customFormat="1" ht="15" customHeight="1" x14ac:dyDescent="0.25">
      <c r="A129" s="2" t="s">
        <v>57</v>
      </c>
      <c r="B129" s="4">
        <v>3712</v>
      </c>
      <c r="C129" s="2">
        <v>185636</v>
      </c>
      <c r="D129" s="2">
        <v>1</v>
      </c>
      <c r="E129" s="1" t="s">
        <v>297</v>
      </c>
      <c r="F129" s="1" t="s">
        <v>298</v>
      </c>
      <c r="G129" s="300">
        <v>350</v>
      </c>
      <c r="H129" s="41">
        <f>G129</f>
        <v>350</v>
      </c>
      <c r="I129" s="114">
        <f t="shared" si="8"/>
        <v>350</v>
      </c>
      <c r="J129" s="3"/>
      <c r="K129" s="3"/>
      <c r="L129" s="67"/>
      <c r="M129" s="3"/>
      <c r="N129" s="67"/>
      <c r="O129" s="67"/>
      <c r="P129" s="28">
        <v>11.25</v>
      </c>
      <c r="Q129" s="32">
        <f t="shared" si="9"/>
        <v>3937.5</v>
      </c>
      <c r="R129" s="33"/>
    </row>
    <row r="130" spans="1:18" s="37" customFormat="1" ht="15" customHeight="1" x14ac:dyDescent="0.25">
      <c r="A130" s="5" t="s">
        <v>57</v>
      </c>
      <c r="B130" s="5">
        <v>3619</v>
      </c>
      <c r="C130" s="5">
        <v>184417</v>
      </c>
      <c r="D130" s="5">
        <v>5</v>
      </c>
      <c r="E130" s="31" t="s">
        <v>142</v>
      </c>
      <c r="F130" s="31" t="s">
        <v>143</v>
      </c>
      <c r="G130" s="80">
        <v>500</v>
      </c>
      <c r="H130" s="41">
        <v>500</v>
      </c>
      <c r="I130" s="114">
        <f t="shared" si="8"/>
        <v>500</v>
      </c>
      <c r="J130" s="35">
        <v>45331</v>
      </c>
      <c r="K130" s="106"/>
      <c r="L130" s="108"/>
      <c r="M130" s="106"/>
      <c r="N130" s="108"/>
      <c r="O130" s="108"/>
      <c r="P130" s="36">
        <v>8.75</v>
      </c>
      <c r="Q130" s="32">
        <f t="shared" si="9"/>
        <v>4375</v>
      </c>
      <c r="R130" s="33"/>
    </row>
    <row r="131" spans="1:18" s="37" customFormat="1" ht="15" hidden="1" customHeight="1" x14ac:dyDescent="0.25">
      <c r="A131" s="5" t="s">
        <v>16</v>
      </c>
      <c r="B131" s="5">
        <v>3338</v>
      </c>
      <c r="C131" s="5">
        <v>35983</v>
      </c>
      <c r="D131" s="5">
        <v>15</v>
      </c>
      <c r="E131" s="31" t="s">
        <v>44</v>
      </c>
      <c r="F131" s="31" t="s">
        <v>45</v>
      </c>
      <c r="G131" s="80">
        <v>27</v>
      </c>
      <c r="H131" s="41">
        <v>27</v>
      </c>
      <c r="I131" s="114">
        <f t="shared" si="8"/>
        <v>27</v>
      </c>
      <c r="J131" s="35"/>
      <c r="K131" s="106"/>
      <c r="L131" s="108"/>
      <c r="M131" s="106"/>
      <c r="N131" s="108"/>
      <c r="O131" s="108"/>
      <c r="P131" s="36">
        <v>87.35</v>
      </c>
      <c r="Q131" s="32">
        <f t="shared" si="9"/>
        <v>2358.4499999999998</v>
      </c>
      <c r="R131" s="33"/>
    </row>
    <row r="132" spans="1:18" s="37" customFormat="1" ht="15" hidden="1" customHeight="1" x14ac:dyDescent="0.25">
      <c r="A132" s="5" t="s">
        <v>16</v>
      </c>
      <c r="B132" s="5">
        <v>3338</v>
      </c>
      <c r="C132" s="5">
        <v>35983</v>
      </c>
      <c r="D132" s="5">
        <v>16</v>
      </c>
      <c r="E132" s="31" t="s">
        <v>44</v>
      </c>
      <c r="F132" s="31" t="s">
        <v>45</v>
      </c>
      <c r="G132" s="80">
        <v>200</v>
      </c>
      <c r="H132" s="41">
        <v>157</v>
      </c>
      <c r="I132" s="114">
        <f t="shared" si="8"/>
        <v>157</v>
      </c>
      <c r="J132" s="35"/>
      <c r="K132" s="35"/>
      <c r="L132" s="4"/>
      <c r="M132" s="35"/>
      <c r="N132" s="4"/>
      <c r="O132" s="4"/>
      <c r="P132" s="36">
        <v>88.35</v>
      </c>
      <c r="Q132" s="32">
        <f t="shared" si="9"/>
        <v>13870.949999999999</v>
      </c>
      <c r="R132" s="33"/>
    </row>
    <row r="133" spans="1:18" s="37" customFormat="1" ht="15" hidden="1" customHeight="1" x14ac:dyDescent="0.25">
      <c r="A133" s="5" t="s">
        <v>16</v>
      </c>
      <c r="B133" s="5">
        <v>3338</v>
      </c>
      <c r="C133" s="5">
        <v>35983</v>
      </c>
      <c r="D133" s="5">
        <v>14</v>
      </c>
      <c r="E133" s="31" t="s">
        <v>46</v>
      </c>
      <c r="F133" s="31" t="s">
        <v>47</v>
      </c>
      <c r="G133" s="80">
        <v>50</v>
      </c>
      <c r="H133" s="41">
        <v>36</v>
      </c>
      <c r="I133" s="114">
        <f t="shared" si="8"/>
        <v>36</v>
      </c>
      <c r="J133" s="35"/>
      <c r="K133" s="106"/>
      <c r="L133" s="108"/>
      <c r="M133" s="106"/>
      <c r="N133" s="108"/>
      <c r="O133" s="108"/>
      <c r="P133" s="36">
        <v>136.18</v>
      </c>
      <c r="Q133" s="32">
        <f t="shared" si="9"/>
        <v>4902.4800000000005</v>
      </c>
      <c r="R133" s="33"/>
    </row>
    <row r="134" spans="1:18" s="37" customFormat="1" ht="15" hidden="1" customHeight="1" x14ac:dyDescent="0.25">
      <c r="A134" s="5" t="s">
        <v>16</v>
      </c>
      <c r="B134" s="5">
        <v>3068</v>
      </c>
      <c r="C134" s="5">
        <v>35983</v>
      </c>
      <c r="D134" s="5">
        <v>11</v>
      </c>
      <c r="E134" s="31" t="s">
        <v>48</v>
      </c>
      <c r="F134" s="31" t="s">
        <v>49</v>
      </c>
      <c r="G134" s="80">
        <v>150</v>
      </c>
      <c r="H134" s="41">
        <v>34</v>
      </c>
      <c r="I134" s="114">
        <f t="shared" si="8"/>
        <v>34</v>
      </c>
      <c r="J134" s="35"/>
      <c r="K134" s="106"/>
      <c r="L134" s="108"/>
      <c r="M134" s="106"/>
      <c r="N134" s="108"/>
      <c r="O134" s="108"/>
      <c r="P134" s="36">
        <v>336.06</v>
      </c>
      <c r="Q134" s="32">
        <f t="shared" si="9"/>
        <v>11426.04</v>
      </c>
      <c r="R134" s="33"/>
    </row>
    <row r="135" spans="1:18" s="37" customFormat="1" ht="15" hidden="1" customHeight="1" x14ac:dyDescent="0.25">
      <c r="A135" s="5" t="s">
        <v>16</v>
      </c>
      <c r="B135" s="5">
        <v>3068</v>
      </c>
      <c r="C135" s="5">
        <v>35983</v>
      </c>
      <c r="D135" s="5">
        <v>12</v>
      </c>
      <c r="E135" s="31" t="s">
        <v>48</v>
      </c>
      <c r="F135" s="31" t="s">
        <v>49</v>
      </c>
      <c r="G135" s="80">
        <v>150</v>
      </c>
      <c r="H135" s="41">
        <v>150</v>
      </c>
      <c r="I135" s="114">
        <f t="shared" si="8"/>
        <v>150</v>
      </c>
      <c r="J135" s="35"/>
      <c r="K135" s="106"/>
      <c r="L135" s="108"/>
      <c r="M135" s="106"/>
      <c r="N135" s="108"/>
      <c r="O135" s="108"/>
      <c r="P135" s="36">
        <v>336.06</v>
      </c>
      <c r="Q135" s="32">
        <f t="shared" si="9"/>
        <v>50409</v>
      </c>
      <c r="R135" s="33"/>
    </row>
    <row r="136" spans="1:18" s="37" customFormat="1" ht="15" hidden="1" customHeight="1" x14ac:dyDescent="0.25">
      <c r="A136" s="5" t="s">
        <v>16</v>
      </c>
      <c r="B136" s="5">
        <v>3068</v>
      </c>
      <c r="C136" s="5">
        <v>35983</v>
      </c>
      <c r="D136" s="5">
        <v>9</v>
      </c>
      <c r="E136" s="31" t="s">
        <v>50</v>
      </c>
      <c r="F136" s="31" t="s">
        <v>49</v>
      </c>
      <c r="G136" s="80">
        <v>60</v>
      </c>
      <c r="H136" s="41">
        <v>11</v>
      </c>
      <c r="I136" s="114">
        <f t="shared" ref="I136:I150" si="10">H136-L136</f>
        <v>11</v>
      </c>
      <c r="J136" s="35"/>
      <c r="K136" s="106"/>
      <c r="L136" s="108"/>
      <c r="M136" s="106"/>
      <c r="N136" s="108"/>
      <c r="O136" s="108"/>
      <c r="P136" s="36">
        <v>263.63</v>
      </c>
      <c r="Q136" s="32">
        <f t="shared" si="9"/>
        <v>2899.93</v>
      </c>
      <c r="R136" s="33"/>
    </row>
    <row r="137" spans="1:18" s="37" customFormat="1" ht="15" hidden="1" customHeight="1" x14ac:dyDescent="0.25">
      <c r="A137" s="5" t="s">
        <v>16</v>
      </c>
      <c r="B137" s="5">
        <v>3068</v>
      </c>
      <c r="C137" s="5">
        <v>35983</v>
      </c>
      <c r="D137" s="5">
        <v>9</v>
      </c>
      <c r="E137" s="31" t="s">
        <v>50</v>
      </c>
      <c r="F137" s="31" t="s">
        <v>49</v>
      </c>
      <c r="G137" s="80">
        <v>60</v>
      </c>
      <c r="H137" s="41">
        <v>11</v>
      </c>
      <c r="I137" s="114">
        <f t="shared" si="10"/>
        <v>11</v>
      </c>
      <c r="J137" s="35"/>
      <c r="K137" s="106"/>
      <c r="L137" s="108"/>
      <c r="M137" s="106"/>
      <c r="N137" s="108"/>
      <c r="O137" s="108"/>
      <c r="P137" s="36">
        <v>264.63</v>
      </c>
      <c r="Q137" s="32">
        <f t="shared" si="9"/>
        <v>2910.93</v>
      </c>
      <c r="R137" s="33"/>
    </row>
    <row r="138" spans="1:18" s="37" customFormat="1" ht="15" hidden="1" customHeight="1" x14ac:dyDescent="0.25">
      <c r="A138" s="5" t="s">
        <v>16</v>
      </c>
      <c r="B138" s="5">
        <v>3068</v>
      </c>
      <c r="C138" s="5">
        <v>35983</v>
      </c>
      <c r="D138" s="5">
        <v>10</v>
      </c>
      <c r="E138" s="31" t="s">
        <v>50</v>
      </c>
      <c r="F138" s="31" t="s">
        <v>49</v>
      </c>
      <c r="G138" s="80">
        <v>60</v>
      </c>
      <c r="H138" s="41">
        <v>60</v>
      </c>
      <c r="I138" s="114">
        <f t="shared" si="10"/>
        <v>60</v>
      </c>
      <c r="J138" s="35"/>
      <c r="K138" s="106"/>
      <c r="L138" s="108"/>
      <c r="M138" s="106"/>
      <c r="N138" s="108"/>
      <c r="O138" s="108"/>
      <c r="P138" s="36">
        <v>264.63</v>
      </c>
      <c r="Q138" s="32">
        <f t="shared" si="9"/>
        <v>15877.8</v>
      </c>
      <c r="R138" s="33"/>
    </row>
    <row r="139" spans="1:18" s="37" customFormat="1" ht="15" hidden="1" customHeight="1" x14ac:dyDescent="0.25">
      <c r="A139" s="5" t="s">
        <v>16</v>
      </c>
      <c r="B139" s="5">
        <v>3472</v>
      </c>
      <c r="C139" s="5">
        <v>36939</v>
      </c>
      <c r="D139" s="5">
        <v>4</v>
      </c>
      <c r="E139" s="31" t="s">
        <v>51</v>
      </c>
      <c r="F139" s="31" t="s">
        <v>52</v>
      </c>
      <c r="G139" s="80">
        <v>100</v>
      </c>
      <c r="H139" s="41">
        <v>100</v>
      </c>
      <c r="I139" s="114">
        <f t="shared" si="10"/>
        <v>100</v>
      </c>
      <c r="J139" s="35"/>
      <c r="K139" s="106"/>
      <c r="L139" s="108"/>
      <c r="M139" s="106"/>
      <c r="N139" s="108"/>
      <c r="O139" s="108"/>
      <c r="P139" s="36">
        <v>23.99</v>
      </c>
      <c r="Q139" s="32">
        <f t="shared" si="9"/>
        <v>2399</v>
      </c>
      <c r="R139" s="33"/>
    </row>
    <row r="140" spans="1:18" s="37" customFormat="1" ht="15" hidden="1" customHeight="1" x14ac:dyDescent="0.25">
      <c r="A140" s="5" t="s">
        <v>16</v>
      </c>
      <c r="B140" s="5">
        <v>3338</v>
      </c>
      <c r="C140" s="5">
        <v>35983</v>
      </c>
      <c r="D140" s="5">
        <v>24</v>
      </c>
      <c r="E140" s="31" t="s">
        <v>51</v>
      </c>
      <c r="F140" s="31" t="s">
        <v>52</v>
      </c>
      <c r="G140" s="80">
        <v>200</v>
      </c>
      <c r="H140" s="41">
        <v>200</v>
      </c>
      <c r="I140" s="114">
        <f t="shared" si="10"/>
        <v>200</v>
      </c>
      <c r="J140" s="35"/>
      <c r="K140" s="106"/>
      <c r="L140" s="108"/>
      <c r="M140" s="106"/>
      <c r="N140" s="108"/>
      <c r="O140" s="108"/>
      <c r="P140" s="36">
        <v>21.81</v>
      </c>
      <c r="Q140" s="32">
        <f t="shared" si="9"/>
        <v>4362</v>
      </c>
      <c r="R140" s="33"/>
    </row>
    <row r="141" spans="1:18" s="37" customFormat="1" ht="15" hidden="1" customHeight="1" x14ac:dyDescent="0.25">
      <c r="A141" s="5" t="s">
        <v>16</v>
      </c>
      <c r="B141" s="5">
        <v>3481</v>
      </c>
      <c r="C141" s="5">
        <v>37052</v>
      </c>
      <c r="D141" s="5">
        <v>2</v>
      </c>
      <c r="E141" s="31" t="s">
        <v>155</v>
      </c>
      <c r="F141" s="31" t="s">
        <v>156</v>
      </c>
      <c r="G141" s="80">
        <v>100</v>
      </c>
      <c r="H141" s="41">
        <v>8</v>
      </c>
      <c r="I141" s="114">
        <f t="shared" si="10"/>
        <v>8</v>
      </c>
      <c r="J141" s="35"/>
      <c r="K141" s="106"/>
      <c r="L141" s="108"/>
      <c r="M141" s="106"/>
      <c r="N141" s="108"/>
      <c r="O141" s="108"/>
      <c r="P141" s="36">
        <v>43.4</v>
      </c>
      <c r="Q141" s="32">
        <f t="shared" si="9"/>
        <v>347.2</v>
      </c>
      <c r="R141" s="33"/>
    </row>
    <row r="142" spans="1:18" s="37" customFormat="1" ht="15" hidden="1" customHeight="1" x14ac:dyDescent="0.25">
      <c r="A142" s="5" t="s">
        <v>16</v>
      </c>
      <c r="B142" s="5">
        <v>3338</v>
      </c>
      <c r="C142" s="5">
        <v>35983</v>
      </c>
      <c r="D142" s="5">
        <v>22</v>
      </c>
      <c r="E142" s="31" t="s">
        <v>155</v>
      </c>
      <c r="F142" s="31" t="s">
        <v>156</v>
      </c>
      <c r="G142" s="80">
        <v>50</v>
      </c>
      <c r="H142" s="41">
        <v>50</v>
      </c>
      <c r="I142" s="114">
        <f t="shared" si="10"/>
        <v>50</v>
      </c>
      <c r="J142" s="35"/>
      <c r="K142" s="106"/>
      <c r="L142" s="108"/>
      <c r="M142" s="106"/>
      <c r="N142" s="108"/>
      <c r="O142" s="108"/>
      <c r="P142" s="36">
        <v>39.450000000000003</v>
      </c>
      <c r="Q142" s="32">
        <f t="shared" si="9"/>
        <v>1972.5000000000002</v>
      </c>
      <c r="R142" s="33"/>
    </row>
    <row r="143" spans="1:18" s="37" customFormat="1" ht="15" hidden="1" customHeight="1" x14ac:dyDescent="0.25">
      <c r="A143" s="5" t="s">
        <v>16</v>
      </c>
      <c r="B143" s="5">
        <v>3472</v>
      </c>
      <c r="C143" s="5">
        <v>35983</v>
      </c>
      <c r="D143" s="5">
        <v>18</v>
      </c>
      <c r="E143" s="31" t="s">
        <v>53</v>
      </c>
      <c r="F143" s="31" t="s">
        <v>54</v>
      </c>
      <c r="G143" s="80">
        <v>50</v>
      </c>
      <c r="H143" s="41">
        <v>37</v>
      </c>
      <c r="I143" s="114">
        <f t="shared" si="10"/>
        <v>37</v>
      </c>
      <c r="J143" s="35"/>
      <c r="K143" s="106"/>
      <c r="L143" s="108"/>
      <c r="M143" s="106"/>
      <c r="N143" s="108"/>
      <c r="O143" s="108"/>
      <c r="P143" s="36">
        <v>400.8</v>
      </c>
      <c r="Q143" s="32">
        <f t="shared" si="9"/>
        <v>14829.6</v>
      </c>
      <c r="R143" s="33"/>
    </row>
    <row r="144" spans="1:18" s="37" customFormat="1" ht="15" hidden="1" customHeight="1" x14ac:dyDescent="0.25">
      <c r="A144" s="5" t="s">
        <v>16</v>
      </c>
      <c r="B144" s="5">
        <v>3472</v>
      </c>
      <c r="C144" s="5">
        <v>36939</v>
      </c>
      <c r="D144" s="5">
        <v>2</v>
      </c>
      <c r="E144" s="31" t="s">
        <v>53</v>
      </c>
      <c r="F144" s="31" t="s">
        <v>54</v>
      </c>
      <c r="G144" s="80">
        <v>50</v>
      </c>
      <c r="H144" s="41">
        <v>50</v>
      </c>
      <c r="I144" s="114">
        <f t="shared" si="10"/>
        <v>50</v>
      </c>
      <c r="J144" s="35"/>
      <c r="K144" s="106"/>
      <c r="L144" s="108"/>
      <c r="M144" s="106"/>
      <c r="N144" s="108"/>
      <c r="O144" s="108"/>
      <c r="P144" s="36">
        <v>406.84</v>
      </c>
      <c r="Q144" s="32">
        <f t="shared" si="9"/>
        <v>20342</v>
      </c>
      <c r="R144" s="33"/>
    </row>
    <row r="145" spans="1:16382" s="37" customFormat="1" ht="15" hidden="1" customHeight="1" x14ac:dyDescent="0.25">
      <c r="A145" s="5" t="s">
        <v>16</v>
      </c>
      <c r="B145" s="5">
        <v>3338</v>
      </c>
      <c r="C145" s="5">
        <v>35983</v>
      </c>
      <c r="D145" s="5">
        <v>26</v>
      </c>
      <c r="E145" s="42" t="s">
        <v>55</v>
      </c>
      <c r="F145" s="42" t="s">
        <v>56</v>
      </c>
      <c r="G145" s="80">
        <v>50</v>
      </c>
      <c r="H145" s="41">
        <v>50</v>
      </c>
      <c r="I145" s="114">
        <f t="shared" si="10"/>
        <v>50</v>
      </c>
      <c r="J145" s="43"/>
      <c r="K145" s="107"/>
      <c r="L145" s="108"/>
      <c r="M145" s="106"/>
      <c r="N145" s="108"/>
      <c r="O145" s="109"/>
      <c r="P145" s="36">
        <v>64.930000000000007</v>
      </c>
      <c r="Q145" s="32">
        <f t="shared" si="9"/>
        <v>3246.5000000000005</v>
      </c>
      <c r="R145" s="225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7"/>
      <c r="IZ145" s="7"/>
      <c r="JA145" s="7"/>
      <c r="JB145" s="7"/>
      <c r="JC145" s="7"/>
      <c r="JD145" s="7"/>
      <c r="JE145" s="7"/>
      <c r="JF145" s="7"/>
      <c r="JG145" s="7"/>
      <c r="JH145" s="7"/>
      <c r="JI145" s="7"/>
      <c r="JJ145" s="7"/>
      <c r="JK145" s="7"/>
      <c r="JL145" s="7"/>
      <c r="JM145" s="7"/>
      <c r="JN145" s="7"/>
      <c r="JO145" s="7"/>
      <c r="JP145" s="7"/>
      <c r="JQ145" s="7"/>
      <c r="JR145" s="7"/>
      <c r="JS145" s="7"/>
      <c r="JT145" s="7"/>
      <c r="JU145" s="7"/>
      <c r="JV145" s="7"/>
      <c r="JW145" s="7"/>
      <c r="JX145" s="7"/>
      <c r="JY145" s="7"/>
      <c r="JZ145" s="7"/>
      <c r="KA145" s="7"/>
      <c r="KB145" s="7"/>
      <c r="KC145" s="7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7"/>
      <c r="KO145" s="7"/>
      <c r="KP145" s="7"/>
      <c r="KQ145" s="7"/>
      <c r="KR145" s="7"/>
      <c r="KS145" s="7"/>
      <c r="KT145" s="7"/>
      <c r="KU145" s="7"/>
      <c r="KV145" s="7"/>
      <c r="KW145" s="7"/>
      <c r="KX145" s="7"/>
      <c r="KY145" s="7"/>
      <c r="KZ145" s="7"/>
      <c r="LA145" s="7"/>
      <c r="LB145" s="7"/>
      <c r="LC145" s="7"/>
      <c r="LD145" s="7"/>
      <c r="LE145" s="7"/>
      <c r="LF145" s="7"/>
      <c r="LG145" s="7"/>
      <c r="LH145" s="7"/>
      <c r="LI145" s="7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  <c r="LU145" s="7"/>
      <c r="LV145" s="7"/>
      <c r="LW145" s="7"/>
      <c r="LX145" s="7"/>
      <c r="LY145" s="7"/>
      <c r="LZ145" s="7"/>
      <c r="MA145" s="7"/>
      <c r="MB145" s="7"/>
      <c r="MC145" s="7"/>
      <c r="MD145" s="7"/>
      <c r="ME145" s="7"/>
      <c r="MF145" s="7"/>
      <c r="MG145" s="7"/>
      <c r="MH145" s="7"/>
      <c r="MI145" s="7"/>
      <c r="MJ145" s="7"/>
      <c r="MK145" s="7"/>
      <c r="ML145" s="7"/>
      <c r="MM145" s="7"/>
      <c r="MN145" s="7"/>
      <c r="MO145" s="7"/>
      <c r="MP145" s="7"/>
      <c r="MQ145" s="7"/>
      <c r="MR145" s="7"/>
      <c r="MS145" s="7"/>
      <c r="MT145" s="7"/>
      <c r="MU145" s="7"/>
      <c r="MV145" s="7"/>
      <c r="MW145" s="7"/>
      <c r="MX145" s="7"/>
      <c r="MY145" s="7"/>
      <c r="MZ145" s="7"/>
      <c r="NA145" s="7"/>
      <c r="NB145" s="7"/>
      <c r="NC145" s="7"/>
      <c r="ND145" s="7"/>
      <c r="NE145" s="7"/>
      <c r="NF145" s="7"/>
      <c r="NG145" s="7"/>
      <c r="NH145" s="7"/>
      <c r="NI145" s="7"/>
      <c r="NJ145" s="7"/>
      <c r="NK145" s="7"/>
      <c r="NL145" s="7"/>
      <c r="NM145" s="7"/>
      <c r="NN145" s="7"/>
      <c r="NO145" s="7"/>
      <c r="NP145" s="7"/>
      <c r="NQ145" s="7"/>
      <c r="NR145" s="7"/>
      <c r="NS145" s="7"/>
      <c r="NT145" s="7"/>
      <c r="NU145" s="7"/>
      <c r="NV145" s="7"/>
      <c r="NW145" s="7"/>
      <c r="NX145" s="7"/>
      <c r="NY145" s="7"/>
      <c r="NZ145" s="7"/>
      <c r="OA145" s="7"/>
      <c r="OB145" s="7"/>
      <c r="OC145" s="7"/>
      <c r="OD145" s="7"/>
      <c r="OE145" s="7"/>
      <c r="OF145" s="7"/>
      <c r="OG145" s="7"/>
      <c r="OH145" s="7"/>
      <c r="OI145" s="7"/>
      <c r="OJ145" s="7"/>
      <c r="OK145" s="7"/>
      <c r="OL145" s="7"/>
      <c r="OM145" s="7"/>
      <c r="ON145" s="7"/>
      <c r="OO145" s="7"/>
      <c r="OP145" s="7"/>
      <c r="OQ145" s="7"/>
      <c r="OR145" s="7"/>
      <c r="OS145" s="7"/>
      <c r="OT145" s="7"/>
      <c r="OU145" s="7"/>
      <c r="OV145" s="7"/>
      <c r="OW145" s="7"/>
      <c r="OX145" s="7"/>
      <c r="OY145" s="7"/>
      <c r="OZ145" s="7"/>
      <c r="PA145" s="7"/>
      <c r="PB145" s="7"/>
      <c r="PC145" s="7"/>
      <c r="PD145" s="7"/>
      <c r="PE145" s="7"/>
      <c r="PF145" s="7"/>
      <c r="PG145" s="7"/>
      <c r="PH145" s="7"/>
      <c r="PI145" s="7"/>
      <c r="PJ145" s="7"/>
      <c r="PK145" s="7"/>
      <c r="PL145" s="7"/>
      <c r="PM145" s="7"/>
      <c r="PN145" s="7"/>
      <c r="PO145" s="7"/>
      <c r="PP145" s="7"/>
      <c r="PQ145" s="7"/>
      <c r="PR145" s="7"/>
      <c r="PS145" s="7"/>
      <c r="PT145" s="7"/>
      <c r="PU145" s="7"/>
      <c r="PV145" s="7"/>
      <c r="PW145" s="7"/>
      <c r="PX145" s="7"/>
      <c r="PY145" s="7"/>
      <c r="PZ145" s="7"/>
      <c r="QA145" s="7"/>
      <c r="QB145" s="7"/>
      <c r="QC145" s="7"/>
      <c r="QD145" s="7"/>
      <c r="QE145" s="7"/>
      <c r="QF145" s="7"/>
      <c r="QG145" s="7"/>
      <c r="QH145" s="7"/>
      <c r="QI145" s="7"/>
      <c r="QJ145" s="7"/>
      <c r="QK145" s="7"/>
      <c r="QL145" s="7"/>
      <c r="QM145" s="7"/>
      <c r="QN145" s="7"/>
      <c r="QO145" s="7"/>
      <c r="QP145" s="7"/>
      <c r="QQ145" s="7"/>
      <c r="QR145" s="7"/>
      <c r="QS145" s="7"/>
      <c r="QT145" s="7"/>
      <c r="QU145" s="7"/>
      <c r="QV145" s="7"/>
      <c r="QW145" s="7"/>
      <c r="QX145" s="7"/>
      <c r="QY145" s="7"/>
      <c r="QZ145" s="7"/>
      <c r="RA145" s="7"/>
      <c r="RB145" s="7"/>
      <c r="RC145" s="7"/>
      <c r="RD145" s="7"/>
      <c r="RE145" s="7"/>
      <c r="RF145" s="7"/>
      <c r="RG145" s="7"/>
      <c r="RH145" s="7"/>
      <c r="RI145" s="7"/>
      <c r="RJ145" s="7"/>
      <c r="RK145" s="7"/>
      <c r="RL145" s="7"/>
      <c r="RM145" s="7"/>
      <c r="RN145" s="7"/>
      <c r="RO145" s="7"/>
      <c r="RP145" s="7"/>
      <c r="RQ145" s="7"/>
      <c r="RR145" s="7"/>
      <c r="RS145" s="7"/>
      <c r="RT145" s="7"/>
      <c r="RU145" s="7"/>
      <c r="RV145" s="7"/>
      <c r="RW145" s="7"/>
      <c r="RX145" s="7"/>
      <c r="RY145" s="7"/>
      <c r="RZ145" s="7"/>
      <c r="SA145" s="7"/>
      <c r="SB145" s="7"/>
      <c r="SC145" s="7"/>
      <c r="SD145" s="7"/>
      <c r="SE145" s="7"/>
      <c r="SF145" s="7"/>
      <c r="SG145" s="7"/>
      <c r="SH145" s="7"/>
      <c r="SI145" s="7"/>
      <c r="SJ145" s="7"/>
      <c r="SK145" s="7"/>
      <c r="SL145" s="7"/>
      <c r="SM145" s="7"/>
      <c r="SN145" s="7"/>
      <c r="SO145" s="7"/>
      <c r="SP145" s="7"/>
      <c r="SQ145" s="7"/>
      <c r="SR145" s="7"/>
      <c r="SS145" s="7"/>
      <c r="ST145" s="7"/>
      <c r="SU145" s="7"/>
      <c r="SV145" s="7"/>
      <c r="SW145" s="7"/>
      <c r="SX145" s="7"/>
      <c r="SY145" s="7"/>
      <c r="SZ145" s="7"/>
      <c r="TA145" s="7"/>
      <c r="TB145" s="7"/>
      <c r="TC145" s="7"/>
      <c r="TD145" s="7"/>
      <c r="TE145" s="7"/>
      <c r="TF145" s="7"/>
      <c r="TG145" s="7"/>
      <c r="TH145" s="7"/>
      <c r="TI145" s="7"/>
      <c r="TJ145" s="7"/>
      <c r="TK145" s="7"/>
      <c r="TL145" s="7"/>
      <c r="TM145" s="7"/>
      <c r="TN145" s="7"/>
      <c r="TO145" s="7"/>
      <c r="TP145" s="7"/>
      <c r="TQ145" s="7"/>
      <c r="TR145" s="7"/>
      <c r="TS145" s="7"/>
      <c r="TT145" s="7"/>
      <c r="TU145" s="7"/>
      <c r="TV145" s="7"/>
      <c r="TW145" s="7"/>
      <c r="TX145" s="7"/>
      <c r="TY145" s="7"/>
      <c r="TZ145" s="7"/>
      <c r="UA145" s="7"/>
      <c r="UB145" s="7"/>
      <c r="UC145" s="7"/>
      <c r="UD145" s="7"/>
      <c r="UE145" s="7"/>
      <c r="UF145" s="7"/>
      <c r="UG145" s="7"/>
      <c r="UH145" s="7"/>
      <c r="UI145" s="7"/>
      <c r="UJ145" s="7"/>
      <c r="UK145" s="7"/>
      <c r="UL145" s="7"/>
      <c r="UM145" s="7"/>
      <c r="UN145" s="7"/>
      <c r="UO145" s="7"/>
      <c r="UP145" s="7"/>
      <c r="UQ145" s="7"/>
      <c r="UR145" s="7"/>
      <c r="US145" s="7"/>
      <c r="UT145" s="7"/>
      <c r="UU145" s="7"/>
      <c r="UV145" s="7"/>
      <c r="UW145" s="7"/>
      <c r="UX145" s="7"/>
      <c r="UY145" s="7"/>
      <c r="UZ145" s="7"/>
      <c r="VA145" s="7"/>
      <c r="VB145" s="7"/>
      <c r="VC145" s="7"/>
      <c r="VD145" s="7"/>
      <c r="VE145" s="7"/>
      <c r="VF145" s="7"/>
      <c r="VG145" s="7"/>
      <c r="VH145" s="7"/>
      <c r="VI145" s="7"/>
      <c r="VJ145" s="7"/>
      <c r="VK145" s="7"/>
      <c r="VL145" s="7"/>
      <c r="VM145" s="7"/>
      <c r="VN145" s="7"/>
      <c r="VO145" s="7"/>
      <c r="VP145" s="7"/>
      <c r="VQ145" s="7"/>
      <c r="VR145" s="7"/>
      <c r="VS145" s="7"/>
      <c r="VT145" s="7"/>
      <c r="VU145" s="7"/>
      <c r="VV145" s="7"/>
      <c r="VW145" s="7"/>
      <c r="VX145" s="7"/>
      <c r="VY145" s="7"/>
      <c r="VZ145" s="7"/>
      <c r="WA145" s="7"/>
      <c r="WB145" s="7"/>
      <c r="WC145" s="7"/>
      <c r="WD145" s="7"/>
      <c r="WE145" s="7"/>
      <c r="WF145" s="7"/>
      <c r="WG145" s="7"/>
      <c r="WH145" s="7"/>
      <c r="WI145" s="7"/>
      <c r="WJ145" s="7"/>
      <c r="WK145" s="7"/>
      <c r="WL145" s="7"/>
      <c r="WM145" s="7"/>
      <c r="WN145" s="7"/>
      <c r="WO145" s="7"/>
      <c r="WP145" s="7"/>
      <c r="WQ145" s="7"/>
      <c r="WR145" s="7"/>
      <c r="WS145" s="7"/>
      <c r="WT145" s="7"/>
      <c r="WU145" s="7"/>
      <c r="WV145" s="7"/>
      <c r="WW145" s="7"/>
      <c r="WX145" s="7"/>
      <c r="WY145" s="7"/>
      <c r="WZ145" s="7"/>
      <c r="XA145" s="7"/>
      <c r="XB145" s="7"/>
      <c r="XC145" s="7"/>
      <c r="XD145" s="7"/>
      <c r="XE145" s="7"/>
      <c r="XF145" s="7"/>
      <c r="XG145" s="7"/>
      <c r="XH145" s="7"/>
      <c r="XI145" s="7"/>
      <c r="XJ145" s="7"/>
      <c r="XK145" s="7"/>
      <c r="XL145" s="7"/>
      <c r="XM145" s="7"/>
      <c r="XN145" s="7"/>
      <c r="XO145" s="7"/>
      <c r="XP145" s="7"/>
      <c r="XQ145" s="7"/>
      <c r="XR145" s="7"/>
      <c r="XS145" s="7"/>
      <c r="XT145" s="7"/>
      <c r="XU145" s="7"/>
      <c r="XV145" s="7"/>
      <c r="XW145" s="7"/>
      <c r="XX145" s="7"/>
      <c r="XY145" s="7"/>
      <c r="XZ145" s="7"/>
      <c r="YA145" s="7"/>
      <c r="YB145" s="7"/>
      <c r="YC145" s="7"/>
      <c r="YD145" s="7"/>
      <c r="YE145" s="7"/>
      <c r="YF145" s="7"/>
      <c r="YG145" s="7"/>
      <c r="YH145" s="7"/>
      <c r="YI145" s="7"/>
      <c r="YJ145" s="7"/>
      <c r="YK145" s="7"/>
      <c r="YL145" s="7"/>
      <c r="YM145" s="7"/>
      <c r="YN145" s="7"/>
      <c r="YO145" s="7"/>
      <c r="YP145" s="7"/>
      <c r="YQ145" s="7"/>
      <c r="YR145" s="7"/>
      <c r="YS145" s="7"/>
      <c r="YT145" s="7"/>
      <c r="YU145" s="7"/>
      <c r="YV145" s="7"/>
      <c r="YW145" s="7"/>
      <c r="YX145" s="7"/>
      <c r="YY145" s="7"/>
      <c r="YZ145" s="7"/>
      <c r="ZA145" s="7"/>
      <c r="ZB145" s="7"/>
      <c r="ZC145" s="7"/>
      <c r="ZD145" s="7"/>
      <c r="ZE145" s="7"/>
      <c r="ZF145" s="7"/>
      <c r="ZG145" s="7"/>
      <c r="ZH145" s="7"/>
      <c r="ZI145" s="7"/>
      <c r="ZJ145" s="7"/>
      <c r="ZK145" s="7"/>
      <c r="ZL145" s="7"/>
      <c r="ZM145" s="7"/>
      <c r="ZN145" s="7"/>
      <c r="ZO145" s="7"/>
      <c r="ZP145" s="7"/>
      <c r="ZQ145" s="7"/>
      <c r="ZR145" s="7"/>
      <c r="ZS145" s="7"/>
      <c r="ZT145" s="7"/>
      <c r="ZU145" s="7"/>
      <c r="ZV145" s="7"/>
      <c r="ZW145" s="7"/>
      <c r="ZX145" s="7"/>
      <c r="ZY145" s="7"/>
      <c r="ZZ145" s="7"/>
      <c r="AAA145" s="7"/>
      <c r="AAB145" s="7"/>
      <c r="AAC145" s="7"/>
      <c r="AAD145" s="7"/>
      <c r="AAE145" s="7"/>
      <c r="AAF145" s="7"/>
      <c r="AAG145" s="7"/>
      <c r="AAH145" s="7"/>
      <c r="AAI145" s="7"/>
      <c r="AAJ145" s="7"/>
      <c r="AAK145" s="7"/>
      <c r="AAL145" s="7"/>
      <c r="AAM145" s="7"/>
      <c r="AAN145" s="7"/>
      <c r="AAO145" s="7"/>
      <c r="AAP145" s="7"/>
      <c r="AAQ145" s="7"/>
      <c r="AAR145" s="7"/>
      <c r="AAS145" s="7"/>
      <c r="AAT145" s="7"/>
      <c r="AAU145" s="7"/>
      <c r="AAV145" s="7"/>
      <c r="AAW145" s="7"/>
      <c r="AAX145" s="7"/>
      <c r="AAY145" s="7"/>
      <c r="AAZ145" s="7"/>
      <c r="ABA145" s="7"/>
      <c r="ABB145" s="7"/>
      <c r="ABC145" s="7"/>
      <c r="ABD145" s="7"/>
      <c r="ABE145" s="7"/>
      <c r="ABF145" s="7"/>
      <c r="ABG145" s="7"/>
      <c r="ABH145" s="7"/>
      <c r="ABI145" s="7"/>
      <c r="ABJ145" s="7"/>
      <c r="ABK145" s="7"/>
      <c r="ABL145" s="7"/>
      <c r="ABM145" s="7"/>
      <c r="ABN145" s="7"/>
      <c r="ABO145" s="7"/>
      <c r="ABP145" s="7"/>
      <c r="ABQ145" s="7"/>
      <c r="ABR145" s="7"/>
      <c r="ABS145" s="7"/>
      <c r="ABT145" s="7"/>
      <c r="ABU145" s="7"/>
      <c r="ABV145" s="7"/>
      <c r="ABW145" s="7"/>
      <c r="ABX145" s="7"/>
      <c r="ABY145" s="7"/>
      <c r="ABZ145" s="7"/>
      <c r="ACA145" s="7"/>
      <c r="ACB145" s="7"/>
      <c r="ACC145" s="7"/>
      <c r="ACD145" s="7"/>
      <c r="ACE145" s="7"/>
      <c r="ACF145" s="7"/>
      <c r="ACG145" s="7"/>
      <c r="ACH145" s="7"/>
      <c r="ACI145" s="7"/>
      <c r="ACJ145" s="7"/>
      <c r="ACK145" s="7"/>
      <c r="ACL145" s="7"/>
      <c r="ACM145" s="7"/>
      <c r="ACN145" s="7"/>
      <c r="ACO145" s="7"/>
      <c r="ACP145" s="7"/>
      <c r="ACQ145" s="7"/>
      <c r="ACR145" s="7"/>
      <c r="ACS145" s="7"/>
      <c r="ACT145" s="7"/>
      <c r="ACU145" s="7"/>
      <c r="ACV145" s="7"/>
      <c r="ACW145" s="7"/>
      <c r="ACX145" s="7"/>
      <c r="ACY145" s="7"/>
      <c r="ACZ145" s="7"/>
      <c r="ADA145" s="7"/>
      <c r="ADB145" s="7"/>
      <c r="ADC145" s="7"/>
      <c r="ADD145" s="7"/>
      <c r="ADE145" s="7"/>
      <c r="ADF145" s="7"/>
      <c r="ADG145" s="7"/>
      <c r="ADH145" s="7"/>
      <c r="ADI145" s="7"/>
      <c r="ADJ145" s="7"/>
      <c r="ADK145" s="7"/>
      <c r="ADL145" s="7"/>
      <c r="ADM145" s="7"/>
      <c r="ADN145" s="7"/>
      <c r="ADO145" s="7"/>
      <c r="ADP145" s="7"/>
      <c r="ADQ145" s="7"/>
      <c r="ADR145" s="7"/>
      <c r="ADS145" s="7"/>
      <c r="ADT145" s="7"/>
      <c r="ADU145" s="7"/>
      <c r="ADV145" s="7"/>
      <c r="ADW145" s="7"/>
      <c r="ADX145" s="7"/>
      <c r="ADY145" s="7"/>
      <c r="ADZ145" s="7"/>
      <c r="AEA145" s="7"/>
      <c r="AEB145" s="7"/>
      <c r="AEC145" s="7"/>
      <c r="AED145" s="7"/>
      <c r="AEE145" s="7"/>
      <c r="AEF145" s="7"/>
      <c r="AEG145" s="7"/>
      <c r="AEH145" s="7"/>
      <c r="AEI145" s="7"/>
      <c r="AEJ145" s="7"/>
      <c r="AEK145" s="7"/>
      <c r="AEL145" s="7"/>
      <c r="AEM145" s="7"/>
      <c r="AEN145" s="7"/>
      <c r="AEO145" s="7"/>
      <c r="AEP145" s="7"/>
      <c r="AEQ145" s="7"/>
      <c r="AER145" s="7"/>
      <c r="AES145" s="7"/>
      <c r="AET145" s="7"/>
      <c r="AEU145" s="7"/>
      <c r="AEV145" s="7"/>
      <c r="AEW145" s="7"/>
      <c r="AEX145" s="7"/>
      <c r="AEY145" s="7"/>
      <c r="AEZ145" s="7"/>
      <c r="AFA145" s="7"/>
      <c r="AFB145" s="7"/>
      <c r="AFC145" s="7"/>
      <c r="AFD145" s="7"/>
      <c r="AFE145" s="7"/>
      <c r="AFF145" s="7"/>
      <c r="AFG145" s="7"/>
      <c r="AFH145" s="7"/>
      <c r="AFI145" s="7"/>
      <c r="AFJ145" s="7"/>
      <c r="AFK145" s="7"/>
      <c r="AFL145" s="7"/>
      <c r="AFM145" s="7"/>
      <c r="AFN145" s="7"/>
      <c r="AFO145" s="7"/>
      <c r="AFP145" s="7"/>
      <c r="AFQ145" s="7"/>
      <c r="AFR145" s="7"/>
      <c r="AFS145" s="7"/>
      <c r="AFT145" s="7"/>
      <c r="AFU145" s="7"/>
      <c r="AFV145" s="7"/>
      <c r="AFW145" s="7"/>
      <c r="AFX145" s="7"/>
      <c r="AFY145" s="7"/>
      <c r="AFZ145" s="7"/>
      <c r="AGA145" s="7"/>
      <c r="AGB145" s="7"/>
      <c r="AGC145" s="7"/>
      <c r="AGD145" s="7"/>
      <c r="AGE145" s="7"/>
      <c r="AGF145" s="7"/>
      <c r="AGG145" s="7"/>
      <c r="AGH145" s="7"/>
      <c r="AGI145" s="7"/>
      <c r="AGJ145" s="7"/>
      <c r="AGK145" s="7"/>
      <c r="AGL145" s="7"/>
      <c r="AGM145" s="7"/>
      <c r="AGN145" s="7"/>
      <c r="AGO145" s="7"/>
      <c r="AGP145" s="7"/>
      <c r="AGQ145" s="7"/>
      <c r="AGR145" s="7"/>
      <c r="AGS145" s="7"/>
      <c r="AGT145" s="7"/>
      <c r="AGU145" s="7"/>
      <c r="AGV145" s="7"/>
      <c r="AGW145" s="7"/>
      <c r="AGX145" s="7"/>
      <c r="AGY145" s="7"/>
      <c r="AGZ145" s="7"/>
      <c r="AHA145" s="7"/>
      <c r="AHB145" s="7"/>
      <c r="AHC145" s="7"/>
      <c r="AHD145" s="7"/>
      <c r="AHE145" s="7"/>
      <c r="AHF145" s="7"/>
      <c r="AHG145" s="7"/>
      <c r="AHH145" s="7"/>
      <c r="AHI145" s="7"/>
      <c r="AHJ145" s="7"/>
      <c r="AHK145" s="7"/>
      <c r="AHL145" s="7"/>
      <c r="AHM145" s="7"/>
      <c r="AHN145" s="7"/>
      <c r="AHO145" s="7"/>
      <c r="AHP145" s="7"/>
      <c r="AHQ145" s="7"/>
      <c r="AHR145" s="7"/>
      <c r="AHS145" s="7"/>
      <c r="AHT145" s="7"/>
      <c r="AHU145" s="7"/>
      <c r="AHV145" s="7"/>
      <c r="AHW145" s="7"/>
      <c r="AHX145" s="7"/>
      <c r="AHY145" s="7"/>
      <c r="AHZ145" s="7"/>
      <c r="AIA145" s="7"/>
      <c r="AIB145" s="7"/>
      <c r="AIC145" s="7"/>
      <c r="AID145" s="7"/>
      <c r="AIE145" s="7"/>
      <c r="AIF145" s="7"/>
      <c r="AIG145" s="7"/>
      <c r="AIH145" s="7"/>
      <c r="AII145" s="7"/>
      <c r="AIJ145" s="7"/>
      <c r="AIK145" s="7"/>
      <c r="AIL145" s="7"/>
      <c r="AIM145" s="7"/>
      <c r="AIN145" s="7"/>
      <c r="AIO145" s="7"/>
      <c r="AIP145" s="7"/>
      <c r="AIQ145" s="7"/>
      <c r="AIR145" s="7"/>
      <c r="AIS145" s="7"/>
      <c r="AIT145" s="7"/>
      <c r="AIU145" s="7"/>
      <c r="AIV145" s="7"/>
      <c r="AIW145" s="7"/>
      <c r="AIX145" s="7"/>
      <c r="AIY145" s="7"/>
      <c r="AIZ145" s="7"/>
      <c r="AJA145" s="7"/>
      <c r="AJB145" s="7"/>
      <c r="AJC145" s="7"/>
      <c r="AJD145" s="7"/>
      <c r="AJE145" s="7"/>
      <c r="AJF145" s="7"/>
      <c r="AJG145" s="7"/>
      <c r="AJH145" s="7"/>
      <c r="AJI145" s="7"/>
      <c r="AJJ145" s="7"/>
      <c r="AJK145" s="7"/>
      <c r="AJL145" s="7"/>
      <c r="AJM145" s="7"/>
      <c r="AJN145" s="7"/>
      <c r="AJO145" s="7"/>
      <c r="AJP145" s="7"/>
      <c r="AJQ145" s="7"/>
      <c r="AJR145" s="7"/>
      <c r="AJS145" s="7"/>
      <c r="AJT145" s="7"/>
      <c r="AJU145" s="7"/>
      <c r="AJV145" s="7"/>
      <c r="AJW145" s="7"/>
      <c r="AJX145" s="7"/>
      <c r="AJY145" s="7"/>
      <c r="AJZ145" s="7"/>
      <c r="AKA145" s="7"/>
      <c r="AKB145" s="7"/>
      <c r="AKC145" s="7"/>
      <c r="AKD145" s="7"/>
      <c r="AKE145" s="7"/>
      <c r="AKF145" s="7"/>
      <c r="AKG145" s="7"/>
      <c r="AKH145" s="7"/>
      <c r="AKI145" s="7"/>
      <c r="AKJ145" s="7"/>
      <c r="AKK145" s="7"/>
      <c r="AKL145" s="7"/>
      <c r="AKM145" s="7"/>
      <c r="AKN145" s="7"/>
      <c r="AKO145" s="7"/>
      <c r="AKP145" s="7"/>
      <c r="AKQ145" s="7"/>
      <c r="AKR145" s="7"/>
      <c r="AKS145" s="7"/>
      <c r="AKT145" s="7"/>
      <c r="AKU145" s="7"/>
      <c r="AKV145" s="7"/>
      <c r="AKW145" s="7"/>
      <c r="AKX145" s="7"/>
      <c r="AKY145" s="7"/>
      <c r="AKZ145" s="7"/>
      <c r="ALA145" s="7"/>
      <c r="ALB145" s="7"/>
      <c r="ALC145" s="7"/>
      <c r="ALD145" s="7"/>
      <c r="ALE145" s="7"/>
      <c r="ALF145" s="7"/>
      <c r="ALG145" s="7"/>
      <c r="ALH145" s="7"/>
      <c r="ALI145" s="7"/>
      <c r="ALJ145" s="7"/>
      <c r="ALK145" s="7"/>
      <c r="ALL145" s="7"/>
      <c r="ALM145" s="7"/>
      <c r="ALN145" s="7"/>
      <c r="ALO145" s="7"/>
      <c r="ALP145" s="7"/>
      <c r="ALQ145" s="7"/>
      <c r="ALR145" s="7"/>
      <c r="ALS145" s="7"/>
      <c r="ALT145" s="7"/>
      <c r="ALU145" s="7"/>
      <c r="ALV145" s="7"/>
      <c r="ALW145" s="7"/>
      <c r="ALX145" s="7"/>
      <c r="ALY145" s="7"/>
      <c r="ALZ145" s="7"/>
      <c r="AMA145" s="7"/>
      <c r="AMB145" s="7"/>
      <c r="AMC145" s="7"/>
      <c r="AMD145" s="7"/>
      <c r="AME145" s="7"/>
      <c r="AMF145" s="7"/>
      <c r="AMG145" s="7"/>
      <c r="AMH145" s="7"/>
      <c r="AMI145" s="7"/>
      <c r="AMJ145" s="7"/>
      <c r="AMK145" s="7"/>
      <c r="AML145" s="7"/>
      <c r="AMM145" s="7"/>
      <c r="AMN145" s="7"/>
      <c r="AMO145" s="7"/>
      <c r="AMP145" s="7"/>
      <c r="AMQ145" s="7"/>
      <c r="AMR145" s="7"/>
      <c r="AMS145" s="7"/>
      <c r="AMT145" s="7"/>
      <c r="AMU145" s="7"/>
      <c r="AMV145" s="7"/>
      <c r="AMW145" s="7"/>
      <c r="AMX145" s="7"/>
      <c r="AMY145" s="7"/>
      <c r="AMZ145" s="7"/>
      <c r="ANA145" s="7"/>
      <c r="ANB145" s="7"/>
      <c r="ANC145" s="7"/>
      <c r="AND145" s="7"/>
      <c r="ANE145" s="7"/>
      <c r="ANF145" s="7"/>
      <c r="ANG145" s="7"/>
      <c r="ANH145" s="7"/>
      <c r="ANI145" s="7"/>
      <c r="ANJ145" s="7"/>
      <c r="ANK145" s="7"/>
      <c r="ANL145" s="7"/>
      <c r="ANM145" s="7"/>
      <c r="ANN145" s="7"/>
      <c r="ANO145" s="7"/>
      <c r="ANP145" s="7"/>
      <c r="ANQ145" s="7"/>
      <c r="ANR145" s="7"/>
      <c r="ANS145" s="7"/>
      <c r="ANT145" s="7"/>
      <c r="ANU145" s="7"/>
      <c r="ANV145" s="7"/>
      <c r="ANW145" s="7"/>
      <c r="ANX145" s="7"/>
      <c r="ANY145" s="7"/>
      <c r="ANZ145" s="7"/>
      <c r="AOA145" s="7"/>
      <c r="AOB145" s="7"/>
      <c r="AOC145" s="7"/>
      <c r="AOD145" s="7"/>
      <c r="AOE145" s="7"/>
      <c r="AOF145" s="7"/>
      <c r="AOG145" s="7"/>
      <c r="AOH145" s="7"/>
      <c r="AOI145" s="7"/>
      <c r="AOJ145" s="7"/>
      <c r="AOK145" s="7"/>
      <c r="AOL145" s="7"/>
      <c r="AOM145" s="7"/>
      <c r="AON145" s="7"/>
      <c r="AOO145" s="7"/>
      <c r="AOP145" s="7"/>
      <c r="AOQ145" s="7"/>
      <c r="AOR145" s="7"/>
      <c r="AOS145" s="7"/>
      <c r="AOT145" s="7"/>
      <c r="AOU145" s="7"/>
      <c r="AOV145" s="7"/>
      <c r="AOW145" s="7"/>
      <c r="AOX145" s="7"/>
      <c r="AOY145" s="7"/>
      <c r="AOZ145" s="7"/>
      <c r="APA145" s="7"/>
      <c r="APB145" s="7"/>
      <c r="APC145" s="7"/>
      <c r="APD145" s="7"/>
      <c r="APE145" s="7"/>
      <c r="APF145" s="7"/>
      <c r="APG145" s="7"/>
      <c r="APH145" s="7"/>
      <c r="API145" s="7"/>
      <c r="APJ145" s="7"/>
      <c r="APK145" s="7"/>
      <c r="APL145" s="7"/>
      <c r="APM145" s="7"/>
      <c r="APN145" s="7"/>
      <c r="APO145" s="7"/>
      <c r="APP145" s="7"/>
      <c r="APQ145" s="7"/>
      <c r="APR145" s="7"/>
      <c r="APS145" s="7"/>
      <c r="APT145" s="7"/>
      <c r="APU145" s="7"/>
      <c r="APV145" s="7"/>
      <c r="APW145" s="7"/>
      <c r="APX145" s="7"/>
      <c r="APY145" s="7"/>
      <c r="APZ145" s="7"/>
      <c r="AQA145" s="7"/>
      <c r="AQB145" s="7"/>
      <c r="AQC145" s="7"/>
      <c r="AQD145" s="7"/>
      <c r="AQE145" s="7"/>
      <c r="AQF145" s="7"/>
      <c r="AQG145" s="7"/>
      <c r="AQH145" s="7"/>
      <c r="AQI145" s="7"/>
      <c r="AQJ145" s="7"/>
      <c r="AQK145" s="7"/>
      <c r="AQL145" s="7"/>
      <c r="AQM145" s="7"/>
      <c r="AQN145" s="7"/>
      <c r="AQO145" s="7"/>
      <c r="AQP145" s="7"/>
      <c r="AQQ145" s="7"/>
      <c r="AQR145" s="7"/>
      <c r="AQS145" s="7"/>
      <c r="AQT145" s="7"/>
      <c r="AQU145" s="7"/>
      <c r="AQV145" s="7"/>
      <c r="AQW145" s="7"/>
      <c r="AQX145" s="7"/>
      <c r="AQY145" s="7"/>
      <c r="AQZ145" s="7"/>
      <c r="ARA145" s="7"/>
      <c r="ARB145" s="7"/>
      <c r="ARC145" s="7"/>
      <c r="ARD145" s="7"/>
      <c r="ARE145" s="7"/>
      <c r="ARF145" s="7"/>
      <c r="ARG145" s="7"/>
      <c r="ARH145" s="7"/>
      <c r="ARI145" s="7"/>
      <c r="ARJ145" s="7"/>
      <c r="ARK145" s="7"/>
      <c r="ARL145" s="7"/>
      <c r="ARM145" s="7"/>
      <c r="ARN145" s="7"/>
      <c r="ARO145" s="7"/>
      <c r="ARP145" s="7"/>
      <c r="ARQ145" s="7"/>
      <c r="ARR145" s="7"/>
      <c r="ARS145" s="7"/>
      <c r="ART145" s="7"/>
      <c r="ARU145" s="7"/>
      <c r="ARV145" s="7"/>
      <c r="ARW145" s="7"/>
      <c r="ARX145" s="7"/>
      <c r="ARY145" s="7"/>
      <c r="ARZ145" s="7"/>
      <c r="ASA145" s="7"/>
      <c r="ASB145" s="7"/>
      <c r="ASC145" s="7"/>
      <c r="ASD145" s="7"/>
      <c r="ASE145" s="7"/>
      <c r="ASF145" s="7"/>
      <c r="ASG145" s="7"/>
      <c r="ASH145" s="7"/>
      <c r="ASI145" s="7"/>
      <c r="ASJ145" s="7"/>
      <c r="ASK145" s="7"/>
      <c r="ASL145" s="7"/>
      <c r="ASM145" s="7"/>
      <c r="ASN145" s="7"/>
      <c r="ASO145" s="7"/>
      <c r="ASP145" s="7"/>
      <c r="ASQ145" s="7"/>
      <c r="ASR145" s="7"/>
      <c r="ASS145" s="7"/>
      <c r="AST145" s="7"/>
      <c r="ASU145" s="7"/>
      <c r="ASV145" s="7"/>
      <c r="ASW145" s="7"/>
      <c r="ASX145" s="7"/>
      <c r="ASY145" s="7"/>
      <c r="ASZ145" s="7"/>
      <c r="ATA145" s="7"/>
      <c r="ATB145" s="7"/>
      <c r="ATC145" s="7"/>
      <c r="ATD145" s="7"/>
      <c r="ATE145" s="7"/>
      <c r="ATF145" s="7"/>
      <c r="ATG145" s="7"/>
      <c r="ATH145" s="7"/>
      <c r="ATI145" s="7"/>
      <c r="ATJ145" s="7"/>
      <c r="ATK145" s="7"/>
      <c r="ATL145" s="7"/>
      <c r="ATM145" s="7"/>
      <c r="ATN145" s="7"/>
      <c r="ATO145" s="7"/>
      <c r="ATP145" s="7"/>
      <c r="ATQ145" s="7"/>
      <c r="ATR145" s="7"/>
      <c r="ATS145" s="7"/>
      <c r="ATT145" s="7"/>
      <c r="ATU145" s="7"/>
      <c r="ATV145" s="7"/>
      <c r="ATW145" s="7"/>
      <c r="ATX145" s="7"/>
      <c r="ATY145" s="7"/>
      <c r="ATZ145" s="7"/>
      <c r="AUA145" s="7"/>
      <c r="AUB145" s="7"/>
      <c r="AUC145" s="7"/>
      <c r="AUD145" s="7"/>
      <c r="AUE145" s="7"/>
      <c r="AUF145" s="7"/>
      <c r="AUG145" s="7"/>
      <c r="AUH145" s="7"/>
      <c r="AUI145" s="7"/>
      <c r="AUJ145" s="7"/>
      <c r="AUK145" s="7"/>
      <c r="AUL145" s="7"/>
      <c r="AUM145" s="7"/>
      <c r="AUN145" s="7"/>
      <c r="AUO145" s="7"/>
      <c r="AUP145" s="7"/>
      <c r="AUQ145" s="7"/>
      <c r="AUR145" s="7"/>
      <c r="AUS145" s="7"/>
      <c r="AUT145" s="7"/>
      <c r="AUU145" s="7"/>
      <c r="AUV145" s="7"/>
      <c r="AUW145" s="7"/>
      <c r="AUX145" s="7"/>
      <c r="AUY145" s="7"/>
      <c r="AUZ145" s="7"/>
      <c r="AVA145" s="7"/>
      <c r="AVB145" s="7"/>
      <c r="AVC145" s="7"/>
      <c r="AVD145" s="7"/>
      <c r="AVE145" s="7"/>
      <c r="AVF145" s="7"/>
      <c r="AVG145" s="7"/>
      <c r="AVH145" s="7"/>
      <c r="AVI145" s="7"/>
      <c r="AVJ145" s="7"/>
      <c r="AVK145" s="7"/>
      <c r="AVL145" s="7"/>
      <c r="AVM145" s="7"/>
      <c r="AVN145" s="7"/>
      <c r="AVO145" s="7"/>
      <c r="AVP145" s="7"/>
      <c r="AVQ145" s="7"/>
      <c r="AVR145" s="7"/>
      <c r="AVS145" s="7"/>
      <c r="AVT145" s="7"/>
      <c r="AVU145" s="7"/>
      <c r="AVV145" s="7"/>
      <c r="AVW145" s="7"/>
      <c r="AVX145" s="7"/>
      <c r="AVY145" s="7"/>
      <c r="AVZ145" s="7"/>
      <c r="AWA145" s="7"/>
      <c r="AWB145" s="7"/>
      <c r="AWC145" s="7"/>
      <c r="AWD145" s="7"/>
      <c r="AWE145" s="7"/>
      <c r="AWF145" s="7"/>
      <c r="AWG145" s="7"/>
      <c r="AWH145" s="7"/>
      <c r="AWI145" s="7"/>
      <c r="AWJ145" s="7"/>
      <c r="AWK145" s="7"/>
      <c r="AWL145" s="7"/>
      <c r="AWM145" s="7"/>
      <c r="AWN145" s="7"/>
      <c r="AWO145" s="7"/>
      <c r="AWP145" s="7"/>
      <c r="AWQ145" s="7"/>
      <c r="AWR145" s="7"/>
      <c r="AWS145" s="7"/>
      <c r="AWT145" s="7"/>
      <c r="AWU145" s="7"/>
      <c r="AWV145" s="7"/>
      <c r="AWW145" s="7"/>
      <c r="AWX145" s="7"/>
      <c r="AWY145" s="7"/>
      <c r="AWZ145" s="7"/>
      <c r="AXA145" s="7"/>
      <c r="AXB145" s="7"/>
      <c r="AXC145" s="7"/>
      <c r="AXD145" s="7"/>
      <c r="AXE145" s="7"/>
      <c r="AXF145" s="7"/>
      <c r="AXG145" s="7"/>
      <c r="AXH145" s="7"/>
      <c r="AXI145" s="7"/>
      <c r="AXJ145" s="7"/>
      <c r="AXK145" s="7"/>
      <c r="AXL145" s="7"/>
      <c r="AXM145" s="7"/>
      <c r="AXN145" s="7"/>
      <c r="AXO145" s="7"/>
      <c r="AXP145" s="7"/>
      <c r="AXQ145" s="7"/>
      <c r="AXR145" s="7"/>
      <c r="AXS145" s="7"/>
      <c r="AXT145" s="7"/>
      <c r="AXU145" s="7"/>
      <c r="AXV145" s="7"/>
      <c r="AXW145" s="7"/>
      <c r="AXX145" s="7"/>
      <c r="AXY145" s="7"/>
      <c r="AXZ145" s="7"/>
      <c r="AYA145" s="7"/>
      <c r="AYB145" s="7"/>
      <c r="AYC145" s="7"/>
      <c r="AYD145" s="7"/>
      <c r="AYE145" s="7"/>
      <c r="AYF145" s="7"/>
      <c r="AYG145" s="7"/>
      <c r="AYH145" s="7"/>
      <c r="AYI145" s="7"/>
      <c r="AYJ145" s="7"/>
      <c r="AYK145" s="7"/>
      <c r="AYL145" s="7"/>
      <c r="AYM145" s="7"/>
      <c r="AYN145" s="7"/>
      <c r="AYO145" s="7"/>
      <c r="AYP145" s="7"/>
      <c r="AYQ145" s="7"/>
      <c r="AYR145" s="7"/>
      <c r="AYS145" s="7"/>
      <c r="AYT145" s="7"/>
      <c r="AYU145" s="7"/>
      <c r="AYV145" s="7"/>
      <c r="AYW145" s="7"/>
      <c r="AYX145" s="7"/>
      <c r="AYY145" s="7"/>
      <c r="AYZ145" s="7"/>
      <c r="AZA145" s="7"/>
      <c r="AZB145" s="7"/>
      <c r="AZC145" s="7"/>
      <c r="AZD145" s="7"/>
      <c r="AZE145" s="7"/>
      <c r="AZF145" s="7"/>
      <c r="AZG145" s="7"/>
      <c r="AZH145" s="7"/>
      <c r="AZI145" s="7"/>
      <c r="AZJ145" s="7"/>
      <c r="AZK145" s="7"/>
      <c r="AZL145" s="7"/>
      <c r="AZM145" s="7"/>
      <c r="AZN145" s="7"/>
      <c r="AZO145" s="7"/>
      <c r="AZP145" s="7"/>
      <c r="AZQ145" s="7"/>
      <c r="AZR145" s="7"/>
      <c r="AZS145" s="7"/>
      <c r="AZT145" s="7"/>
      <c r="AZU145" s="7"/>
      <c r="AZV145" s="7"/>
      <c r="AZW145" s="7"/>
      <c r="AZX145" s="7"/>
      <c r="AZY145" s="7"/>
      <c r="AZZ145" s="7"/>
      <c r="BAA145" s="7"/>
      <c r="BAB145" s="7"/>
      <c r="BAC145" s="7"/>
      <c r="BAD145" s="7"/>
      <c r="BAE145" s="7"/>
      <c r="BAF145" s="7"/>
      <c r="BAG145" s="7"/>
      <c r="BAH145" s="7"/>
      <c r="BAI145" s="7"/>
      <c r="BAJ145" s="7"/>
      <c r="BAK145" s="7"/>
      <c r="BAL145" s="7"/>
      <c r="BAM145" s="7"/>
      <c r="BAN145" s="7"/>
      <c r="BAO145" s="7"/>
      <c r="BAP145" s="7"/>
      <c r="BAQ145" s="7"/>
      <c r="BAR145" s="7"/>
      <c r="BAS145" s="7"/>
      <c r="BAT145" s="7"/>
      <c r="BAU145" s="7"/>
      <c r="BAV145" s="7"/>
      <c r="BAW145" s="7"/>
      <c r="BAX145" s="7"/>
      <c r="BAY145" s="7"/>
      <c r="BAZ145" s="7"/>
      <c r="BBA145" s="7"/>
      <c r="BBB145" s="7"/>
      <c r="BBC145" s="7"/>
      <c r="BBD145" s="7"/>
      <c r="BBE145" s="7"/>
      <c r="BBF145" s="7"/>
      <c r="BBG145" s="7"/>
      <c r="BBH145" s="7"/>
      <c r="BBI145" s="7"/>
      <c r="BBJ145" s="7"/>
      <c r="BBK145" s="7"/>
      <c r="BBL145" s="7"/>
      <c r="BBM145" s="7"/>
      <c r="BBN145" s="7"/>
      <c r="BBO145" s="7"/>
      <c r="BBP145" s="7"/>
      <c r="BBQ145" s="7"/>
      <c r="BBR145" s="7"/>
      <c r="BBS145" s="7"/>
      <c r="BBT145" s="7"/>
      <c r="BBU145" s="7"/>
      <c r="BBV145" s="7"/>
      <c r="BBW145" s="7"/>
      <c r="BBX145" s="7"/>
      <c r="BBY145" s="7"/>
      <c r="BBZ145" s="7"/>
      <c r="BCA145" s="7"/>
      <c r="BCB145" s="7"/>
      <c r="BCC145" s="7"/>
      <c r="BCD145" s="7"/>
      <c r="BCE145" s="7"/>
      <c r="BCF145" s="7"/>
      <c r="BCG145" s="7"/>
      <c r="BCH145" s="7"/>
      <c r="BCI145" s="7"/>
      <c r="BCJ145" s="7"/>
      <c r="BCK145" s="7"/>
      <c r="BCL145" s="7"/>
      <c r="BCM145" s="7"/>
      <c r="BCN145" s="7"/>
      <c r="BCO145" s="7"/>
      <c r="BCP145" s="7"/>
      <c r="BCQ145" s="7"/>
      <c r="BCR145" s="7"/>
      <c r="BCS145" s="7"/>
      <c r="BCT145" s="7"/>
      <c r="BCU145" s="7"/>
      <c r="BCV145" s="7"/>
      <c r="BCW145" s="7"/>
      <c r="BCX145" s="7"/>
      <c r="BCY145" s="7"/>
      <c r="BCZ145" s="7"/>
      <c r="BDA145" s="7"/>
      <c r="BDB145" s="7"/>
      <c r="BDC145" s="7"/>
      <c r="BDD145" s="7"/>
      <c r="BDE145" s="7"/>
      <c r="BDF145" s="7"/>
      <c r="BDG145" s="7"/>
      <c r="BDH145" s="7"/>
      <c r="BDI145" s="7"/>
      <c r="BDJ145" s="7"/>
      <c r="BDK145" s="7"/>
      <c r="BDL145" s="7"/>
      <c r="BDM145" s="7"/>
      <c r="BDN145" s="7"/>
      <c r="BDO145" s="7"/>
      <c r="BDP145" s="7"/>
      <c r="BDQ145" s="7"/>
      <c r="BDR145" s="7"/>
      <c r="BDS145" s="7"/>
      <c r="BDT145" s="7"/>
      <c r="BDU145" s="7"/>
      <c r="BDV145" s="7"/>
      <c r="BDW145" s="7"/>
      <c r="BDX145" s="7"/>
      <c r="BDY145" s="7"/>
      <c r="BDZ145" s="7"/>
      <c r="BEA145" s="7"/>
      <c r="BEB145" s="7"/>
      <c r="BEC145" s="7"/>
      <c r="BED145" s="7"/>
      <c r="BEE145" s="7"/>
      <c r="BEF145" s="7"/>
      <c r="BEG145" s="7"/>
      <c r="BEH145" s="7"/>
      <c r="BEI145" s="7"/>
      <c r="BEJ145" s="7"/>
      <c r="BEK145" s="7"/>
      <c r="BEL145" s="7"/>
      <c r="BEM145" s="7"/>
      <c r="BEN145" s="7"/>
      <c r="BEO145" s="7"/>
      <c r="BEP145" s="7"/>
      <c r="BEQ145" s="7"/>
      <c r="BER145" s="7"/>
      <c r="BES145" s="7"/>
      <c r="BET145" s="7"/>
      <c r="BEU145" s="7"/>
      <c r="BEV145" s="7"/>
      <c r="BEW145" s="7"/>
      <c r="BEX145" s="7"/>
      <c r="BEY145" s="7"/>
      <c r="BEZ145" s="7"/>
      <c r="BFA145" s="7"/>
      <c r="BFB145" s="7"/>
      <c r="BFC145" s="7"/>
      <c r="BFD145" s="7"/>
      <c r="BFE145" s="7"/>
      <c r="BFF145" s="7"/>
      <c r="BFG145" s="7"/>
      <c r="BFH145" s="7"/>
      <c r="BFI145" s="7"/>
      <c r="BFJ145" s="7"/>
      <c r="BFK145" s="7"/>
      <c r="BFL145" s="7"/>
      <c r="BFM145" s="7"/>
      <c r="BFN145" s="7"/>
      <c r="BFO145" s="7"/>
      <c r="BFP145" s="7"/>
      <c r="BFQ145" s="7"/>
      <c r="BFR145" s="7"/>
      <c r="BFS145" s="7"/>
      <c r="BFT145" s="7"/>
      <c r="BFU145" s="7"/>
      <c r="BFV145" s="7"/>
      <c r="BFW145" s="7"/>
      <c r="BFX145" s="7"/>
      <c r="BFY145" s="7"/>
      <c r="BFZ145" s="7"/>
      <c r="BGA145" s="7"/>
      <c r="BGB145" s="7"/>
      <c r="BGC145" s="7"/>
      <c r="BGD145" s="7"/>
      <c r="BGE145" s="7"/>
      <c r="BGF145" s="7"/>
      <c r="BGG145" s="7"/>
      <c r="BGH145" s="7"/>
      <c r="BGI145" s="7"/>
      <c r="BGJ145" s="7"/>
      <c r="BGK145" s="7"/>
      <c r="BGL145" s="7"/>
      <c r="BGM145" s="7"/>
      <c r="BGN145" s="7"/>
      <c r="BGO145" s="7"/>
      <c r="BGP145" s="7"/>
      <c r="BGQ145" s="7"/>
      <c r="BGR145" s="7"/>
      <c r="BGS145" s="7"/>
      <c r="BGT145" s="7"/>
      <c r="BGU145" s="7"/>
      <c r="BGV145" s="7"/>
      <c r="BGW145" s="7"/>
      <c r="BGX145" s="7"/>
      <c r="BGY145" s="7"/>
      <c r="BGZ145" s="7"/>
      <c r="BHA145" s="7"/>
      <c r="BHB145" s="7"/>
      <c r="BHC145" s="7"/>
      <c r="BHD145" s="7"/>
      <c r="BHE145" s="7"/>
      <c r="BHF145" s="7"/>
      <c r="BHG145" s="7"/>
      <c r="BHH145" s="7"/>
      <c r="BHI145" s="7"/>
      <c r="BHJ145" s="7"/>
      <c r="BHK145" s="7"/>
      <c r="BHL145" s="7"/>
      <c r="BHM145" s="7"/>
      <c r="BHN145" s="7"/>
      <c r="BHO145" s="7"/>
      <c r="BHP145" s="7"/>
      <c r="BHQ145" s="7"/>
      <c r="BHR145" s="7"/>
      <c r="BHS145" s="7"/>
      <c r="BHT145" s="7"/>
      <c r="BHU145" s="7"/>
      <c r="BHV145" s="7"/>
      <c r="BHW145" s="7"/>
      <c r="BHX145" s="7"/>
      <c r="BHY145" s="7"/>
      <c r="BHZ145" s="7"/>
      <c r="BIA145" s="7"/>
      <c r="BIB145" s="7"/>
      <c r="BIC145" s="7"/>
      <c r="BID145" s="7"/>
      <c r="BIE145" s="7"/>
      <c r="BIF145" s="7"/>
      <c r="BIG145" s="7"/>
      <c r="BIH145" s="7"/>
      <c r="BII145" s="7"/>
      <c r="BIJ145" s="7"/>
      <c r="BIK145" s="7"/>
      <c r="BIL145" s="7"/>
      <c r="BIM145" s="7"/>
      <c r="BIN145" s="7"/>
      <c r="BIO145" s="7"/>
      <c r="BIP145" s="7"/>
      <c r="BIQ145" s="7"/>
      <c r="BIR145" s="7"/>
      <c r="BIS145" s="7"/>
      <c r="BIT145" s="7"/>
      <c r="BIU145" s="7"/>
      <c r="BIV145" s="7"/>
      <c r="BIW145" s="7"/>
      <c r="BIX145" s="7"/>
      <c r="BIY145" s="7"/>
      <c r="BIZ145" s="7"/>
      <c r="BJA145" s="7"/>
      <c r="BJB145" s="7"/>
      <c r="BJC145" s="7"/>
      <c r="BJD145" s="7"/>
      <c r="BJE145" s="7"/>
      <c r="BJF145" s="7"/>
      <c r="BJG145" s="7"/>
      <c r="BJH145" s="7"/>
      <c r="BJI145" s="7"/>
      <c r="BJJ145" s="7"/>
      <c r="BJK145" s="7"/>
      <c r="BJL145" s="7"/>
      <c r="BJM145" s="7"/>
      <c r="BJN145" s="7"/>
      <c r="BJO145" s="7"/>
      <c r="BJP145" s="7"/>
      <c r="BJQ145" s="7"/>
      <c r="BJR145" s="7"/>
      <c r="BJS145" s="7"/>
      <c r="BJT145" s="7"/>
      <c r="BJU145" s="7"/>
      <c r="BJV145" s="7"/>
      <c r="BJW145" s="7"/>
      <c r="BJX145" s="7"/>
      <c r="BJY145" s="7"/>
      <c r="BJZ145" s="7"/>
      <c r="BKA145" s="7"/>
      <c r="BKB145" s="7"/>
      <c r="BKC145" s="7"/>
      <c r="BKD145" s="7"/>
      <c r="BKE145" s="7"/>
      <c r="BKF145" s="7"/>
      <c r="BKG145" s="7"/>
      <c r="BKH145" s="7"/>
      <c r="BKI145" s="7"/>
      <c r="BKJ145" s="7"/>
      <c r="BKK145" s="7"/>
      <c r="BKL145" s="7"/>
      <c r="BKM145" s="7"/>
      <c r="BKN145" s="7"/>
      <c r="BKO145" s="7"/>
      <c r="BKP145" s="7"/>
      <c r="BKQ145" s="7"/>
      <c r="BKR145" s="7"/>
      <c r="BKS145" s="7"/>
      <c r="BKT145" s="7"/>
      <c r="BKU145" s="7"/>
      <c r="BKV145" s="7"/>
      <c r="BKW145" s="7"/>
      <c r="BKX145" s="7"/>
      <c r="BKY145" s="7"/>
      <c r="BKZ145" s="7"/>
      <c r="BLA145" s="7"/>
      <c r="BLB145" s="7"/>
      <c r="BLC145" s="7"/>
      <c r="BLD145" s="7"/>
      <c r="BLE145" s="7"/>
      <c r="BLF145" s="7"/>
      <c r="BLG145" s="7"/>
      <c r="BLH145" s="7"/>
      <c r="BLI145" s="7"/>
      <c r="BLJ145" s="7"/>
      <c r="BLK145" s="7"/>
      <c r="BLL145" s="7"/>
      <c r="BLM145" s="7"/>
      <c r="BLN145" s="7"/>
      <c r="BLO145" s="7"/>
      <c r="BLP145" s="7"/>
      <c r="BLQ145" s="7"/>
      <c r="BLR145" s="7"/>
      <c r="BLS145" s="7"/>
      <c r="BLT145" s="7"/>
      <c r="BLU145" s="7"/>
      <c r="BLV145" s="7"/>
      <c r="BLW145" s="7"/>
      <c r="BLX145" s="7"/>
      <c r="BLY145" s="7"/>
      <c r="BLZ145" s="7"/>
      <c r="BMA145" s="7"/>
      <c r="BMB145" s="7"/>
      <c r="BMC145" s="7"/>
      <c r="BMD145" s="7"/>
      <c r="BME145" s="7"/>
      <c r="BMF145" s="7"/>
      <c r="BMG145" s="7"/>
      <c r="BMH145" s="7"/>
      <c r="BMI145" s="7"/>
      <c r="BMJ145" s="7"/>
      <c r="BMK145" s="7"/>
      <c r="BML145" s="7"/>
      <c r="BMM145" s="7"/>
      <c r="BMN145" s="7"/>
      <c r="BMO145" s="7"/>
      <c r="BMP145" s="7"/>
      <c r="BMQ145" s="7"/>
      <c r="BMR145" s="7"/>
      <c r="BMS145" s="7"/>
      <c r="BMT145" s="7"/>
      <c r="BMU145" s="7"/>
      <c r="BMV145" s="7"/>
      <c r="BMW145" s="7"/>
      <c r="BMX145" s="7"/>
      <c r="BMY145" s="7"/>
      <c r="BMZ145" s="7"/>
      <c r="BNA145" s="7"/>
      <c r="BNB145" s="7"/>
      <c r="BNC145" s="7"/>
      <c r="BND145" s="7"/>
      <c r="BNE145" s="7"/>
      <c r="BNF145" s="7"/>
      <c r="BNG145" s="7"/>
      <c r="BNH145" s="7"/>
      <c r="BNI145" s="7"/>
      <c r="BNJ145" s="7"/>
      <c r="BNK145" s="7"/>
      <c r="BNL145" s="7"/>
      <c r="BNM145" s="7"/>
      <c r="BNN145" s="7"/>
      <c r="BNO145" s="7"/>
      <c r="BNP145" s="7"/>
      <c r="BNQ145" s="7"/>
      <c r="BNR145" s="7"/>
      <c r="BNS145" s="7"/>
      <c r="BNT145" s="7"/>
      <c r="BNU145" s="7"/>
      <c r="BNV145" s="7"/>
      <c r="BNW145" s="7"/>
      <c r="BNX145" s="7"/>
      <c r="BNY145" s="7"/>
      <c r="BNZ145" s="7"/>
      <c r="BOA145" s="7"/>
      <c r="BOB145" s="7"/>
      <c r="BOC145" s="7"/>
      <c r="BOD145" s="7"/>
      <c r="BOE145" s="7"/>
      <c r="BOF145" s="7"/>
      <c r="BOG145" s="7"/>
      <c r="BOH145" s="7"/>
      <c r="BOI145" s="7"/>
      <c r="BOJ145" s="7"/>
      <c r="BOK145" s="7"/>
      <c r="BOL145" s="7"/>
      <c r="BOM145" s="7"/>
      <c r="BON145" s="7"/>
      <c r="BOO145" s="7"/>
      <c r="BOP145" s="7"/>
      <c r="BOQ145" s="7"/>
      <c r="BOR145" s="7"/>
      <c r="BOS145" s="7"/>
      <c r="BOT145" s="7"/>
      <c r="BOU145" s="7"/>
      <c r="BOV145" s="7"/>
      <c r="BOW145" s="7"/>
      <c r="BOX145" s="7"/>
      <c r="BOY145" s="7"/>
      <c r="BOZ145" s="7"/>
      <c r="BPA145" s="7"/>
      <c r="BPB145" s="7"/>
      <c r="BPC145" s="7"/>
      <c r="BPD145" s="7"/>
      <c r="BPE145" s="7"/>
      <c r="BPF145" s="7"/>
      <c r="BPG145" s="7"/>
      <c r="BPH145" s="7"/>
      <c r="BPI145" s="7"/>
      <c r="BPJ145" s="7"/>
      <c r="BPK145" s="7"/>
      <c r="BPL145" s="7"/>
      <c r="BPM145" s="7"/>
      <c r="BPN145" s="7"/>
      <c r="BPO145" s="7"/>
      <c r="BPP145" s="7"/>
      <c r="BPQ145" s="7"/>
      <c r="BPR145" s="7"/>
      <c r="BPS145" s="7"/>
      <c r="BPT145" s="7"/>
      <c r="BPU145" s="7"/>
      <c r="BPV145" s="7"/>
      <c r="BPW145" s="7"/>
      <c r="BPX145" s="7"/>
      <c r="BPY145" s="7"/>
      <c r="BPZ145" s="7"/>
      <c r="BQA145" s="7"/>
      <c r="BQB145" s="7"/>
      <c r="BQC145" s="7"/>
      <c r="BQD145" s="7"/>
      <c r="BQE145" s="7"/>
      <c r="BQF145" s="7"/>
      <c r="BQG145" s="7"/>
      <c r="BQH145" s="7"/>
      <c r="BQI145" s="7"/>
      <c r="BQJ145" s="7"/>
      <c r="BQK145" s="7"/>
      <c r="BQL145" s="7"/>
      <c r="BQM145" s="7"/>
      <c r="BQN145" s="7"/>
      <c r="BQO145" s="7"/>
      <c r="BQP145" s="7"/>
      <c r="BQQ145" s="7"/>
      <c r="BQR145" s="7"/>
      <c r="BQS145" s="7"/>
      <c r="BQT145" s="7"/>
      <c r="BQU145" s="7"/>
      <c r="BQV145" s="7"/>
      <c r="BQW145" s="7"/>
      <c r="BQX145" s="7"/>
      <c r="BQY145" s="7"/>
      <c r="BQZ145" s="7"/>
      <c r="BRA145" s="7"/>
      <c r="BRB145" s="7"/>
      <c r="BRC145" s="7"/>
      <c r="BRD145" s="7"/>
      <c r="BRE145" s="7"/>
      <c r="BRF145" s="7"/>
      <c r="BRG145" s="7"/>
      <c r="BRH145" s="7"/>
      <c r="BRI145" s="7"/>
      <c r="BRJ145" s="7"/>
      <c r="BRK145" s="7"/>
      <c r="BRL145" s="7"/>
      <c r="BRM145" s="7"/>
      <c r="BRN145" s="7"/>
      <c r="BRO145" s="7"/>
      <c r="BRP145" s="7"/>
      <c r="BRQ145" s="7"/>
      <c r="BRR145" s="7"/>
      <c r="BRS145" s="7"/>
      <c r="BRT145" s="7"/>
      <c r="BRU145" s="7"/>
      <c r="BRV145" s="7"/>
      <c r="BRW145" s="7"/>
      <c r="BRX145" s="7"/>
      <c r="BRY145" s="7"/>
      <c r="BRZ145" s="7"/>
      <c r="BSA145" s="7"/>
      <c r="BSB145" s="7"/>
      <c r="BSC145" s="7"/>
      <c r="BSD145" s="7"/>
      <c r="BSE145" s="7"/>
      <c r="BSF145" s="7"/>
      <c r="BSG145" s="7"/>
      <c r="BSH145" s="7"/>
      <c r="BSI145" s="7"/>
      <c r="BSJ145" s="7"/>
      <c r="BSK145" s="7"/>
      <c r="BSL145" s="7"/>
      <c r="BSM145" s="7"/>
      <c r="BSN145" s="7"/>
      <c r="BSO145" s="7"/>
      <c r="BSP145" s="7"/>
      <c r="BSQ145" s="7"/>
      <c r="BSR145" s="7"/>
      <c r="BSS145" s="7"/>
      <c r="BST145" s="7"/>
      <c r="BSU145" s="7"/>
      <c r="BSV145" s="7"/>
      <c r="BSW145" s="7"/>
      <c r="BSX145" s="7"/>
      <c r="BSY145" s="7"/>
      <c r="BSZ145" s="7"/>
      <c r="BTA145" s="7"/>
      <c r="BTB145" s="7"/>
      <c r="BTC145" s="7"/>
      <c r="BTD145" s="7"/>
      <c r="BTE145" s="7"/>
      <c r="BTF145" s="7"/>
      <c r="BTG145" s="7"/>
      <c r="BTH145" s="7"/>
      <c r="BTI145" s="7"/>
      <c r="BTJ145" s="7"/>
      <c r="BTK145" s="7"/>
      <c r="BTL145" s="7"/>
      <c r="BTM145" s="7"/>
      <c r="BTN145" s="7"/>
      <c r="BTO145" s="7"/>
      <c r="BTP145" s="7"/>
      <c r="BTQ145" s="7"/>
      <c r="BTR145" s="7"/>
      <c r="BTS145" s="7"/>
      <c r="BTT145" s="7"/>
      <c r="BTU145" s="7"/>
      <c r="BTV145" s="7"/>
      <c r="BTW145" s="7"/>
      <c r="BTX145" s="7"/>
      <c r="BTY145" s="7"/>
      <c r="BTZ145" s="7"/>
      <c r="BUA145" s="7"/>
      <c r="BUB145" s="7"/>
      <c r="BUC145" s="7"/>
      <c r="BUD145" s="7"/>
      <c r="BUE145" s="7"/>
      <c r="BUF145" s="7"/>
      <c r="BUG145" s="7"/>
      <c r="BUH145" s="7"/>
      <c r="BUI145" s="7"/>
      <c r="BUJ145" s="7"/>
      <c r="BUK145" s="7"/>
      <c r="BUL145" s="7"/>
      <c r="BUM145" s="7"/>
      <c r="BUN145" s="7"/>
      <c r="BUO145" s="7"/>
      <c r="BUP145" s="7"/>
      <c r="BUQ145" s="7"/>
      <c r="BUR145" s="7"/>
      <c r="BUS145" s="7"/>
      <c r="BUT145" s="7"/>
      <c r="BUU145" s="7"/>
      <c r="BUV145" s="7"/>
      <c r="BUW145" s="7"/>
      <c r="BUX145" s="7"/>
      <c r="BUY145" s="7"/>
      <c r="BUZ145" s="7"/>
      <c r="BVA145" s="7"/>
      <c r="BVB145" s="7"/>
      <c r="BVC145" s="7"/>
      <c r="BVD145" s="7"/>
      <c r="BVE145" s="7"/>
      <c r="BVF145" s="7"/>
      <c r="BVG145" s="7"/>
      <c r="BVH145" s="7"/>
      <c r="BVI145" s="7"/>
      <c r="BVJ145" s="7"/>
      <c r="BVK145" s="7"/>
      <c r="BVL145" s="7"/>
      <c r="BVM145" s="7"/>
      <c r="BVN145" s="7"/>
      <c r="BVO145" s="7"/>
      <c r="BVP145" s="7"/>
      <c r="BVQ145" s="7"/>
      <c r="BVR145" s="7"/>
      <c r="BVS145" s="7"/>
      <c r="BVT145" s="7"/>
      <c r="BVU145" s="7"/>
      <c r="BVV145" s="7"/>
      <c r="BVW145" s="7"/>
      <c r="BVX145" s="7"/>
      <c r="BVY145" s="7"/>
      <c r="BVZ145" s="7"/>
      <c r="BWA145" s="7"/>
      <c r="BWB145" s="7"/>
      <c r="BWC145" s="7"/>
      <c r="BWD145" s="7"/>
      <c r="BWE145" s="7"/>
      <c r="BWF145" s="7"/>
      <c r="BWG145" s="7"/>
      <c r="BWH145" s="7"/>
      <c r="BWI145" s="7"/>
      <c r="BWJ145" s="7"/>
      <c r="BWK145" s="7"/>
      <c r="BWL145" s="7"/>
      <c r="BWM145" s="7"/>
      <c r="BWN145" s="7"/>
      <c r="BWO145" s="7"/>
      <c r="BWP145" s="7"/>
      <c r="BWQ145" s="7"/>
      <c r="BWR145" s="7"/>
      <c r="BWS145" s="7"/>
      <c r="BWT145" s="7"/>
      <c r="BWU145" s="7"/>
      <c r="BWV145" s="7"/>
      <c r="BWW145" s="7"/>
      <c r="BWX145" s="7"/>
      <c r="BWY145" s="7"/>
      <c r="BWZ145" s="7"/>
      <c r="BXA145" s="7"/>
      <c r="BXB145" s="7"/>
      <c r="BXC145" s="7"/>
      <c r="BXD145" s="7"/>
      <c r="BXE145" s="7"/>
      <c r="BXF145" s="7"/>
      <c r="BXG145" s="7"/>
      <c r="BXH145" s="7"/>
      <c r="BXI145" s="7"/>
      <c r="BXJ145" s="7"/>
      <c r="BXK145" s="7"/>
      <c r="BXL145" s="7"/>
      <c r="BXM145" s="7"/>
      <c r="BXN145" s="7"/>
      <c r="BXO145" s="7"/>
      <c r="BXP145" s="7"/>
      <c r="BXQ145" s="7"/>
      <c r="BXR145" s="7"/>
      <c r="BXS145" s="7"/>
      <c r="BXT145" s="7"/>
      <c r="BXU145" s="7"/>
      <c r="BXV145" s="7"/>
      <c r="BXW145" s="7"/>
      <c r="BXX145" s="7"/>
      <c r="BXY145" s="7"/>
      <c r="BXZ145" s="7"/>
      <c r="BYA145" s="7"/>
      <c r="BYB145" s="7"/>
      <c r="BYC145" s="7"/>
      <c r="BYD145" s="7"/>
      <c r="BYE145" s="7"/>
      <c r="BYF145" s="7"/>
      <c r="BYG145" s="7"/>
      <c r="BYH145" s="7"/>
      <c r="BYI145" s="7"/>
      <c r="BYJ145" s="7"/>
      <c r="BYK145" s="7"/>
      <c r="BYL145" s="7"/>
      <c r="BYM145" s="7"/>
      <c r="BYN145" s="7"/>
      <c r="BYO145" s="7"/>
      <c r="BYP145" s="7"/>
      <c r="BYQ145" s="7"/>
      <c r="BYR145" s="7"/>
      <c r="BYS145" s="7"/>
      <c r="BYT145" s="7"/>
      <c r="BYU145" s="7"/>
      <c r="BYV145" s="7"/>
      <c r="BYW145" s="7"/>
      <c r="BYX145" s="7"/>
      <c r="BYY145" s="7"/>
      <c r="BYZ145" s="7"/>
      <c r="BZA145" s="7"/>
      <c r="BZB145" s="7"/>
      <c r="BZC145" s="7"/>
      <c r="BZD145" s="7"/>
      <c r="BZE145" s="7"/>
      <c r="BZF145" s="7"/>
      <c r="BZG145" s="7"/>
      <c r="BZH145" s="7"/>
      <c r="BZI145" s="7"/>
      <c r="BZJ145" s="7"/>
      <c r="BZK145" s="7"/>
      <c r="BZL145" s="7"/>
      <c r="BZM145" s="7"/>
      <c r="BZN145" s="7"/>
      <c r="BZO145" s="7"/>
      <c r="BZP145" s="7"/>
      <c r="BZQ145" s="7"/>
      <c r="BZR145" s="7"/>
      <c r="BZS145" s="7"/>
      <c r="BZT145" s="7"/>
      <c r="BZU145" s="7"/>
      <c r="BZV145" s="7"/>
      <c r="BZW145" s="7"/>
      <c r="BZX145" s="7"/>
      <c r="BZY145" s="7"/>
      <c r="BZZ145" s="7"/>
      <c r="CAA145" s="7"/>
      <c r="CAB145" s="7"/>
      <c r="CAC145" s="7"/>
      <c r="CAD145" s="7"/>
      <c r="CAE145" s="7"/>
      <c r="CAF145" s="7"/>
      <c r="CAG145" s="7"/>
      <c r="CAH145" s="7"/>
      <c r="CAI145" s="7"/>
      <c r="CAJ145" s="7"/>
      <c r="CAK145" s="7"/>
      <c r="CAL145" s="7"/>
      <c r="CAM145" s="7"/>
      <c r="CAN145" s="7"/>
      <c r="CAO145" s="7"/>
      <c r="CAP145" s="7"/>
      <c r="CAQ145" s="7"/>
      <c r="CAR145" s="7"/>
      <c r="CAS145" s="7"/>
      <c r="CAT145" s="7"/>
      <c r="CAU145" s="7"/>
      <c r="CAV145" s="7"/>
      <c r="CAW145" s="7"/>
      <c r="CAX145" s="7"/>
      <c r="CAY145" s="7"/>
      <c r="CAZ145" s="7"/>
      <c r="CBA145" s="7"/>
      <c r="CBB145" s="7"/>
      <c r="CBC145" s="7"/>
      <c r="CBD145" s="7"/>
      <c r="CBE145" s="7"/>
      <c r="CBF145" s="7"/>
      <c r="CBG145" s="7"/>
      <c r="CBH145" s="7"/>
      <c r="CBI145" s="7"/>
      <c r="CBJ145" s="7"/>
      <c r="CBK145" s="7"/>
      <c r="CBL145" s="7"/>
      <c r="CBM145" s="7"/>
      <c r="CBN145" s="7"/>
      <c r="CBO145" s="7"/>
      <c r="CBP145" s="7"/>
      <c r="CBQ145" s="7"/>
      <c r="CBR145" s="7"/>
      <c r="CBS145" s="7"/>
      <c r="CBT145" s="7"/>
      <c r="CBU145" s="7"/>
      <c r="CBV145" s="7"/>
      <c r="CBW145" s="7"/>
      <c r="CBX145" s="7"/>
      <c r="CBY145" s="7"/>
      <c r="CBZ145" s="7"/>
      <c r="CCA145" s="7"/>
      <c r="CCB145" s="7"/>
      <c r="CCC145" s="7"/>
      <c r="CCD145" s="7"/>
      <c r="CCE145" s="7"/>
      <c r="CCF145" s="7"/>
      <c r="CCG145" s="7"/>
      <c r="CCH145" s="7"/>
      <c r="CCI145" s="7"/>
      <c r="CCJ145" s="7"/>
      <c r="CCK145" s="7"/>
      <c r="CCL145" s="7"/>
      <c r="CCM145" s="7"/>
      <c r="CCN145" s="7"/>
      <c r="CCO145" s="7"/>
      <c r="CCP145" s="7"/>
      <c r="CCQ145" s="7"/>
      <c r="CCR145" s="7"/>
      <c r="CCS145" s="7"/>
      <c r="CCT145" s="7"/>
      <c r="CCU145" s="7"/>
      <c r="CCV145" s="7"/>
      <c r="CCW145" s="7"/>
      <c r="CCX145" s="7"/>
      <c r="CCY145" s="7"/>
      <c r="CCZ145" s="7"/>
      <c r="CDA145" s="7"/>
      <c r="CDB145" s="7"/>
      <c r="CDC145" s="7"/>
      <c r="CDD145" s="7"/>
      <c r="CDE145" s="7"/>
      <c r="CDF145" s="7"/>
      <c r="CDG145" s="7"/>
      <c r="CDH145" s="7"/>
      <c r="CDI145" s="7"/>
      <c r="CDJ145" s="7"/>
      <c r="CDK145" s="7"/>
      <c r="CDL145" s="7"/>
      <c r="CDM145" s="7"/>
      <c r="CDN145" s="7"/>
      <c r="CDO145" s="7"/>
      <c r="CDP145" s="7"/>
      <c r="CDQ145" s="7"/>
      <c r="CDR145" s="7"/>
      <c r="CDS145" s="7"/>
      <c r="CDT145" s="7"/>
      <c r="CDU145" s="7"/>
      <c r="CDV145" s="7"/>
      <c r="CDW145" s="7"/>
      <c r="CDX145" s="7"/>
      <c r="CDY145" s="7"/>
      <c r="CDZ145" s="7"/>
      <c r="CEA145" s="7"/>
      <c r="CEB145" s="7"/>
      <c r="CEC145" s="7"/>
      <c r="CED145" s="7"/>
      <c r="CEE145" s="7"/>
      <c r="CEF145" s="7"/>
      <c r="CEG145" s="7"/>
      <c r="CEH145" s="7"/>
      <c r="CEI145" s="7"/>
      <c r="CEJ145" s="7"/>
      <c r="CEK145" s="7"/>
      <c r="CEL145" s="7"/>
      <c r="CEM145" s="7"/>
      <c r="CEN145" s="7"/>
      <c r="CEO145" s="7"/>
      <c r="CEP145" s="7"/>
      <c r="CEQ145" s="7"/>
      <c r="CER145" s="7"/>
      <c r="CES145" s="7"/>
      <c r="CET145" s="7"/>
      <c r="CEU145" s="7"/>
      <c r="CEV145" s="7"/>
      <c r="CEW145" s="7"/>
      <c r="CEX145" s="7"/>
      <c r="CEY145" s="7"/>
      <c r="CEZ145" s="7"/>
      <c r="CFA145" s="7"/>
      <c r="CFB145" s="7"/>
      <c r="CFC145" s="7"/>
      <c r="CFD145" s="7"/>
      <c r="CFE145" s="7"/>
      <c r="CFF145" s="7"/>
      <c r="CFG145" s="7"/>
      <c r="CFH145" s="7"/>
      <c r="CFI145" s="7"/>
      <c r="CFJ145" s="7"/>
      <c r="CFK145" s="7"/>
      <c r="CFL145" s="7"/>
      <c r="CFM145" s="7"/>
      <c r="CFN145" s="7"/>
      <c r="CFO145" s="7"/>
      <c r="CFP145" s="7"/>
      <c r="CFQ145" s="7"/>
      <c r="CFR145" s="7"/>
      <c r="CFS145" s="7"/>
      <c r="CFT145" s="7"/>
      <c r="CFU145" s="7"/>
      <c r="CFV145" s="7"/>
      <c r="CFW145" s="7"/>
      <c r="CFX145" s="7"/>
      <c r="CFY145" s="7"/>
      <c r="CFZ145" s="7"/>
      <c r="CGA145" s="7"/>
      <c r="CGB145" s="7"/>
      <c r="CGC145" s="7"/>
      <c r="CGD145" s="7"/>
      <c r="CGE145" s="7"/>
      <c r="CGF145" s="7"/>
      <c r="CGG145" s="7"/>
      <c r="CGH145" s="7"/>
      <c r="CGI145" s="7"/>
      <c r="CGJ145" s="7"/>
      <c r="CGK145" s="7"/>
      <c r="CGL145" s="7"/>
      <c r="CGM145" s="7"/>
      <c r="CGN145" s="7"/>
      <c r="CGO145" s="7"/>
      <c r="CGP145" s="7"/>
      <c r="CGQ145" s="7"/>
      <c r="CGR145" s="7"/>
      <c r="CGS145" s="7"/>
      <c r="CGT145" s="7"/>
      <c r="CGU145" s="7"/>
      <c r="CGV145" s="7"/>
      <c r="CGW145" s="7"/>
      <c r="CGX145" s="7"/>
      <c r="CGY145" s="7"/>
      <c r="CGZ145" s="7"/>
      <c r="CHA145" s="7"/>
      <c r="CHB145" s="7"/>
      <c r="CHC145" s="7"/>
      <c r="CHD145" s="7"/>
      <c r="CHE145" s="7"/>
      <c r="CHF145" s="7"/>
      <c r="CHG145" s="7"/>
      <c r="CHH145" s="7"/>
      <c r="CHI145" s="7"/>
      <c r="CHJ145" s="7"/>
      <c r="CHK145" s="7"/>
      <c r="CHL145" s="7"/>
      <c r="CHM145" s="7"/>
      <c r="CHN145" s="7"/>
      <c r="CHO145" s="7"/>
      <c r="CHP145" s="7"/>
      <c r="CHQ145" s="7"/>
      <c r="CHR145" s="7"/>
      <c r="CHS145" s="7"/>
      <c r="CHT145" s="7"/>
      <c r="CHU145" s="7"/>
      <c r="CHV145" s="7"/>
      <c r="CHW145" s="7"/>
      <c r="CHX145" s="7"/>
      <c r="CHY145" s="7"/>
      <c r="CHZ145" s="7"/>
      <c r="CIA145" s="7"/>
      <c r="CIB145" s="7"/>
      <c r="CIC145" s="7"/>
      <c r="CID145" s="7"/>
      <c r="CIE145" s="7"/>
      <c r="CIF145" s="7"/>
      <c r="CIG145" s="7"/>
      <c r="CIH145" s="7"/>
      <c r="CII145" s="7"/>
      <c r="CIJ145" s="7"/>
      <c r="CIK145" s="7"/>
      <c r="CIL145" s="7"/>
      <c r="CIM145" s="7"/>
      <c r="CIN145" s="7"/>
      <c r="CIO145" s="7"/>
      <c r="CIP145" s="7"/>
      <c r="CIQ145" s="7"/>
      <c r="CIR145" s="7"/>
      <c r="CIS145" s="7"/>
      <c r="CIT145" s="7"/>
      <c r="CIU145" s="7"/>
      <c r="CIV145" s="7"/>
      <c r="CIW145" s="7"/>
      <c r="CIX145" s="7"/>
      <c r="CIY145" s="7"/>
      <c r="CIZ145" s="7"/>
      <c r="CJA145" s="7"/>
      <c r="CJB145" s="7"/>
      <c r="CJC145" s="7"/>
      <c r="CJD145" s="7"/>
      <c r="CJE145" s="7"/>
      <c r="CJF145" s="7"/>
      <c r="CJG145" s="7"/>
      <c r="CJH145" s="7"/>
      <c r="CJI145" s="7"/>
      <c r="CJJ145" s="7"/>
      <c r="CJK145" s="7"/>
      <c r="CJL145" s="7"/>
      <c r="CJM145" s="7"/>
      <c r="CJN145" s="7"/>
      <c r="CJO145" s="7"/>
      <c r="CJP145" s="7"/>
      <c r="CJQ145" s="7"/>
      <c r="CJR145" s="7"/>
      <c r="CJS145" s="7"/>
      <c r="CJT145" s="7"/>
      <c r="CJU145" s="7"/>
      <c r="CJV145" s="7"/>
      <c r="CJW145" s="7"/>
      <c r="CJX145" s="7"/>
      <c r="CJY145" s="7"/>
      <c r="CJZ145" s="7"/>
      <c r="CKA145" s="7"/>
      <c r="CKB145" s="7"/>
      <c r="CKC145" s="7"/>
      <c r="CKD145" s="7"/>
      <c r="CKE145" s="7"/>
      <c r="CKF145" s="7"/>
      <c r="CKG145" s="7"/>
      <c r="CKH145" s="7"/>
      <c r="CKI145" s="7"/>
      <c r="CKJ145" s="7"/>
      <c r="CKK145" s="7"/>
      <c r="CKL145" s="7"/>
      <c r="CKM145" s="7"/>
      <c r="CKN145" s="7"/>
      <c r="CKO145" s="7"/>
      <c r="CKP145" s="7"/>
      <c r="CKQ145" s="7"/>
      <c r="CKR145" s="7"/>
      <c r="CKS145" s="7"/>
      <c r="CKT145" s="7"/>
      <c r="CKU145" s="7"/>
      <c r="CKV145" s="7"/>
      <c r="CKW145" s="7"/>
      <c r="CKX145" s="7"/>
      <c r="CKY145" s="7"/>
      <c r="CKZ145" s="7"/>
      <c r="CLA145" s="7"/>
      <c r="CLB145" s="7"/>
      <c r="CLC145" s="7"/>
      <c r="CLD145" s="7"/>
      <c r="CLE145" s="7"/>
      <c r="CLF145" s="7"/>
      <c r="CLG145" s="7"/>
      <c r="CLH145" s="7"/>
      <c r="CLI145" s="7"/>
      <c r="CLJ145" s="7"/>
      <c r="CLK145" s="7"/>
      <c r="CLL145" s="7"/>
      <c r="CLM145" s="7"/>
      <c r="CLN145" s="7"/>
      <c r="CLO145" s="7"/>
      <c r="CLP145" s="7"/>
      <c r="CLQ145" s="7"/>
      <c r="CLR145" s="7"/>
      <c r="CLS145" s="7"/>
      <c r="CLT145" s="7"/>
      <c r="CLU145" s="7"/>
      <c r="CLV145" s="7"/>
      <c r="CLW145" s="7"/>
      <c r="CLX145" s="7"/>
      <c r="CLY145" s="7"/>
      <c r="CLZ145" s="7"/>
      <c r="CMA145" s="7"/>
      <c r="CMB145" s="7"/>
      <c r="CMC145" s="7"/>
      <c r="CMD145" s="7"/>
      <c r="CME145" s="7"/>
      <c r="CMF145" s="7"/>
      <c r="CMG145" s="7"/>
      <c r="CMH145" s="7"/>
      <c r="CMI145" s="7"/>
      <c r="CMJ145" s="7"/>
      <c r="CMK145" s="7"/>
      <c r="CML145" s="7"/>
      <c r="CMM145" s="7"/>
      <c r="CMN145" s="7"/>
      <c r="CMO145" s="7"/>
      <c r="CMP145" s="7"/>
      <c r="CMQ145" s="7"/>
      <c r="CMR145" s="7"/>
      <c r="CMS145" s="7"/>
      <c r="CMT145" s="7"/>
      <c r="CMU145" s="7"/>
      <c r="CMV145" s="7"/>
      <c r="CMW145" s="7"/>
      <c r="CMX145" s="7"/>
      <c r="CMY145" s="7"/>
      <c r="CMZ145" s="7"/>
      <c r="CNA145" s="7"/>
      <c r="CNB145" s="7"/>
      <c r="CNC145" s="7"/>
      <c r="CND145" s="7"/>
      <c r="CNE145" s="7"/>
      <c r="CNF145" s="7"/>
      <c r="CNG145" s="7"/>
      <c r="CNH145" s="7"/>
      <c r="CNI145" s="7"/>
      <c r="CNJ145" s="7"/>
      <c r="CNK145" s="7"/>
      <c r="CNL145" s="7"/>
      <c r="CNM145" s="7"/>
      <c r="CNN145" s="7"/>
      <c r="CNO145" s="7"/>
      <c r="CNP145" s="7"/>
      <c r="CNQ145" s="7"/>
      <c r="CNR145" s="7"/>
      <c r="CNS145" s="7"/>
      <c r="CNT145" s="7"/>
      <c r="CNU145" s="7"/>
      <c r="CNV145" s="7"/>
      <c r="CNW145" s="7"/>
      <c r="CNX145" s="7"/>
      <c r="CNY145" s="7"/>
      <c r="CNZ145" s="7"/>
      <c r="COA145" s="7"/>
      <c r="COB145" s="7"/>
      <c r="COC145" s="7"/>
      <c r="COD145" s="7"/>
      <c r="COE145" s="7"/>
      <c r="COF145" s="7"/>
      <c r="COG145" s="7"/>
      <c r="COH145" s="7"/>
      <c r="COI145" s="7"/>
      <c r="COJ145" s="7"/>
      <c r="COK145" s="7"/>
      <c r="COL145" s="7"/>
      <c r="COM145" s="7"/>
      <c r="CON145" s="7"/>
      <c r="COO145" s="7"/>
      <c r="COP145" s="7"/>
      <c r="COQ145" s="7"/>
      <c r="COR145" s="7"/>
      <c r="COS145" s="7"/>
      <c r="COT145" s="7"/>
      <c r="COU145" s="7"/>
      <c r="COV145" s="7"/>
      <c r="COW145" s="7"/>
      <c r="COX145" s="7"/>
      <c r="COY145" s="7"/>
      <c r="COZ145" s="7"/>
      <c r="CPA145" s="7"/>
      <c r="CPB145" s="7"/>
      <c r="CPC145" s="7"/>
      <c r="CPD145" s="7"/>
      <c r="CPE145" s="7"/>
      <c r="CPF145" s="7"/>
      <c r="CPG145" s="7"/>
      <c r="CPH145" s="7"/>
      <c r="CPI145" s="7"/>
      <c r="CPJ145" s="7"/>
      <c r="CPK145" s="7"/>
      <c r="CPL145" s="7"/>
      <c r="CPM145" s="7"/>
      <c r="CPN145" s="7"/>
      <c r="CPO145" s="7"/>
      <c r="CPP145" s="7"/>
      <c r="CPQ145" s="7"/>
      <c r="CPR145" s="7"/>
      <c r="CPS145" s="7"/>
      <c r="CPT145" s="7"/>
      <c r="CPU145" s="7"/>
      <c r="CPV145" s="7"/>
      <c r="CPW145" s="7"/>
      <c r="CPX145" s="7"/>
      <c r="CPY145" s="7"/>
      <c r="CPZ145" s="7"/>
      <c r="CQA145" s="7"/>
      <c r="CQB145" s="7"/>
      <c r="CQC145" s="7"/>
      <c r="CQD145" s="7"/>
      <c r="CQE145" s="7"/>
      <c r="CQF145" s="7"/>
      <c r="CQG145" s="7"/>
      <c r="CQH145" s="7"/>
      <c r="CQI145" s="7"/>
      <c r="CQJ145" s="7"/>
      <c r="CQK145" s="7"/>
      <c r="CQL145" s="7"/>
      <c r="CQM145" s="7"/>
      <c r="CQN145" s="7"/>
      <c r="CQO145" s="7"/>
      <c r="CQP145" s="7"/>
      <c r="CQQ145" s="7"/>
      <c r="CQR145" s="7"/>
      <c r="CQS145" s="7"/>
      <c r="CQT145" s="7"/>
      <c r="CQU145" s="7"/>
      <c r="CQV145" s="7"/>
      <c r="CQW145" s="7"/>
      <c r="CQX145" s="7"/>
      <c r="CQY145" s="7"/>
      <c r="CQZ145" s="7"/>
      <c r="CRA145" s="7"/>
      <c r="CRB145" s="7"/>
      <c r="CRC145" s="7"/>
      <c r="CRD145" s="7"/>
      <c r="CRE145" s="7"/>
      <c r="CRF145" s="7"/>
      <c r="CRG145" s="7"/>
      <c r="CRH145" s="7"/>
      <c r="CRI145" s="7"/>
      <c r="CRJ145" s="7"/>
      <c r="CRK145" s="7"/>
      <c r="CRL145" s="7"/>
      <c r="CRM145" s="7"/>
      <c r="CRN145" s="7"/>
      <c r="CRO145" s="7"/>
      <c r="CRP145" s="7"/>
      <c r="CRQ145" s="7"/>
      <c r="CRR145" s="7"/>
      <c r="CRS145" s="7"/>
      <c r="CRT145" s="7"/>
      <c r="CRU145" s="7"/>
      <c r="CRV145" s="7"/>
      <c r="CRW145" s="7"/>
      <c r="CRX145" s="7"/>
      <c r="CRY145" s="7"/>
      <c r="CRZ145" s="7"/>
      <c r="CSA145" s="7"/>
      <c r="CSB145" s="7"/>
      <c r="CSC145" s="7"/>
      <c r="CSD145" s="7"/>
      <c r="CSE145" s="7"/>
      <c r="CSF145" s="7"/>
      <c r="CSG145" s="7"/>
      <c r="CSH145" s="7"/>
      <c r="CSI145" s="7"/>
      <c r="CSJ145" s="7"/>
      <c r="CSK145" s="7"/>
      <c r="CSL145" s="7"/>
      <c r="CSM145" s="7"/>
      <c r="CSN145" s="7"/>
      <c r="CSO145" s="7"/>
      <c r="CSP145" s="7"/>
      <c r="CSQ145" s="7"/>
      <c r="CSR145" s="7"/>
      <c r="CSS145" s="7"/>
      <c r="CST145" s="7"/>
      <c r="CSU145" s="7"/>
      <c r="CSV145" s="7"/>
      <c r="CSW145" s="7"/>
      <c r="CSX145" s="7"/>
      <c r="CSY145" s="7"/>
      <c r="CSZ145" s="7"/>
      <c r="CTA145" s="7"/>
      <c r="CTB145" s="7"/>
      <c r="CTC145" s="7"/>
      <c r="CTD145" s="7"/>
      <c r="CTE145" s="7"/>
      <c r="CTF145" s="7"/>
      <c r="CTG145" s="7"/>
      <c r="CTH145" s="7"/>
      <c r="CTI145" s="7"/>
      <c r="CTJ145" s="7"/>
      <c r="CTK145" s="7"/>
      <c r="CTL145" s="7"/>
      <c r="CTM145" s="7"/>
      <c r="CTN145" s="7"/>
      <c r="CTO145" s="7"/>
      <c r="CTP145" s="7"/>
      <c r="CTQ145" s="7"/>
      <c r="CTR145" s="7"/>
      <c r="CTS145" s="7"/>
      <c r="CTT145" s="7"/>
      <c r="CTU145" s="7"/>
      <c r="CTV145" s="7"/>
      <c r="CTW145" s="7"/>
      <c r="CTX145" s="7"/>
      <c r="CTY145" s="7"/>
      <c r="CTZ145" s="7"/>
      <c r="CUA145" s="7"/>
      <c r="CUB145" s="7"/>
      <c r="CUC145" s="7"/>
      <c r="CUD145" s="7"/>
      <c r="CUE145" s="7"/>
      <c r="CUF145" s="7"/>
      <c r="CUG145" s="7"/>
      <c r="CUH145" s="7"/>
      <c r="CUI145" s="7"/>
      <c r="CUJ145" s="7"/>
      <c r="CUK145" s="7"/>
      <c r="CUL145" s="7"/>
      <c r="CUM145" s="7"/>
      <c r="CUN145" s="7"/>
      <c r="CUO145" s="7"/>
      <c r="CUP145" s="7"/>
      <c r="CUQ145" s="7"/>
      <c r="CUR145" s="7"/>
      <c r="CUS145" s="7"/>
      <c r="CUT145" s="7"/>
      <c r="CUU145" s="7"/>
      <c r="CUV145" s="7"/>
      <c r="CUW145" s="7"/>
      <c r="CUX145" s="7"/>
      <c r="CUY145" s="7"/>
      <c r="CUZ145" s="7"/>
      <c r="CVA145" s="7"/>
      <c r="CVB145" s="7"/>
      <c r="CVC145" s="7"/>
      <c r="CVD145" s="7"/>
      <c r="CVE145" s="7"/>
      <c r="CVF145" s="7"/>
      <c r="CVG145" s="7"/>
      <c r="CVH145" s="7"/>
      <c r="CVI145" s="7"/>
      <c r="CVJ145" s="7"/>
      <c r="CVK145" s="7"/>
      <c r="CVL145" s="7"/>
      <c r="CVM145" s="7"/>
      <c r="CVN145" s="7"/>
      <c r="CVO145" s="7"/>
      <c r="CVP145" s="7"/>
      <c r="CVQ145" s="7"/>
      <c r="CVR145" s="7"/>
      <c r="CVS145" s="7"/>
      <c r="CVT145" s="7"/>
      <c r="CVU145" s="7"/>
      <c r="CVV145" s="7"/>
      <c r="CVW145" s="7"/>
      <c r="CVX145" s="7"/>
      <c r="CVY145" s="7"/>
      <c r="CVZ145" s="7"/>
      <c r="CWA145" s="7"/>
      <c r="CWB145" s="7"/>
      <c r="CWC145" s="7"/>
      <c r="CWD145" s="7"/>
      <c r="CWE145" s="7"/>
      <c r="CWF145" s="7"/>
      <c r="CWG145" s="7"/>
      <c r="CWH145" s="7"/>
      <c r="CWI145" s="7"/>
      <c r="CWJ145" s="7"/>
      <c r="CWK145" s="7"/>
      <c r="CWL145" s="7"/>
      <c r="CWM145" s="7"/>
      <c r="CWN145" s="7"/>
      <c r="CWO145" s="7"/>
      <c r="CWP145" s="7"/>
      <c r="CWQ145" s="7"/>
      <c r="CWR145" s="7"/>
      <c r="CWS145" s="7"/>
      <c r="CWT145" s="7"/>
      <c r="CWU145" s="7"/>
      <c r="CWV145" s="7"/>
      <c r="CWW145" s="7"/>
      <c r="CWX145" s="7"/>
      <c r="CWY145" s="7"/>
      <c r="CWZ145" s="7"/>
      <c r="CXA145" s="7"/>
      <c r="CXB145" s="7"/>
      <c r="CXC145" s="7"/>
      <c r="CXD145" s="7"/>
      <c r="CXE145" s="7"/>
      <c r="CXF145" s="7"/>
      <c r="CXG145" s="7"/>
      <c r="CXH145" s="7"/>
      <c r="CXI145" s="7"/>
      <c r="CXJ145" s="7"/>
      <c r="CXK145" s="7"/>
      <c r="CXL145" s="7"/>
      <c r="CXM145" s="7"/>
      <c r="CXN145" s="7"/>
      <c r="CXO145" s="7"/>
      <c r="CXP145" s="7"/>
      <c r="CXQ145" s="7"/>
      <c r="CXR145" s="7"/>
      <c r="CXS145" s="7"/>
      <c r="CXT145" s="7"/>
      <c r="CXU145" s="7"/>
      <c r="CXV145" s="7"/>
      <c r="CXW145" s="7"/>
      <c r="CXX145" s="7"/>
      <c r="CXY145" s="7"/>
      <c r="CXZ145" s="7"/>
      <c r="CYA145" s="7"/>
      <c r="CYB145" s="7"/>
      <c r="CYC145" s="7"/>
      <c r="CYD145" s="7"/>
      <c r="CYE145" s="7"/>
      <c r="CYF145" s="7"/>
      <c r="CYG145" s="7"/>
      <c r="CYH145" s="7"/>
      <c r="CYI145" s="7"/>
      <c r="CYJ145" s="7"/>
      <c r="CYK145" s="7"/>
      <c r="CYL145" s="7"/>
      <c r="CYM145" s="7"/>
      <c r="CYN145" s="7"/>
      <c r="CYO145" s="7"/>
      <c r="CYP145" s="7"/>
      <c r="CYQ145" s="7"/>
      <c r="CYR145" s="7"/>
      <c r="CYS145" s="7"/>
      <c r="CYT145" s="7"/>
      <c r="CYU145" s="7"/>
      <c r="CYV145" s="7"/>
      <c r="CYW145" s="7"/>
      <c r="CYX145" s="7"/>
      <c r="CYY145" s="7"/>
      <c r="CYZ145" s="7"/>
      <c r="CZA145" s="7"/>
      <c r="CZB145" s="7"/>
      <c r="CZC145" s="7"/>
      <c r="CZD145" s="7"/>
      <c r="CZE145" s="7"/>
      <c r="CZF145" s="7"/>
      <c r="CZG145" s="7"/>
      <c r="CZH145" s="7"/>
      <c r="CZI145" s="7"/>
      <c r="CZJ145" s="7"/>
      <c r="CZK145" s="7"/>
      <c r="CZL145" s="7"/>
      <c r="CZM145" s="7"/>
      <c r="CZN145" s="7"/>
      <c r="CZO145" s="7"/>
      <c r="CZP145" s="7"/>
      <c r="CZQ145" s="7"/>
      <c r="CZR145" s="7"/>
      <c r="CZS145" s="7"/>
      <c r="CZT145" s="7"/>
      <c r="CZU145" s="7"/>
      <c r="CZV145" s="7"/>
      <c r="CZW145" s="7"/>
      <c r="CZX145" s="7"/>
      <c r="CZY145" s="7"/>
      <c r="CZZ145" s="7"/>
      <c r="DAA145" s="7"/>
      <c r="DAB145" s="7"/>
      <c r="DAC145" s="7"/>
      <c r="DAD145" s="7"/>
      <c r="DAE145" s="7"/>
      <c r="DAF145" s="7"/>
      <c r="DAG145" s="7"/>
      <c r="DAH145" s="7"/>
      <c r="DAI145" s="7"/>
      <c r="DAJ145" s="7"/>
      <c r="DAK145" s="7"/>
      <c r="DAL145" s="7"/>
      <c r="DAM145" s="7"/>
      <c r="DAN145" s="7"/>
      <c r="DAO145" s="7"/>
      <c r="DAP145" s="7"/>
      <c r="DAQ145" s="7"/>
      <c r="DAR145" s="7"/>
      <c r="DAS145" s="7"/>
      <c r="DAT145" s="7"/>
      <c r="DAU145" s="7"/>
      <c r="DAV145" s="7"/>
      <c r="DAW145" s="7"/>
      <c r="DAX145" s="7"/>
      <c r="DAY145" s="7"/>
      <c r="DAZ145" s="7"/>
      <c r="DBA145" s="7"/>
      <c r="DBB145" s="7"/>
      <c r="DBC145" s="7"/>
      <c r="DBD145" s="7"/>
      <c r="DBE145" s="7"/>
      <c r="DBF145" s="7"/>
      <c r="DBG145" s="7"/>
      <c r="DBH145" s="7"/>
      <c r="DBI145" s="7"/>
      <c r="DBJ145" s="7"/>
      <c r="DBK145" s="7"/>
      <c r="DBL145" s="7"/>
      <c r="DBM145" s="7"/>
      <c r="DBN145" s="7"/>
      <c r="DBO145" s="7"/>
      <c r="DBP145" s="7"/>
      <c r="DBQ145" s="7"/>
      <c r="DBR145" s="7"/>
      <c r="DBS145" s="7"/>
      <c r="DBT145" s="7"/>
      <c r="DBU145" s="7"/>
      <c r="DBV145" s="7"/>
      <c r="DBW145" s="7"/>
      <c r="DBX145" s="7"/>
      <c r="DBY145" s="7"/>
      <c r="DBZ145" s="7"/>
      <c r="DCA145" s="7"/>
      <c r="DCB145" s="7"/>
      <c r="DCC145" s="7"/>
      <c r="DCD145" s="7"/>
      <c r="DCE145" s="7"/>
      <c r="DCF145" s="7"/>
      <c r="DCG145" s="7"/>
      <c r="DCH145" s="7"/>
      <c r="DCI145" s="7"/>
      <c r="DCJ145" s="7"/>
      <c r="DCK145" s="7"/>
      <c r="DCL145" s="7"/>
      <c r="DCM145" s="7"/>
      <c r="DCN145" s="7"/>
      <c r="DCO145" s="7"/>
      <c r="DCP145" s="7"/>
      <c r="DCQ145" s="7"/>
      <c r="DCR145" s="7"/>
      <c r="DCS145" s="7"/>
      <c r="DCT145" s="7"/>
      <c r="DCU145" s="7"/>
      <c r="DCV145" s="7"/>
      <c r="DCW145" s="7"/>
      <c r="DCX145" s="7"/>
      <c r="DCY145" s="7"/>
      <c r="DCZ145" s="7"/>
      <c r="DDA145" s="7"/>
      <c r="DDB145" s="7"/>
      <c r="DDC145" s="7"/>
      <c r="DDD145" s="7"/>
      <c r="DDE145" s="7"/>
      <c r="DDF145" s="7"/>
      <c r="DDG145" s="7"/>
      <c r="DDH145" s="7"/>
      <c r="DDI145" s="7"/>
      <c r="DDJ145" s="7"/>
      <c r="DDK145" s="7"/>
      <c r="DDL145" s="7"/>
      <c r="DDM145" s="7"/>
      <c r="DDN145" s="7"/>
      <c r="DDO145" s="7"/>
      <c r="DDP145" s="7"/>
      <c r="DDQ145" s="7"/>
      <c r="DDR145" s="7"/>
      <c r="DDS145" s="7"/>
      <c r="DDT145" s="7"/>
      <c r="DDU145" s="7"/>
      <c r="DDV145" s="7"/>
      <c r="DDW145" s="7"/>
      <c r="DDX145" s="7"/>
      <c r="DDY145" s="7"/>
      <c r="DDZ145" s="7"/>
      <c r="DEA145" s="7"/>
      <c r="DEB145" s="7"/>
      <c r="DEC145" s="7"/>
      <c r="DED145" s="7"/>
      <c r="DEE145" s="7"/>
      <c r="DEF145" s="7"/>
      <c r="DEG145" s="7"/>
      <c r="DEH145" s="7"/>
      <c r="DEI145" s="7"/>
      <c r="DEJ145" s="7"/>
      <c r="DEK145" s="7"/>
      <c r="DEL145" s="7"/>
      <c r="DEM145" s="7"/>
      <c r="DEN145" s="7"/>
      <c r="DEO145" s="7"/>
      <c r="DEP145" s="7"/>
      <c r="DEQ145" s="7"/>
      <c r="DER145" s="7"/>
      <c r="DES145" s="7"/>
      <c r="DET145" s="7"/>
      <c r="DEU145" s="7"/>
      <c r="DEV145" s="7"/>
      <c r="DEW145" s="7"/>
      <c r="DEX145" s="7"/>
      <c r="DEY145" s="7"/>
      <c r="DEZ145" s="7"/>
      <c r="DFA145" s="7"/>
      <c r="DFB145" s="7"/>
      <c r="DFC145" s="7"/>
      <c r="DFD145" s="7"/>
      <c r="DFE145" s="7"/>
      <c r="DFF145" s="7"/>
      <c r="DFG145" s="7"/>
      <c r="DFH145" s="7"/>
      <c r="DFI145" s="7"/>
      <c r="DFJ145" s="7"/>
      <c r="DFK145" s="7"/>
      <c r="DFL145" s="7"/>
      <c r="DFM145" s="7"/>
      <c r="DFN145" s="7"/>
      <c r="DFO145" s="7"/>
      <c r="DFP145" s="7"/>
      <c r="DFQ145" s="7"/>
      <c r="DFR145" s="7"/>
      <c r="DFS145" s="7"/>
      <c r="DFT145" s="7"/>
      <c r="DFU145" s="7"/>
      <c r="DFV145" s="7"/>
      <c r="DFW145" s="7"/>
      <c r="DFX145" s="7"/>
      <c r="DFY145" s="7"/>
      <c r="DFZ145" s="7"/>
      <c r="DGA145" s="7"/>
      <c r="DGB145" s="7"/>
      <c r="DGC145" s="7"/>
      <c r="DGD145" s="7"/>
      <c r="DGE145" s="7"/>
      <c r="DGF145" s="7"/>
      <c r="DGG145" s="7"/>
      <c r="DGH145" s="7"/>
      <c r="DGI145" s="7"/>
      <c r="DGJ145" s="7"/>
      <c r="DGK145" s="7"/>
      <c r="DGL145" s="7"/>
      <c r="DGM145" s="7"/>
      <c r="DGN145" s="7"/>
      <c r="DGO145" s="7"/>
      <c r="DGP145" s="7"/>
      <c r="DGQ145" s="7"/>
      <c r="DGR145" s="7"/>
      <c r="DGS145" s="7"/>
      <c r="DGT145" s="7"/>
      <c r="DGU145" s="7"/>
      <c r="DGV145" s="7"/>
      <c r="DGW145" s="7"/>
      <c r="DGX145" s="7"/>
      <c r="DGY145" s="7"/>
      <c r="DGZ145" s="7"/>
      <c r="DHA145" s="7"/>
      <c r="DHB145" s="7"/>
      <c r="DHC145" s="7"/>
      <c r="DHD145" s="7"/>
      <c r="DHE145" s="7"/>
      <c r="DHF145" s="7"/>
      <c r="DHG145" s="7"/>
      <c r="DHH145" s="7"/>
      <c r="DHI145" s="7"/>
      <c r="DHJ145" s="7"/>
      <c r="DHK145" s="7"/>
      <c r="DHL145" s="7"/>
      <c r="DHM145" s="7"/>
      <c r="DHN145" s="7"/>
      <c r="DHO145" s="7"/>
      <c r="DHP145" s="7"/>
      <c r="DHQ145" s="7"/>
      <c r="DHR145" s="7"/>
      <c r="DHS145" s="7"/>
      <c r="DHT145" s="7"/>
      <c r="DHU145" s="7"/>
      <c r="DHV145" s="7"/>
      <c r="DHW145" s="7"/>
      <c r="DHX145" s="7"/>
      <c r="DHY145" s="7"/>
      <c r="DHZ145" s="7"/>
      <c r="DIA145" s="7"/>
      <c r="DIB145" s="7"/>
      <c r="DIC145" s="7"/>
      <c r="DID145" s="7"/>
      <c r="DIE145" s="7"/>
      <c r="DIF145" s="7"/>
      <c r="DIG145" s="7"/>
      <c r="DIH145" s="7"/>
      <c r="DII145" s="7"/>
      <c r="DIJ145" s="7"/>
      <c r="DIK145" s="7"/>
      <c r="DIL145" s="7"/>
      <c r="DIM145" s="7"/>
      <c r="DIN145" s="7"/>
      <c r="DIO145" s="7"/>
      <c r="DIP145" s="7"/>
      <c r="DIQ145" s="7"/>
      <c r="DIR145" s="7"/>
      <c r="DIS145" s="7"/>
      <c r="DIT145" s="7"/>
      <c r="DIU145" s="7"/>
      <c r="DIV145" s="7"/>
      <c r="DIW145" s="7"/>
      <c r="DIX145" s="7"/>
      <c r="DIY145" s="7"/>
      <c r="DIZ145" s="7"/>
      <c r="DJA145" s="7"/>
      <c r="DJB145" s="7"/>
      <c r="DJC145" s="7"/>
      <c r="DJD145" s="7"/>
      <c r="DJE145" s="7"/>
      <c r="DJF145" s="7"/>
      <c r="DJG145" s="7"/>
      <c r="DJH145" s="7"/>
      <c r="DJI145" s="7"/>
      <c r="DJJ145" s="7"/>
      <c r="DJK145" s="7"/>
      <c r="DJL145" s="7"/>
      <c r="DJM145" s="7"/>
      <c r="DJN145" s="7"/>
      <c r="DJO145" s="7"/>
      <c r="DJP145" s="7"/>
      <c r="DJQ145" s="7"/>
      <c r="DJR145" s="7"/>
      <c r="DJS145" s="7"/>
      <c r="DJT145" s="7"/>
      <c r="DJU145" s="7"/>
      <c r="DJV145" s="7"/>
      <c r="DJW145" s="7"/>
      <c r="DJX145" s="7"/>
      <c r="DJY145" s="7"/>
      <c r="DJZ145" s="7"/>
      <c r="DKA145" s="7"/>
      <c r="DKB145" s="7"/>
      <c r="DKC145" s="7"/>
      <c r="DKD145" s="7"/>
      <c r="DKE145" s="7"/>
      <c r="DKF145" s="7"/>
      <c r="DKG145" s="7"/>
      <c r="DKH145" s="7"/>
      <c r="DKI145" s="7"/>
      <c r="DKJ145" s="7"/>
      <c r="DKK145" s="7"/>
      <c r="DKL145" s="7"/>
      <c r="DKM145" s="7"/>
      <c r="DKN145" s="7"/>
      <c r="DKO145" s="7"/>
      <c r="DKP145" s="7"/>
      <c r="DKQ145" s="7"/>
      <c r="DKR145" s="7"/>
      <c r="DKS145" s="7"/>
      <c r="DKT145" s="7"/>
      <c r="DKU145" s="7"/>
      <c r="DKV145" s="7"/>
      <c r="DKW145" s="7"/>
      <c r="DKX145" s="7"/>
      <c r="DKY145" s="7"/>
      <c r="DKZ145" s="7"/>
      <c r="DLA145" s="7"/>
      <c r="DLB145" s="7"/>
      <c r="DLC145" s="7"/>
      <c r="DLD145" s="7"/>
      <c r="DLE145" s="7"/>
      <c r="DLF145" s="7"/>
      <c r="DLG145" s="7"/>
      <c r="DLH145" s="7"/>
      <c r="DLI145" s="7"/>
      <c r="DLJ145" s="7"/>
      <c r="DLK145" s="7"/>
      <c r="DLL145" s="7"/>
      <c r="DLM145" s="7"/>
      <c r="DLN145" s="7"/>
      <c r="DLO145" s="7"/>
      <c r="DLP145" s="7"/>
      <c r="DLQ145" s="7"/>
      <c r="DLR145" s="7"/>
      <c r="DLS145" s="7"/>
      <c r="DLT145" s="7"/>
      <c r="DLU145" s="7"/>
      <c r="DLV145" s="7"/>
      <c r="DLW145" s="7"/>
      <c r="DLX145" s="7"/>
      <c r="DLY145" s="7"/>
      <c r="DLZ145" s="7"/>
      <c r="DMA145" s="7"/>
      <c r="DMB145" s="7"/>
      <c r="DMC145" s="7"/>
      <c r="DMD145" s="7"/>
      <c r="DME145" s="7"/>
      <c r="DMF145" s="7"/>
      <c r="DMG145" s="7"/>
      <c r="DMH145" s="7"/>
      <c r="DMI145" s="7"/>
      <c r="DMJ145" s="7"/>
      <c r="DMK145" s="7"/>
      <c r="DML145" s="7"/>
      <c r="DMM145" s="7"/>
      <c r="DMN145" s="7"/>
      <c r="DMO145" s="7"/>
      <c r="DMP145" s="7"/>
      <c r="DMQ145" s="7"/>
      <c r="DMR145" s="7"/>
      <c r="DMS145" s="7"/>
      <c r="DMT145" s="7"/>
      <c r="DMU145" s="7"/>
      <c r="DMV145" s="7"/>
      <c r="DMW145" s="7"/>
      <c r="DMX145" s="7"/>
      <c r="DMY145" s="7"/>
      <c r="DMZ145" s="7"/>
      <c r="DNA145" s="7"/>
      <c r="DNB145" s="7"/>
      <c r="DNC145" s="7"/>
      <c r="DND145" s="7"/>
      <c r="DNE145" s="7"/>
      <c r="DNF145" s="7"/>
      <c r="DNG145" s="7"/>
      <c r="DNH145" s="7"/>
      <c r="DNI145" s="7"/>
      <c r="DNJ145" s="7"/>
      <c r="DNK145" s="7"/>
      <c r="DNL145" s="7"/>
      <c r="DNM145" s="7"/>
      <c r="DNN145" s="7"/>
      <c r="DNO145" s="7"/>
      <c r="DNP145" s="7"/>
      <c r="DNQ145" s="7"/>
      <c r="DNR145" s="7"/>
      <c r="DNS145" s="7"/>
      <c r="DNT145" s="7"/>
      <c r="DNU145" s="7"/>
      <c r="DNV145" s="7"/>
      <c r="DNW145" s="7"/>
      <c r="DNX145" s="7"/>
      <c r="DNY145" s="7"/>
      <c r="DNZ145" s="7"/>
      <c r="DOA145" s="7"/>
      <c r="DOB145" s="7"/>
      <c r="DOC145" s="7"/>
      <c r="DOD145" s="7"/>
      <c r="DOE145" s="7"/>
      <c r="DOF145" s="7"/>
      <c r="DOG145" s="7"/>
      <c r="DOH145" s="7"/>
      <c r="DOI145" s="7"/>
      <c r="DOJ145" s="7"/>
      <c r="DOK145" s="7"/>
      <c r="DOL145" s="7"/>
      <c r="DOM145" s="7"/>
      <c r="DON145" s="7"/>
      <c r="DOO145" s="7"/>
      <c r="DOP145" s="7"/>
      <c r="DOQ145" s="7"/>
      <c r="DOR145" s="7"/>
      <c r="DOS145" s="7"/>
      <c r="DOT145" s="7"/>
      <c r="DOU145" s="7"/>
      <c r="DOV145" s="7"/>
      <c r="DOW145" s="7"/>
      <c r="DOX145" s="7"/>
      <c r="DOY145" s="7"/>
      <c r="DOZ145" s="7"/>
      <c r="DPA145" s="7"/>
      <c r="DPB145" s="7"/>
      <c r="DPC145" s="7"/>
      <c r="DPD145" s="7"/>
      <c r="DPE145" s="7"/>
      <c r="DPF145" s="7"/>
      <c r="DPG145" s="7"/>
      <c r="DPH145" s="7"/>
      <c r="DPI145" s="7"/>
      <c r="DPJ145" s="7"/>
      <c r="DPK145" s="7"/>
      <c r="DPL145" s="7"/>
      <c r="DPM145" s="7"/>
      <c r="DPN145" s="7"/>
      <c r="DPO145" s="7"/>
      <c r="DPP145" s="7"/>
      <c r="DPQ145" s="7"/>
      <c r="DPR145" s="7"/>
      <c r="DPS145" s="7"/>
      <c r="DPT145" s="7"/>
      <c r="DPU145" s="7"/>
      <c r="DPV145" s="7"/>
      <c r="DPW145" s="7"/>
      <c r="DPX145" s="7"/>
      <c r="DPY145" s="7"/>
      <c r="DPZ145" s="7"/>
      <c r="DQA145" s="7"/>
      <c r="DQB145" s="7"/>
      <c r="DQC145" s="7"/>
      <c r="DQD145" s="7"/>
      <c r="DQE145" s="7"/>
      <c r="DQF145" s="7"/>
      <c r="DQG145" s="7"/>
      <c r="DQH145" s="7"/>
      <c r="DQI145" s="7"/>
      <c r="DQJ145" s="7"/>
      <c r="DQK145" s="7"/>
      <c r="DQL145" s="7"/>
      <c r="DQM145" s="7"/>
      <c r="DQN145" s="7"/>
      <c r="DQO145" s="7"/>
      <c r="DQP145" s="7"/>
      <c r="DQQ145" s="7"/>
      <c r="DQR145" s="7"/>
      <c r="DQS145" s="7"/>
      <c r="DQT145" s="7"/>
      <c r="DQU145" s="7"/>
      <c r="DQV145" s="7"/>
      <c r="DQW145" s="7"/>
      <c r="DQX145" s="7"/>
      <c r="DQY145" s="7"/>
      <c r="DQZ145" s="7"/>
      <c r="DRA145" s="7"/>
      <c r="DRB145" s="7"/>
      <c r="DRC145" s="7"/>
      <c r="DRD145" s="7"/>
      <c r="DRE145" s="7"/>
      <c r="DRF145" s="7"/>
      <c r="DRG145" s="7"/>
      <c r="DRH145" s="7"/>
      <c r="DRI145" s="7"/>
      <c r="DRJ145" s="7"/>
      <c r="DRK145" s="7"/>
      <c r="DRL145" s="7"/>
      <c r="DRM145" s="7"/>
      <c r="DRN145" s="7"/>
      <c r="DRO145" s="7"/>
      <c r="DRP145" s="7"/>
      <c r="DRQ145" s="7"/>
      <c r="DRR145" s="7"/>
      <c r="DRS145" s="7"/>
      <c r="DRT145" s="7"/>
      <c r="DRU145" s="7"/>
      <c r="DRV145" s="7"/>
      <c r="DRW145" s="7"/>
      <c r="DRX145" s="7"/>
      <c r="DRY145" s="7"/>
      <c r="DRZ145" s="7"/>
      <c r="DSA145" s="7"/>
      <c r="DSB145" s="7"/>
      <c r="DSC145" s="7"/>
      <c r="DSD145" s="7"/>
      <c r="DSE145" s="7"/>
      <c r="DSF145" s="7"/>
      <c r="DSG145" s="7"/>
      <c r="DSH145" s="7"/>
      <c r="DSI145" s="7"/>
      <c r="DSJ145" s="7"/>
      <c r="DSK145" s="7"/>
      <c r="DSL145" s="7"/>
      <c r="DSM145" s="7"/>
      <c r="DSN145" s="7"/>
      <c r="DSO145" s="7"/>
      <c r="DSP145" s="7"/>
      <c r="DSQ145" s="7"/>
      <c r="DSR145" s="7"/>
      <c r="DSS145" s="7"/>
      <c r="DST145" s="7"/>
      <c r="DSU145" s="7"/>
      <c r="DSV145" s="7"/>
      <c r="DSW145" s="7"/>
      <c r="DSX145" s="7"/>
      <c r="DSY145" s="7"/>
      <c r="DSZ145" s="7"/>
      <c r="DTA145" s="7"/>
      <c r="DTB145" s="7"/>
      <c r="DTC145" s="7"/>
      <c r="DTD145" s="7"/>
      <c r="DTE145" s="7"/>
      <c r="DTF145" s="7"/>
      <c r="DTG145" s="7"/>
      <c r="DTH145" s="7"/>
      <c r="DTI145" s="7"/>
      <c r="DTJ145" s="7"/>
      <c r="DTK145" s="7"/>
      <c r="DTL145" s="7"/>
      <c r="DTM145" s="7"/>
      <c r="DTN145" s="7"/>
      <c r="DTO145" s="7"/>
      <c r="DTP145" s="7"/>
      <c r="DTQ145" s="7"/>
      <c r="DTR145" s="7"/>
      <c r="DTS145" s="7"/>
      <c r="DTT145" s="7"/>
      <c r="DTU145" s="7"/>
      <c r="DTV145" s="7"/>
      <c r="DTW145" s="7"/>
      <c r="DTX145" s="7"/>
      <c r="DTY145" s="7"/>
      <c r="DTZ145" s="7"/>
      <c r="DUA145" s="7"/>
      <c r="DUB145" s="7"/>
      <c r="DUC145" s="7"/>
      <c r="DUD145" s="7"/>
      <c r="DUE145" s="7"/>
      <c r="DUF145" s="7"/>
      <c r="DUG145" s="7"/>
      <c r="DUH145" s="7"/>
      <c r="DUI145" s="7"/>
      <c r="DUJ145" s="7"/>
      <c r="DUK145" s="7"/>
      <c r="DUL145" s="7"/>
      <c r="DUM145" s="7"/>
      <c r="DUN145" s="7"/>
      <c r="DUO145" s="7"/>
      <c r="DUP145" s="7"/>
      <c r="DUQ145" s="7"/>
      <c r="DUR145" s="7"/>
      <c r="DUS145" s="7"/>
      <c r="DUT145" s="7"/>
      <c r="DUU145" s="7"/>
      <c r="DUV145" s="7"/>
      <c r="DUW145" s="7"/>
      <c r="DUX145" s="7"/>
      <c r="DUY145" s="7"/>
      <c r="DUZ145" s="7"/>
      <c r="DVA145" s="7"/>
      <c r="DVB145" s="7"/>
      <c r="DVC145" s="7"/>
      <c r="DVD145" s="7"/>
      <c r="DVE145" s="7"/>
      <c r="DVF145" s="7"/>
      <c r="DVG145" s="7"/>
      <c r="DVH145" s="7"/>
      <c r="DVI145" s="7"/>
      <c r="DVJ145" s="7"/>
      <c r="DVK145" s="7"/>
      <c r="DVL145" s="7"/>
      <c r="DVM145" s="7"/>
      <c r="DVN145" s="7"/>
      <c r="DVO145" s="7"/>
      <c r="DVP145" s="7"/>
      <c r="DVQ145" s="7"/>
      <c r="DVR145" s="7"/>
      <c r="DVS145" s="7"/>
      <c r="DVT145" s="7"/>
      <c r="DVU145" s="7"/>
      <c r="DVV145" s="7"/>
      <c r="DVW145" s="7"/>
      <c r="DVX145" s="7"/>
      <c r="DVY145" s="7"/>
      <c r="DVZ145" s="7"/>
      <c r="DWA145" s="7"/>
      <c r="DWB145" s="7"/>
      <c r="DWC145" s="7"/>
      <c r="DWD145" s="7"/>
      <c r="DWE145" s="7"/>
      <c r="DWF145" s="7"/>
      <c r="DWG145" s="7"/>
      <c r="DWH145" s="7"/>
      <c r="DWI145" s="7"/>
      <c r="DWJ145" s="7"/>
      <c r="DWK145" s="7"/>
      <c r="DWL145" s="7"/>
      <c r="DWM145" s="7"/>
      <c r="DWN145" s="7"/>
      <c r="DWO145" s="7"/>
      <c r="DWP145" s="7"/>
      <c r="DWQ145" s="7"/>
      <c r="DWR145" s="7"/>
      <c r="DWS145" s="7"/>
      <c r="DWT145" s="7"/>
      <c r="DWU145" s="7"/>
      <c r="DWV145" s="7"/>
      <c r="DWW145" s="7"/>
      <c r="DWX145" s="7"/>
      <c r="DWY145" s="7"/>
      <c r="DWZ145" s="7"/>
      <c r="DXA145" s="7"/>
      <c r="DXB145" s="7"/>
      <c r="DXC145" s="7"/>
      <c r="DXD145" s="7"/>
      <c r="DXE145" s="7"/>
      <c r="DXF145" s="7"/>
      <c r="DXG145" s="7"/>
      <c r="DXH145" s="7"/>
      <c r="DXI145" s="7"/>
      <c r="DXJ145" s="7"/>
      <c r="DXK145" s="7"/>
      <c r="DXL145" s="7"/>
      <c r="DXM145" s="7"/>
      <c r="DXN145" s="7"/>
      <c r="DXO145" s="7"/>
      <c r="DXP145" s="7"/>
      <c r="DXQ145" s="7"/>
      <c r="DXR145" s="7"/>
      <c r="DXS145" s="7"/>
      <c r="DXT145" s="7"/>
      <c r="DXU145" s="7"/>
      <c r="DXV145" s="7"/>
      <c r="DXW145" s="7"/>
      <c r="DXX145" s="7"/>
      <c r="DXY145" s="7"/>
      <c r="DXZ145" s="7"/>
      <c r="DYA145" s="7"/>
      <c r="DYB145" s="7"/>
      <c r="DYC145" s="7"/>
      <c r="DYD145" s="7"/>
      <c r="DYE145" s="7"/>
      <c r="DYF145" s="7"/>
      <c r="DYG145" s="7"/>
      <c r="DYH145" s="7"/>
      <c r="DYI145" s="7"/>
      <c r="DYJ145" s="7"/>
      <c r="DYK145" s="7"/>
      <c r="DYL145" s="7"/>
      <c r="DYM145" s="7"/>
      <c r="DYN145" s="7"/>
      <c r="DYO145" s="7"/>
      <c r="DYP145" s="7"/>
      <c r="DYQ145" s="7"/>
      <c r="DYR145" s="7"/>
      <c r="DYS145" s="7"/>
      <c r="DYT145" s="7"/>
      <c r="DYU145" s="7"/>
      <c r="DYV145" s="7"/>
      <c r="DYW145" s="7"/>
      <c r="DYX145" s="7"/>
      <c r="DYY145" s="7"/>
      <c r="DYZ145" s="7"/>
      <c r="DZA145" s="7"/>
      <c r="DZB145" s="7"/>
      <c r="DZC145" s="7"/>
      <c r="DZD145" s="7"/>
      <c r="DZE145" s="7"/>
      <c r="DZF145" s="7"/>
      <c r="DZG145" s="7"/>
      <c r="DZH145" s="7"/>
      <c r="DZI145" s="7"/>
      <c r="DZJ145" s="7"/>
      <c r="DZK145" s="7"/>
      <c r="DZL145" s="7"/>
      <c r="DZM145" s="7"/>
      <c r="DZN145" s="7"/>
      <c r="DZO145" s="7"/>
      <c r="DZP145" s="7"/>
      <c r="DZQ145" s="7"/>
      <c r="DZR145" s="7"/>
      <c r="DZS145" s="7"/>
      <c r="DZT145" s="7"/>
      <c r="DZU145" s="7"/>
      <c r="DZV145" s="7"/>
      <c r="DZW145" s="7"/>
      <c r="DZX145" s="7"/>
      <c r="DZY145" s="7"/>
      <c r="DZZ145" s="7"/>
      <c r="EAA145" s="7"/>
      <c r="EAB145" s="7"/>
      <c r="EAC145" s="7"/>
      <c r="EAD145" s="7"/>
      <c r="EAE145" s="7"/>
      <c r="EAF145" s="7"/>
      <c r="EAG145" s="7"/>
      <c r="EAH145" s="7"/>
      <c r="EAI145" s="7"/>
      <c r="EAJ145" s="7"/>
      <c r="EAK145" s="7"/>
      <c r="EAL145" s="7"/>
      <c r="EAM145" s="7"/>
      <c r="EAN145" s="7"/>
      <c r="EAO145" s="7"/>
      <c r="EAP145" s="7"/>
      <c r="EAQ145" s="7"/>
      <c r="EAR145" s="7"/>
      <c r="EAS145" s="7"/>
      <c r="EAT145" s="7"/>
      <c r="EAU145" s="7"/>
      <c r="EAV145" s="7"/>
      <c r="EAW145" s="7"/>
      <c r="EAX145" s="7"/>
      <c r="EAY145" s="7"/>
      <c r="EAZ145" s="7"/>
      <c r="EBA145" s="7"/>
      <c r="EBB145" s="7"/>
      <c r="EBC145" s="7"/>
      <c r="EBD145" s="7"/>
      <c r="EBE145" s="7"/>
      <c r="EBF145" s="7"/>
      <c r="EBG145" s="7"/>
      <c r="EBH145" s="7"/>
      <c r="EBI145" s="7"/>
      <c r="EBJ145" s="7"/>
      <c r="EBK145" s="7"/>
      <c r="EBL145" s="7"/>
      <c r="EBM145" s="7"/>
      <c r="EBN145" s="7"/>
      <c r="EBO145" s="7"/>
      <c r="EBP145" s="7"/>
      <c r="EBQ145" s="7"/>
      <c r="EBR145" s="7"/>
      <c r="EBS145" s="7"/>
      <c r="EBT145" s="7"/>
      <c r="EBU145" s="7"/>
      <c r="EBV145" s="7"/>
      <c r="EBW145" s="7"/>
      <c r="EBX145" s="7"/>
      <c r="EBY145" s="7"/>
      <c r="EBZ145" s="7"/>
      <c r="ECA145" s="7"/>
      <c r="ECB145" s="7"/>
      <c r="ECC145" s="7"/>
      <c r="ECD145" s="7"/>
      <c r="ECE145" s="7"/>
      <c r="ECF145" s="7"/>
      <c r="ECG145" s="7"/>
      <c r="ECH145" s="7"/>
      <c r="ECI145" s="7"/>
      <c r="ECJ145" s="7"/>
      <c r="ECK145" s="7"/>
      <c r="ECL145" s="7"/>
      <c r="ECM145" s="7"/>
      <c r="ECN145" s="7"/>
      <c r="ECO145" s="7"/>
      <c r="ECP145" s="7"/>
      <c r="ECQ145" s="7"/>
      <c r="ECR145" s="7"/>
      <c r="ECS145" s="7"/>
      <c r="ECT145" s="7"/>
      <c r="ECU145" s="7"/>
      <c r="ECV145" s="7"/>
      <c r="ECW145" s="7"/>
      <c r="ECX145" s="7"/>
      <c r="ECY145" s="7"/>
      <c r="ECZ145" s="7"/>
      <c r="EDA145" s="7"/>
      <c r="EDB145" s="7"/>
      <c r="EDC145" s="7"/>
      <c r="EDD145" s="7"/>
      <c r="EDE145" s="7"/>
      <c r="EDF145" s="7"/>
      <c r="EDG145" s="7"/>
      <c r="EDH145" s="7"/>
      <c r="EDI145" s="7"/>
      <c r="EDJ145" s="7"/>
      <c r="EDK145" s="7"/>
      <c r="EDL145" s="7"/>
      <c r="EDM145" s="7"/>
      <c r="EDN145" s="7"/>
      <c r="EDO145" s="7"/>
      <c r="EDP145" s="7"/>
      <c r="EDQ145" s="7"/>
      <c r="EDR145" s="7"/>
      <c r="EDS145" s="7"/>
      <c r="EDT145" s="7"/>
      <c r="EDU145" s="7"/>
      <c r="EDV145" s="7"/>
      <c r="EDW145" s="7"/>
      <c r="EDX145" s="7"/>
      <c r="EDY145" s="7"/>
      <c r="EDZ145" s="7"/>
      <c r="EEA145" s="7"/>
      <c r="EEB145" s="7"/>
      <c r="EEC145" s="7"/>
      <c r="EED145" s="7"/>
      <c r="EEE145" s="7"/>
      <c r="EEF145" s="7"/>
      <c r="EEG145" s="7"/>
      <c r="EEH145" s="7"/>
      <c r="EEI145" s="7"/>
      <c r="EEJ145" s="7"/>
      <c r="EEK145" s="7"/>
      <c r="EEL145" s="7"/>
      <c r="EEM145" s="7"/>
      <c r="EEN145" s="7"/>
      <c r="EEO145" s="7"/>
      <c r="EEP145" s="7"/>
      <c r="EEQ145" s="7"/>
      <c r="EER145" s="7"/>
      <c r="EES145" s="7"/>
      <c r="EET145" s="7"/>
      <c r="EEU145" s="7"/>
      <c r="EEV145" s="7"/>
      <c r="EEW145" s="7"/>
      <c r="EEX145" s="7"/>
      <c r="EEY145" s="7"/>
      <c r="EEZ145" s="7"/>
      <c r="EFA145" s="7"/>
      <c r="EFB145" s="7"/>
      <c r="EFC145" s="7"/>
      <c r="EFD145" s="7"/>
      <c r="EFE145" s="7"/>
      <c r="EFF145" s="7"/>
      <c r="EFG145" s="7"/>
      <c r="EFH145" s="7"/>
      <c r="EFI145" s="7"/>
      <c r="EFJ145" s="7"/>
      <c r="EFK145" s="7"/>
      <c r="EFL145" s="7"/>
      <c r="EFM145" s="7"/>
      <c r="EFN145" s="7"/>
      <c r="EFO145" s="7"/>
      <c r="EFP145" s="7"/>
      <c r="EFQ145" s="7"/>
      <c r="EFR145" s="7"/>
      <c r="EFS145" s="7"/>
      <c r="EFT145" s="7"/>
      <c r="EFU145" s="7"/>
      <c r="EFV145" s="7"/>
      <c r="EFW145" s="7"/>
      <c r="EFX145" s="7"/>
      <c r="EFY145" s="7"/>
      <c r="EFZ145" s="7"/>
      <c r="EGA145" s="7"/>
      <c r="EGB145" s="7"/>
      <c r="EGC145" s="7"/>
      <c r="EGD145" s="7"/>
      <c r="EGE145" s="7"/>
      <c r="EGF145" s="7"/>
      <c r="EGG145" s="7"/>
      <c r="EGH145" s="7"/>
      <c r="EGI145" s="7"/>
      <c r="EGJ145" s="7"/>
      <c r="EGK145" s="7"/>
      <c r="EGL145" s="7"/>
      <c r="EGM145" s="7"/>
      <c r="EGN145" s="7"/>
      <c r="EGO145" s="7"/>
      <c r="EGP145" s="7"/>
      <c r="EGQ145" s="7"/>
      <c r="EGR145" s="7"/>
      <c r="EGS145" s="7"/>
      <c r="EGT145" s="7"/>
      <c r="EGU145" s="7"/>
      <c r="EGV145" s="7"/>
      <c r="EGW145" s="7"/>
      <c r="EGX145" s="7"/>
      <c r="EGY145" s="7"/>
      <c r="EGZ145" s="7"/>
      <c r="EHA145" s="7"/>
      <c r="EHB145" s="7"/>
      <c r="EHC145" s="7"/>
      <c r="EHD145" s="7"/>
      <c r="EHE145" s="7"/>
      <c r="EHF145" s="7"/>
      <c r="EHG145" s="7"/>
      <c r="EHH145" s="7"/>
      <c r="EHI145" s="7"/>
      <c r="EHJ145" s="7"/>
      <c r="EHK145" s="7"/>
      <c r="EHL145" s="7"/>
      <c r="EHM145" s="7"/>
      <c r="EHN145" s="7"/>
      <c r="EHO145" s="7"/>
      <c r="EHP145" s="7"/>
      <c r="EHQ145" s="7"/>
      <c r="EHR145" s="7"/>
      <c r="EHS145" s="7"/>
      <c r="EHT145" s="7"/>
      <c r="EHU145" s="7"/>
      <c r="EHV145" s="7"/>
      <c r="EHW145" s="7"/>
      <c r="EHX145" s="7"/>
      <c r="EHY145" s="7"/>
      <c r="EHZ145" s="7"/>
      <c r="EIA145" s="7"/>
      <c r="EIB145" s="7"/>
      <c r="EIC145" s="7"/>
      <c r="EID145" s="7"/>
      <c r="EIE145" s="7"/>
      <c r="EIF145" s="7"/>
      <c r="EIG145" s="7"/>
      <c r="EIH145" s="7"/>
      <c r="EII145" s="7"/>
      <c r="EIJ145" s="7"/>
      <c r="EIK145" s="7"/>
      <c r="EIL145" s="7"/>
      <c r="EIM145" s="7"/>
      <c r="EIN145" s="7"/>
      <c r="EIO145" s="7"/>
      <c r="EIP145" s="7"/>
      <c r="EIQ145" s="7"/>
      <c r="EIR145" s="7"/>
      <c r="EIS145" s="7"/>
      <c r="EIT145" s="7"/>
      <c r="EIU145" s="7"/>
      <c r="EIV145" s="7"/>
      <c r="EIW145" s="7"/>
      <c r="EIX145" s="7"/>
      <c r="EIY145" s="7"/>
      <c r="EIZ145" s="7"/>
      <c r="EJA145" s="7"/>
      <c r="EJB145" s="7"/>
      <c r="EJC145" s="7"/>
      <c r="EJD145" s="7"/>
      <c r="EJE145" s="7"/>
      <c r="EJF145" s="7"/>
      <c r="EJG145" s="7"/>
      <c r="EJH145" s="7"/>
      <c r="EJI145" s="7"/>
      <c r="EJJ145" s="7"/>
      <c r="EJK145" s="7"/>
      <c r="EJL145" s="7"/>
      <c r="EJM145" s="7"/>
      <c r="EJN145" s="7"/>
      <c r="EJO145" s="7"/>
      <c r="EJP145" s="7"/>
      <c r="EJQ145" s="7"/>
      <c r="EJR145" s="7"/>
      <c r="EJS145" s="7"/>
      <c r="EJT145" s="7"/>
      <c r="EJU145" s="7"/>
      <c r="EJV145" s="7"/>
      <c r="EJW145" s="7"/>
      <c r="EJX145" s="7"/>
      <c r="EJY145" s="7"/>
      <c r="EJZ145" s="7"/>
      <c r="EKA145" s="7"/>
      <c r="EKB145" s="7"/>
      <c r="EKC145" s="7"/>
      <c r="EKD145" s="7"/>
      <c r="EKE145" s="7"/>
      <c r="EKF145" s="7"/>
      <c r="EKG145" s="7"/>
      <c r="EKH145" s="7"/>
      <c r="EKI145" s="7"/>
      <c r="EKJ145" s="7"/>
      <c r="EKK145" s="7"/>
      <c r="EKL145" s="7"/>
      <c r="EKM145" s="7"/>
      <c r="EKN145" s="7"/>
      <c r="EKO145" s="7"/>
      <c r="EKP145" s="7"/>
      <c r="EKQ145" s="7"/>
      <c r="EKR145" s="7"/>
      <c r="EKS145" s="7"/>
      <c r="EKT145" s="7"/>
      <c r="EKU145" s="7"/>
      <c r="EKV145" s="7"/>
      <c r="EKW145" s="7"/>
      <c r="EKX145" s="7"/>
      <c r="EKY145" s="7"/>
      <c r="EKZ145" s="7"/>
      <c r="ELA145" s="7"/>
      <c r="ELB145" s="7"/>
      <c r="ELC145" s="7"/>
      <c r="ELD145" s="7"/>
      <c r="ELE145" s="7"/>
      <c r="ELF145" s="7"/>
      <c r="ELG145" s="7"/>
      <c r="ELH145" s="7"/>
      <c r="ELI145" s="7"/>
      <c r="ELJ145" s="7"/>
      <c r="ELK145" s="7"/>
      <c r="ELL145" s="7"/>
      <c r="ELM145" s="7"/>
      <c r="ELN145" s="7"/>
      <c r="ELO145" s="7"/>
      <c r="ELP145" s="7"/>
      <c r="ELQ145" s="7"/>
      <c r="ELR145" s="7"/>
      <c r="ELS145" s="7"/>
      <c r="ELT145" s="7"/>
      <c r="ELU145" s="7"/>
      <c r="ELV145" s="7"/>
      <c r="ELW145" s="7"/>
      <c r="ELX145" s="7"/>
      <c r="ELY145" s="7"/>
      <c r="ELZ145" s="7"/>
      <c r="EMA145" s="7"/>
      <c r="EMB145" s="7"/>
      <c r="EMC145" s="7"/>
      <c r="EMD145" s="7"/>
      <c r="EME145" s="7"/>
      <c r="EMF145" s="7"/>
      <c r="EMG145" s="7"/>
      <c r="EMH145" s="7"/>
      <c r="EMI145" s="7"/>
      <c r="EMJ145" s="7"/>
      <c r="EMK145" s="7"/>
      <c r="EML145" s="7"/>
      <c r="EMM145" s="7"/>
      <c r="EMN145" s="7"/>
      <c r="EMO145" s="7"/>
      <c r="EMP145" s="7"/>
      <c r="EMQ145" s="7"/>
      <c r="EMR145" s="7"/>
      <c r="EMS145" s="7"/>
      <c r="EMT145" s="7"/>
      <c r="EMU145" s="7"/>
      <c r="EMV145" s="7"/>
      <c r="EMW145" s="7"/>
      <c r="EMX145" s="7"/>
      <c r="EMY145" s="7"/>
      <c r="EMZ145" s="7"/>
      <c r="ENA145" s="7"/>
      <c r="ENB145" s="7"/>
      <c r="ENC145" s="7"/>
      <c r="END145" s="7"/>
      <c r="ENE145" s="7"/>
      <c r="ENF145" s="7"/>
      <c r="ENG145" s="7"/>
      <c r="ENH145" s="7"/>
      <c r="ENI145" s="7"/>
      <c r="ENJ145" s="7"/>
      <c r="ENK145" s="7"/>
      <c r="ENL145" s="7"/>
      <c r="ENM145" s="7"/>
      <c r="ENN145" s="7"/>
      <c r="ENO145" s="7"/>
      <c r="ENP145" s="7"/>
      <c r="ENQ145" s="7"/>
      <c r="ENR145" s="7"/>
      <c r="ENS145" s="7"/>
      <c r="ENT145" s="7"/>
      <c r="ENU145" s="7"/>
      <c r="ENV145" s="7"/>
      <c r="ENW145" s="7"/>
      <c r="ENX145" s="7"/>
      <c r="ENY145" s="7"/>
      <c r="ENZ145" s="7"/>
      <c r="EOA145" s="7"/>
      <c r="EOB145" s="7"/>
      <c r="EOC145" s="7"/>
      <c r="EOD145" s="7"/>
      <c r="EOE145" s="7"/>
      <c r="EOF145" s="7"/>
      <c r="EOG145" s="7"/>
      <c r="EOH145" s="7"/>
      <c r="EOI145" s="7"/>
      <c r="EOJ145" s="7"/>
      <c r="EOK145" s="7"/>
      <c r="EOL145" s="7"/>
      <c r="EOM145" s="7"/>
      <c r="EON145" s="7"/>
      <c r="EOO145" s="7"/>
      <c r="EOP145" s="7"/>
      <c r="EOQ145" s="7"/>
      <c r="EOR145" s="7"/>
      <c r="EOS145" s="7"/>
      <c r="EOT145" s="7"/>
      <c r="EOU145" s="7"/>
      <c r="EOV145" s="7"/>
      <c r="EOW145" s="7"/>
      <c r="EOX145" s="7"/>
      <c r="EOY145" s="7"/>
      <c r="EOZ145" s="7"/>
      <c r="EPA145" s="7"/>
      <c r="EPB145" s="7"/>
      <c r="EPC145" s="7"/>
      <c r="EPD145" s="7"/>
      <c r="EPE145" s="7"/>
      <c r="EPF145" s="7"/>
      <c r="EPG145" s="7"/>
      <c r="EPH145" s="7"/>
      <c r="EPI145" s="7"/>
      <c r="EPJ145" s="7"/>
      <c r="EPK145" s="7"/>
      <c r="EPL145" s="7"/>
      <c r="EPM145" s="7"/>
      <c r="EPN145" s="7"/>
      <c r="EPO145" s="7"/>
      <c r="EPP145" s="7"/>
      <c r="EPQ145" s="7"/>
      <c r="EPR145" s="7"/>
      <c r="EPS145" s="7"/>
      <c r="EPT145" s="7"/>
      <c r="EPU145" s="7"/>
      <c r="EPV145" s="7"/>
      <c r="EPW145" s="7"/>
      <c r="EPX145" s="7"/>
      <c r="EPY145" s="7"/>
      <c r="EPZ145" s="7"/>
      <c r="EQA145" s="7"/>
      <c r="EQB145" s="7"/>
      <c r="EQC145" s="7"/>
      <c r="EQD145" s="7"/>
      <c r="EQE145" s="7"/>
      <c r="EQF145" s="7"/>
      <c r="EQG145" s="7"/>
      <c r="EQH145" s="7"/>
      <c r="EQI145" s="7"/>
      <c r="EQJ145" s="7"/>
      <c r="EQK145" s="7"/>
      <c r="EQL145" s="7"/>
      <c r="EQM145" s="7"/>
      <c r="EQN145" s="7"/>
      <c r="EQO145" s="7"/>
      <c r="EQP145" s="7"/>
      <c r="EQQ145" s="7"/>
      <c r="EQR145" s="7"/>
      <c r="EQS145" s="7"/>
      <c r="EQT145" s="7"/>
      <c r="EQU145" s="7"/>
      <c r="EQV145" s="7"/>
      <c r="EQW145" s="7"/>
      <c r="EQX145" s="7"/>
      <c r="EQY145" s="7"/>
      <c r="EQZ145" s="7"/>
      <c r="ERA145" s="7"/>
      <c r="ERB145" s="7"/>
      <c r="ERC145" s="7"/>
      <c r="ERD145" s="7"/>
      <c r="ERE145" s="7"/>
      <c r="ERF145" s="7"/>
      <c r="ERG145" s="7"/>
      <c r="ERH145" s="7"/>
      <c r="ERI145" s="7"/>
      <c r="ERJ145" s="7"/>
      <c r="ERK145" s="7"/>
      <c r="ERL145" s="7"/>
      <c r="ERM145" s="7"/>
      <c r="ERN145" s="7"/>
      <c r="ERO145" s="7"/>
      <c r="ERP145" s="7"/>
      <c r="ERQ145" s="7"/>
      <c r="ERR145" s="7"/>
      <c r="ERS145" s="7"/>
      <c r="ERT145" s="7"/>
      <c r="ERU145" s="7"/>
      <c r="ERV145" s="7"/>
      <c r="ERW145" s="7"/>
      <c r="ERX145" s="7"/>
      <c r="ERY145" s="7"/>
      <c r="ERZ145" s="7"/>
      <c r="ESA145" s="7"/>
      <c r="ESB145" s="7"/>
      <c r="ESC145" s="7"/>
      <c r="ESD145" s="7"/>
      <c r="ESE145" s="7"/>
      <c r="ESF145" s="7"/>
      <c r="ESG145" s="7"/>
      <c r="ESH145" s="7"/>
      <c r="ESI145" s="7"/>
      <c r="ESJ145" s="7"/>
      <c r="ESK145" s="7"/>
      <c r="ESL145" s="7"/>
      <c r="ESM145" s="7"/>
      <c r="ESN145" s="7"/>
      <c r="ESO145" s="7"/>
      <c r="ESP145" s="7"/>
      <c r="ESQ145" s="7"/>
      <c r="ESR145" s="7"/>
      <c r="ESS145" s="7"/>
      <c r="EST145" s="7"/>
      <c r="ESU145" s="7"/>
      <c r="ESV145" s="7"/>
      <c r="ESW145" s="7"/>
      <c r="ESX145" s="7"/>
      <c r="ESY145" s="7"/>
      <c r="ESZ145" s="7"/>
      <c r="ETA145" s="7"/>
      <c r="ETB145" s="7"/>
      <c r="ETC145" s="7"/>
      <c r="ETD145" s="7"/>
      <c r="ETE145" s="7"/>
      <c r="ETF145" s="7"/>
      <c r="ETG145" s="7"/>
      <c r="ETH145" s="7"/>
      <c r="ETI145" s="7"/>
      <c r="ETJ145" s="7"/>
      <c r="ETK145" s="7"/>
      <c r="ETL145" s="7"/>
      <c r="ETM145" s="7"/>
      <c r="ETN145" s="7"/>
      <c r="ETO145" s="7"/>
      <c r="ETP145" s="7"/>
      <c r="ETQ145" s="7"/>
      <c r="ETR145" s="7"/>
      <c r="ETS145" s="7"/>
      <c r="ETT145" s="7"/>
      <c r="ETU145" s="7"/>
      <c r="ETV145" s="7"/>
      <c r="ETW145" s="7"/>
      <c r="ETX145" s="7"/>
      <c r="ETY145" s="7"/>
      <c r="ETZ145" s="7"/>
      <c r="EUA145" s="7"/>
      <c r="EUB145" s="7"/>
      <c r="EUC145" s="7"/>
      <c r="EUD145" s="7"/>
      <c r="EUE145" s="7"/>
      <c r="EUF145" s="7"/>
      <c r="EUG145" s="7"/>
      <c r="EUH145" s="7"/>
      <c r="EUI145" s="7"/>
      <c r="EUJ145" s="7"/>
      <c r="EUK145" s="7"/>
      <c r="EUL145" s="7"/>
      <c r="EUM145" s="7"/>
      <c r="EUN145" s="7"/>
      <c r="EUO145" s="7"/>
      <c r="EUP145" s="7"/>
      <c r="EUQ145" s="7"/>
      <c r="EUR145" s="7"/>
      <c r="EUS145" s="7"/>
      <c r="EUT145" s="7"/>
      <c r="EUU145" s="7"/>
      <c r="EUV145" s="7"/>
      <c r="EUW145" s="7"/>
      <c r="EUX145" s="7"/>
      <c r="EUY145" s="7"/>
      <c r="EUZ145" s="7"/>
      <c r="EVA145" s="7"/>
      <c r="EVB145" s="7"/>
      <c r="EVC145" s="7"/>
      <c r="EVD145" s="7"/>
      <c r="EVE145" s="7"/>
      <c r="EVF145" s="7"/>
      <c r="EVG145" s="7"/>
      <c r="EVH145" s="7"/>
      <c r="EVI145" s="7"/>
      <c r="EVJ145" s="7"/>
      <c r="EVK145" s="7"/>
      <c r="EVL145" s="7"/>
      <c r="EVM145" s="7"/>
      <c r="EVN145" s="7"/>
      <c r="EVO145" s="7"/>
      <c r="EVP145" s="7"/>
      <c r="EVQ145" s="7"/>
      <c r="EVR145" s="7"/>
      <c r="EVS145" s="7"/>
      <c r="EVT145" s="7"/>
      <c r="EVU145" s="7"/>
      <c r="EVV145" s="7"/>
      <c r="EVW145" s="7"/>
      <c r="EVX145" s="7"/>
      <c r="EVY145" s="7"/>
      <c r="EVZ145" s="7"/>
      <c r="EWA145" s="7"/>
      <c r="EWB145" s="7"/>
      <c r="EWC145" s="7"/>
      <c r="EWD145" s="7"/>
      <c r="EWE145" s="7"/>
      <c r="EWF145" s="7"/>
      <c r="EWG145" s="7"/>
      <c r="EWH145" s="7"/>
      <c r="EWI145" s="7"/>
      <c r="EWJ145" s="7"/>
      <c r="EWK145" s="7"/>
      <c r="EWL145" s="7"/>
      <c r="EWM145" s="7"/>
      <c r="EWN145" s="7"/>
      <c r="EWO145" s="7"/>
      <c r="EWP145" s="7"/>
      <c r="EWQ145" s="7"/>
      <c r="EWR145" s="7"/>
      <c r="EWS145" s="7"/>
      <c r="EWT145" s="7"/>
      <c r="EWU145" s="7"/>
      <c r="EWV145" s="7"/>
      <c r="EWW145" s="7"/>
      <c r="EWX145" s="7"/>
      <c r="EWY145" s="7"/>
      <c r="EWZ145" s="7"/>
      <c r="EXA145" s="7"/>
      <c r="EXB145" s="7"/>
      <c r="EXC145" s="7"/>
      <c r="EXD145" s="7"/>
      <c r="EXE145" s="7"/>
      <c r="EXF145" s="7"/>
      <c r="EXG145" s="7"/>
      <c r="EXH145" s="7"/>
      <c r="EXI145" s="7"/>
      <c r="EXJ145" s="7"/>
      <c r="EXK145" s="7"/>
      <c r="EXL145" s="7"/>
      <c r="EXM145" s="7"/>
      <c r="EXN145" s="7"/>
      <c r="EXO145" s="7"/>
      <c r="EXP145" s="7"/>
      <c r="EXQ145" s="7"/>
      <c r="EXR145" s="7"/>
      <c r="EXS145" s="7"/>
      <c r="EXT145" s="7"/>
      <c r="EXU145" s="7"/>
      <c r="EXV145" s="7"/>
      <c r="EXW145" s="7"/>
      <c r="EXX145" s="7"/>
      <c r="EXY145" s="7"/>
      <c r="EXZ145" s="7"/>
      <c r="EYA145" s="7"/>
      <c r="EYB145" s="7"/>
      <c r="EYC145" s="7"/>
      <c r="EYD145" s="7"/>
      <c r="EYE145" s="7"/>
      <c r="EYF145" s="7"/>
      <c r="EYG145" s="7"/>
      <c r="EYH145" s="7"/>
      <c r="EYI145" s="7"/>
      <c r="EYJ145" s="7"/>
      <c r="EYK145" s="7"/>
      <c r="EYL145" s="7"/>
      <c r="EYM145" s="7"/>
      <c r="EYN145" s="7"/>
      <c r="EYO145" s="7"/>
      <c r="EYP145" s="7"/>
      <c r="EYQ145" s="7"/>
      <c r="EYR145" s="7"/>
      <c r="EYS145" s="7"/>
      <c r="EYT145" s="7"/>
      <c r="EYU145" s="7"/>
      <c r="EYV145" s="7"/>
      <c r="EYW145" s="7"/>
      <c r="EYX145" s="7"/>
      <c r="EYY145" s="7"/>
      <c r="EYZ145" s="7"/>
      <c r="EZA145" s="7"/>
      <c r="EZB145" s="7"/>
      <c r="EZC145" s="7"/>
      <c r="EZD145" s="7"/>
      <c r="EZE145" s="7"/>
      <c r="EZF145" s="7"/>
      <c r="EZG145" s="7"/>
      <c r="EZH145" s="7"/>
      <c r="EZI145" s="7"/>
      <c r="EZJ145" s="7"/>
      <c r="EZK145" s="7"/>
      <c r="EZL145" s="7"/>
      <c r="EZM145" s="7"/>
      <c r="EZN145" s="7"/>
      <c r="EZO145" s="7"/>
      <c r="EZP145" s="7"/>
      <c r="EZQ145" s="7"/>
      <c r="EZR145" s="7"/>
      <c r="EZS145" s="7"/>
      <c r="EZT145" s="7"/>
      <c r="EZU145" s="7"/>
      <c r="EZV145" s="7"/>
      <c r="EZW145" s="7"/>
      <c r="EZX145" s="7"/>
      <c r="EZY145" s="7"/>
      <c r="EZZ145" s="7"/>
      <c r="FAA145" s="7"/>
      <c r="FAB145" s="7"/>
      <c r="FAC145" s="7"/>
      <c r="FAD145" s="7"/>
      <c r="FAE145" s="7"/>
      <c r="FAF145" s="7"/>
      <c r="FAG145" s="7"/>
      <c r="FAH145" s="7"/>
      <c r="FAI145" s="7"/>
      <c r="FAJ145" s="7"/>
      <c r="FAK145" s="7"/>
      <c r="FAL145" s="7"/>
      <c r="FAM145" s="7"/>
      <c r="FAN145" s="7"/>
      <c r="FAO145" s="7"/>
      <c r="FAP145" s="7"/>
      <c r="FAQ145" s="7"/>
      <c r="FAR145" s="7"/>
      <c r="FAS145" s="7"/>
      <c r="FAT145" s="7"/>
      <c r="FAU145" s="7"/>
      <c r="FAV145" s="7"/>
      <c r="FAW145" s="7"/>
      <c r="FAX145" s="7"/>
      <c r="FAY145" s="7"/>
      <c r="FAZ145" s="7"/>
      <c r="FBA145" s="7"/>
      <c r="FBB145" s="7"/>
      <c r="FBC145" s="7"/>
      <c r="FBD145" s="7"/>
      <c r="FBE145" s="7"/>
      <c r="FBF145" s="7"/>
      <c r="FBG145" s="7"/>
      <c r="FBH145" s="7"/>
      <c r="FBI145" s="7"/>
      <c r="FBJ145" s="7"/>
      <c r="FBK145" s="7"/>
      <c r="FBL145" s="7"/>
      <c r="FBM145" s="7"/>
      <c r="FBN145" s="7"/>
      <c r="FBO145" s="7"/>
      <c r="FBP145" s="7"/>
      <c r="FBQ145" s="7"/>
      <c r="FBR145" s="7"/>
      <c r="FBS145" s="7"/>
      <c r="FBT145" s="7"/>
      <c r="FBU145" s="7"/>
      <c r="FBV145" s="7"/>
      <c r="FBW145" s="7"/>
      <c r="FBX145" s="7"/>
      <c r="FBY145" s="7"/>
      <c r="FBZ145" s="7"/>
      <c r="FCA145" s="7"/>
      <c r="FCB145" s="7"/>
      <c r="FCC145" s="7"/>
      <c r="FCD145" s="7"/>
      <c r="FCE145" s="7"/>
      <c r="FCF145" s="7"/>
      <c r="FCG145" s="7"/>
      <c r="FCH145" s="7"/>
      <c r="FCI145" s="7"/>
      <c r="FCJ145" s="7"/>
      <c r="FCK145" s="7"/>
      <c r="FCL145" s="7"/>
      <c r="FCM145" s="7"/>
      <c r="FCN145" s="7"/>
      <c r="FCO145" s="7"/>
      <c r="FCP145" s="7"/>
      <c r="FCQ145" s="7"/>
      <c r="FCR145" s="7"/>
      <c r="FCS145" s="7"/>
      <c r="FCT145" s="7"/>
      <c r="FCU145" s="7"/>
      <c r="FCV145" s="7"/>
      <c r="FCW145" s="7"/>
      <c r="FCX145" s="7"/>
      <c r="FCY145" s="7"/>
      <c r="FCZ145" s="7"/>
      <c r="FDA145" s="7"/>
      <c r="FDB145" s="7"/>
      <c r="FDC145" s="7"/>
      <c r="FDD145" s="7"/>
      <c r="FDE145" s="7"/>
      <c r="FDF145" s="7"/>
      <c r="FDG145" s="7"/>
      <c r="FDH145" s="7"/>
      <c r="FDI145" s="7"/>
      <c r="FDJ145" s="7"/>
      <c r="FDK145" s="7"/>
      <c r="FDL145" s="7"/>
      <c r="FDM145" s="7"/>
      <c r="FDN145" s="7"/>
      <c r="FDO145" s="7"/>
      <c r="FDP145" s="7"/>
      <c r="FDQ145" s="7"/>
      <c r="FDR145" s="7"/>
      <c r="FDS145" s="7"/>
      <c r="FDT145" s="7"/>
      <c r="FDU145" s="7"/>
      <c r="FDV145" s="7"/>
      <c r="FDW145" s="7"/>
      <c r="FDX145" s="7"/>
      <c r="FDY145" s="7"/>
      <c r="FDZ145" s="7"/>
      <c r="FEA145" s="7"/>
      <c r="FEB145" s="7"/>
      <c r="FEC145" s="7"/>
      <c r="FED145" s="7"/>
      <c r="FEE145" s="7"/>
      <c r="FEF145" s="7"/>
      <c r="FEG145" s="7"/>
      <c r="FEH145" s="7"/>
      <c r="FEI145" s="7"/>
      <c r="FEJ145" s="7"/>
      <c r="FEK145" s="7"/>
      <c r="FEL145" s="7"/>
      <c r="FEM145" s="7"/>
      <c r="FEN145" s="7"/>
      <c r="FEO145" s="7"/>
      <c r="FEP145" s="7"/>
      <c r="FEQ145" s="7"/>
      <c r="FER145" s="7"/>
      <c r="FES145" s="7"/>
      <c r="FET145" s="7"/>
      <c r="FEU145" s="7"/>
      <c r="FEV145" s="7"/>
      <c r="FEW145" s="7"/>
      <c r="FEX145" s="7"/>
      <c r="FEY145" s="7"/>
      <c r="FEZ145" s="7"/>
      <c r="FFA145" s="7"/>
      <c r="FFB145" s="7"/>
      <c r="FFC145" s="7"/>
      <c r="FFD145" s="7"/>
      <c r="FFE145" s="7"/>
      <c r="FFF145" s="7"/>
      <c r="FFG145" s="7"/>
      <c r="FFH145" s="7"/>
      <c r="FFI145" s="7"/>
      <c r="FFJ145" s="7"/>
      <c r="FFK145" s="7"/>
      <c r="FFL145" s="7"/>
      <c r="FFM145" s="7"/>
      <c r="FFN145" s="7"/>
      <c r="FFO145" s="7"/>
      <c r="FFP145" s="7"/>
      <c r="FFQ145" s="7"/>
      <c r="FFR145" s="7"/>
      <c r="FFS145" s="7"/>
      <c r="FFT145" s="7"/>
      <c r="FFU145" s="7"/>
      <c r="FFV145" s="7"/>
      <c r="FFW145" s="7"/>
      <c r="FFX145" s="7"/>
      <c r="FFY145" s="7"/>
      <c r="FFZ145" s="7"/>
      <c r="FGA145" s="7"/>
      <c r="FGB145" s="7"/>
      <c r="FGC145" s="7"/>
      <c r="FGD145" s="7"/>
      <c r="FGE145" s="7"/>
      <c r="FGF145" s="7"/>
      <c r="FGG145" s="7"/>
      <c r="FGH145" s="7"/>
      <c r="FGI145" s="7"/>
      <c r="FGJ145" s="7"/>
      <c r="FGK145" s="7"/>
      <c r="FGL145" s="7"/>
      <c r="FGM145" s="7"/>
      <c r="FGN145" s="7"/>
      <c r="FGO145" s="7"/>
      <c r="FGP145" s="7"/>
      <c r="FGQ145" s="7"/>
      <c r="FGR145" s="7"/>
      <c r="FGS145" s="7"/>
      <c r="FGT145" s="7"/>
      <c r="FGU145" s="7"/>
      <c r="FGV145" s="7"/>
      <c r="FGW145" s="7"/>
      <c r="FGX145" s="7"/>
      <c r="FGY145" s="7"/>
      <c r="FGZ145" s="7"/>
      <c r="FHA145" s="7"/>
      <c r="FHB145" s="7"/>
      <c r="FHC145" s="7"/>
      <c r="FHD145" s="7"/>
      <c r="FHE145" s="7"/>
      <c r="FHF145" s="7"/>
      <c r="FHG145" s="7"/>
      <c r="FHH145" s="7"/>
      <c r="FHI145" s="7"/>
      <c r="FHJ145" s="7"/>
      <c r="FHK145" s="7"/>
      <c r="FHL145" s="7"/>
      <c r="FHM145" s="7"/>
      <c r="FHN145" s="7"/>
      <c r="FHO145" s="7"/>
      <c r="FHP145" s="7"/>
      <c r="FHQ145" s="7"/>
      <c r="FHR145" s="7"/>
      <c r="FHS145" s="7"/>
      <c r="FHT145" s="7"/>
      <c r="FHU145" s="7"/>
      <c r="FHV145" s="7"/>
      <c r="FHW145" s="7"/>
      <c r="FHX145" s="7"/>
      <c r="FHY145" s="7"/>
      <c r="FHZ145" s="7"/>
      <c r="FIA145" s="7"/>
      <c r="FIB145" s="7"/>
      <c r="FIC145" s="7"/>
      <c r="FID145" s="7"/>
      <c r="FIE145" s="7"/>
      <c r="FIF145" s="7"/>
      <c r="FIG145" s="7"/>
      <c r="FIH145" s="7"/>
      <c r="FII145" s="7"/>
      <c r="FIJ145" s="7"/>
      <c r="FIK145" s="7"/>
      <c r="FIL145" s="7"/>
      <c r="FIM145" s="7"/>
      <c r="FIN145" s="7"/>
      <c r="FIO145" s="7"/>
      <c r="FIP145" s="7"/>
      <c r="FIQ145" s="7"/>
      <c r="FIR145" s="7"/>
      <c r="FIS145" s="7"/>
      <c r="FIT145" s="7"/>
      <c r="FIU145" s="7"/>
      <c r="FIV145" s="7"/>
      <c r="FIW145" s="7"/>
      <c r="FIX145" s="7"/>
      <c r="FIY145" s="7"/>
      <c r="FIZ145" s="7"/>
      <c r="FJA145" s="7"/>
      <c r="FJB145" s="7"/>
      <c r="FJC145" s="7"/>
      <c r="FJD145" s="7"/>
      <c r="FJE145" s="7"/>
      <c r="FJF145" s="7"/>
      <c r="FJG145" s="7"/>
      <c r="FJH145" s="7"/>
      <c r="FJI145" s="7"/>
      <c r="FJJ145" s="7"/>
      <c r="FJK145" s="7"/>
      <c r="FJL145" s="7"/>
      <c r="FJM145" s="7"/>
      <c r="FJN145" s="7"/>
      <c r="FJO145" s="7"/>
      <c r="FJP145" s="7"/>
      <c r="FJQ145" s="7"/>
      <c r="FJR145" s="7"/>
      <c r="FJS145" s="7"/>
      <c r="FJT145" s="7"/>
      <c r="FJU145" s="7"/>
      <c r="FJV145" s="7"/>
      <c r="FJW145" s="7"/>
      <c r="FJX145" s="7"/>
      <c r="FJY145" s="7"/>
      <c r="FJZ145" s="7"/>
      <c r="FKA145" s="7"/>
      <c r="FKB145" s="7"/>
      <c r="FKC145" s="7"/>
      <c r="FKD145" s="7"/>
      <c r="FKE145" s="7"/>
      <c r="FKF145" s="7"/>
      <c r="FKG145" s="7"/>
      <c r="FKH145" s="7"/>
      <c r="FKI145" s="7"/>
      <c r="FKJ145" s="7"/>
      <c r="FKK145" s="7"/>
      <c r="FKL145" s="7"/>
      <c r="FKM145" s="7"/>
      <c r="FKN145" s="7"/>
      <c r="FKO145" s="7"/>
      <c r="FKP145" s="7"/>
      <c r="FKQ145" s="7"/>
      <c r="FKR145" s="7"/>
      <c r="FKS145" s="7"/>
      <c r="FKT145" s="7"/>
      <c r="FKU145" s="7"/>
      <c r="FKV145" s="7"/>
      <c r="FKW145" s="7"/>
      <c r="FKX145" s="7"/>
      <c r="FKY145" s="7"/>
      <c r="FKZ145" s="7"/>
      <c r="FLA145" s="7"/>
      <c r="FLB145" s="7"/>
      <c r="FLC145" s="7"/>
      <c r="FLD145" s="7"/>
      <c r="FLE145" s="7"/>
      <c r="FLF145" s="7"/>
      <c r="FLG145" s="7"/>
      <c r="FLH145" s="7"/>
      <c r="FLI145" s="7"/>
      <c r="FLJ145" s="7"/>
      <c r="FLK145" s="7"/>
      <c r="FLL145" s="7"/>
      <c r="FLM145" s="7"/>
      <c r="FLN145" s="7"/>
      <c r="FLO145" s="7"/>
      <c r="FLP145" s="7"/>
      <c r="FLQ145" s="7"/>
      <c r="FLR145" s="7"/>
      <c r="FLS145" s="7"/>
      <c r="FLT145" s="7"/>
      <c r="FLU145" s="7"/>
      <c r="FLV145" s="7"/>
      <c r="FLW145" s="7"/>
      <c r="FLX145" s="7"/>
      <c r="FLY145" s="7"/>
      <c r="FLZ145" s="7"/>
      <c r="FMA145" s="7"/>
      <c r="FMB145" s="7"/>
      <c r="FMC145" s="7"/>
      <c r="FMD145" s="7"/>
      <c r="FME145" s="7"/>
      <c r="FMF145" s="7"/>
      <c r="FMG145" s="7"/>
      <c r="FMH145" s="7"/>
      <c r="FMI145" s="7"/>
      <c r="FMJ145" s="7"/>
      <c r="FMK145" s="7"/>
      <c r="FML145" s="7"/>
      <c r="FMM145" s="7"/>
      <c r="FMN145" s="7"/>
      <c r="FMO145" s="7"/>
      <c r="FMP145" s="7"/>
      <c r="FMQ145" s="7"/>
      <c r="FMR145" s="7"/>
      <c r="FMS145" s="7"/>
      <c r="FMT145" s="7"/>
      <c r="FMU145" s="7"/>
      <c r="FMV145" s="7"/>
      <c r="FMW145" s="7"/>
      <c r="FMX145" s="7"/>
      <c r="FMY145" s="7"/>
      <c r="FMZ145" s="7"/>
      <c r="FNA145" s="7"/>
      <c r="FNB145" s="7"/>
      <c r="FNC145" s="7"/>
      <c r="FND145" s="7"/>
      <c r="FNE145" s="7"/>
      <c r="FNF145" s="7"/>
      <c r="FNG145" s="7"/>
      <c r="FNH145" s="7"/>
      <c r="FNI145" s="7"/>
      <c r="FNJ145" s="7"/>
      <c r="FNK145" s="7"/>
      <c r="FNL145" s="7"/>
      <c r="FNM145" s="7"/>
      <c r="FNN145" s="7"/>
      <c r="FNO145" s="7"/>
      <c r="FNP145" s="7"/>
      <c r="FNQ145" s="7"/>
      <c r="FNR145" s="7"/>
      <c r="FNS145" s="7"/>
      <c r="FNT145" s="7"/>
      <c r="FNU145" s="7"/>
      <c r="FNV145" s="7"/>
      <c r="FNW145" s="7"/>
      <c r="FNX145" s="7"/>
      <c r="FNY145" s="7"/>
      <c r="FNZ145" s="7"/>
      <c r="FOA145" s="7"/>
      <c r="FOB145" s="7"/>
      <c r="FOC145" s="7"/>
      <c r="FOD145" s="7"/>
      <c r="FOE145" s="7"/>
      <c r="FOF145" s="7"/>
      <c r="FOG145" s="7"/>
      <c r="FOH145" s="7"/>
      <c r="FOI145" s="7"/>
      <c r="FOJ145" s="7"/>
      <c r="FOK145" s="7"/>
      <c r="FOL145" s="7"/>
      <c r="FOM145" s="7"/>
      <c r="FON145" s="7"/>
      <c r="FOO145" s="7"/>
      <c r="FOP145" s="7"/>
      <c r="FOQ145" s="7"/>
      <c r="FOR145" s="7"/>
      <c r="FOS145" s="7"/>
      <c r="FOT145" s="7"/>
      <c r="FOU145" s="7"/>
      <c r="FOV145" s="7"/>
      <c r="FOW145" s="7"/>
      <c r="FOX145" s="7"/>
      <c r="FOY145" s="7"/>
      <c r="FOZ145" s="7"/>
      <c r="FPA145" s="7"/>
      <c r="FPB145" s="7"/>
      <c r="FPC145" s="7"/>
      <c r="FPD145" s="7"/>
      <c r="FPE145" s="7"/>
      <c r="FPF145" s="7"/>
      <c r="FPG145" s="7"/>
      <c r="FPH145" s="7"/>
      <c r="FPI145" s="7"/>
      <c r="FPJ145" s="7"/>
      <c r="FPK145" s="7"/>
      <c r="FPL145" s="7"/>
      <c r="FPM145" s="7"/>
      <c r="FPN145" s="7"/>
      <c r="FPO145" s="7"/>
      <c r="FPP145" s="7"/>
      <c r="FPQ145" s="7"/>
      <c r="FPR145" s="7"/>
      <c r="FPS145" s="7"/>
      <c r="FPT145" s="7"/>
      <c r="FPU145" s="7"/>
      <c r="FPV145" s="7"/>
      <c r="FPW145" s="7"/>
      <c r="FPX145" s="7"/>
      <c r="FPY145" s="7"/>
      <c r="FPZ145" s="7"/>
      <c r="FQA145" s="7"/>
      <c r="FQB145" s="7"/>
      <c r="FQC145" s="7"/>
      <c r="FQD145" s="7"/>
      <c r="FQE145" s="7"/>
      <c r="FQF145" s="7"/>
      <c r="FQG145" s="7"/>
      <c r="FQH145" s="7"/>
      <c r="FQI145" s="7"/>
      <c r="FQJ145" s="7"/>
      <c r="FQK145" s="7"/>
      <c r="FQL145" s="7"/>
      <c r="FQM145" s="7"/>
      <c r="FQN145" s="7"/>
      <c r="FQO145" s="7"/>
      <c r="FQP145" s="7"/>
      <c r="FQQ145" s="7"/>
      <c r="FQR145" s="7"/>
      <c r="FQS145" s="7"/>
      <c r="FQT145" s="7"/>
      <c r="FQU145" s="7"/>
      <c r="FQV145" s="7"/>
      <c r="FQW145" s="7"/>
      <c r="FQX145" s="7"/>
      <c r="FQY145" s="7"/>
      <c r="FQZ145" s="7"/>
      <c r="FRA145" s="7"/>
      <c r="FRB145" s="7"/>
      <c r="FRC145" s="7"/>
      <c r="FRD145" s="7"/>
      <c r="FRE145" s="7"/>
      <c r="FRF145" s="7"/>
      <c r="FRG145" s="7"/>
      <c r="FRH145" s="7"/>
      <c r="FRI145" s="7"/>
      <c r="FRJ145" s="7"/>
      <c r="FRK145" s="7"/>
      <c r="FRL145" s="7"/>
      <c r="FRM145" s="7"/>
      <c r="FRN145" s="7"/>
      <c r="FRO145" s="7"/>
      <c r="FRP145" s="7"/>
      <c r="FRQ145" s="7"/>
      <c r="FRR145" s="7"/>
      <c r="FRS145" s="7"/>
      <c r="FRT145" s="7"/>
      <c r="FRU145" s="7"/>
      <c r="FRV145" s="7"/>
      <c r="FRW145" s="7"/>
      <c r="FRX145" s="7"/>
      <c r="FRY145" s="7"/>
      <c r="FRZ145" s="7"/>
      <c r="FSA145" s="7"/>
      <c r="FSB145" s="7"/>
      <c r="FSC145" s="7"/>
      <c r="FSD145" s="7"/>
      <c r="FSE145" s="7"/>
      <c r="FSF145" s="7"/>
      <c r="FSG145" s="7"/>
      <c r="FSH145" s="7"/>
      <c r="FSI145" s="7"/>
      <c r="FSJ145" s="7"/>
      <c r="FSK145" s="7"/>
      <c r="FSL145" s="7"/>
      <c r="FSM145" s="7"/>
      <c r="FSN145" s="7"/>
      <c r="FSO145" s="7"/>
      <c r="FSP145" s="7"/>
      <c r="FSQ145" s="7"/>
      <c r="FSR145" s="7"/>
      <c r="FSS145" s="7"/>
      <c r="FST145" s="7"/>
      <c r="FSU145" s="7"/>
      <c r="FSV145" s="7"/>
      <c r="FSW145" s="7"/>
      <c r="FSX145" s="7"/>
      <c r="FSY145" s="7"/>
      <c r="FSZ145" s="7"/>
      <c r="FTA145" s="7"/>
      <c r="FTB145" s="7"/>
      <c r="FTC145" s="7"/>
      <c r="FTD145" s="7"/>
      <c r="FTE145" s="7"/>
      <c r="FTF145" s="7"/>
      <c r="FTG145" s="7"/>
      <c r="FTH145" s="7"/>
      <c r="FTI145" s="7"/>
      <c r="FTJ145" s="7"/>
      <c r="FTK145" s="7"/>
      <c r="FTL145" s="7"/>
      <c r="FTM145" s="7"/>
      <c r="FTN145" s="7"/>
      <c r="FTO145" s="7"/>
      <c r="FTP145" s="7"/>
      <c r="FTQ145" s="7"/>
      <c r="FTR145" s="7"/>
      <c r="FTS145" s="7"/>
      <c r="FTT145" s="7"/>
      <c r="FTU145" s="7"/>
      <c r="FTV145" s="7"/>
      <c r="FTW145" s="7"/>
      <c r="FTX145" s="7"/>
      <c r="FTY145" s="7"/>
      <c r="FTZ145" s="7"/>
      <c r="FUA145" s="7"/>
      <c r="FUB145" s="7"/>
      <c r="FUC145" s="7"/>
      <c r="FUD145" s="7"/>
      <c r="FUE145" s="7"/>
      <c r="FUF145" s="7"/>
      <c r="FUG145" s="7"/>
      <c r="FUH145" s="7"/>
      <c r="FUI145" s="7"/>
      <c r="FUJ145" s="7"/>
      <c r="FUK145" s="7"/>
      <c r="FUL145" s="7"/>
      <c r="FUM145" s="7"/>
      <c r="FUN145" s="7"/>
      <c r="FUO145" s="7"/>
      <c r="FUP145" s="7"/>
      <c r="FUQ145" s="7"/>
      <c r="FUR145" s="7"/>
      <c r="FUS145" s="7"/>
      <c r="FUT145" s="7"/>
      <c r="FUU145" s="7"/>
      <c r="FUV145" s="7"/>
      <c r="FUW145" s="7"/>
      <c r="FUX145" s="7"/>
      <c r="FUY145" s="7"/>
      <c r="FUZ145" s="7"/>
      <c r="FVA145" s="7"/>
      <c r="FVB145" s="7"/>
      <c r="FVC145" s="7"/>
      <c r="FVD145" s="7"/>
      <c r="FVE145" s="7"/>
      <c r="FVF145" s="7"/>
      <c r="FVG145" s="7"/>
      <c r="FVH145" s="7"/>
      <c r="FVI145" s="7"/>
      <c r="FVJ145" s="7"/>
      <c r="FVK145" s="7"/>
      <c r="FVL145" s="7"/>
      <c r="FVM145" s="7"/>
      <c r="FVN145" s="7"/>
      <c r="FVO145" s="7"/>
      <c r="FVP145" s="7"/>
      <c r="FVQ145" s="7"/>
      <c r="FVR145" s="7"/>
      <c r="FVS145" s="7"/>
      <c r="FVT145" s="7"/>
      <c r="FVU145" s="7"/>
      <c r="FVV145" s="7"/>
      <c r="FVW145" s="7"/>
      <c r="FVX145" s="7"/>
      <c r="FVY145" s="7"/>
      <c r="FVZ145" s="7"/>
      <c r="FWA145" s="7"/>
      <c r="FWB145" s="7"/>
      <c r="FWC145" s="7"/>
      <c r="FWD145" s="7"/>
      <c r="FWE145" s="7"/>
      <c r="FWF145" s="7"/>
      <c r="FWG145" s="7"/>
      <c r="FWH145" s="7"/>
      <c r="FWI145" s="7"/>
      <c r="FWJ145" s="7"/>
      <c r="FWK145" s="7"/>
      <c r="FWL145" s="7"/>
      <c r="FWM145" s="7"/>
      <c r="FWN145" s="7"/>
      <c r="FWO145" s="7"/>
      <c r="FWP145" s="7"/>
      <c r="FWQ145" s="7"/>
      <c r="FWR145" s="7"/>
      <c r="FWS145" s="7"/>
      <c r="FWT145" s="7"/>
      <c r="FWU145" s="7"/>
      <c r="FWV145" s="7"/>
      <c r="FWW145" s="7"/>
      <c r="FWX145" s="7"/>
      <c r="FWY145" s="7"/>
      <c r="FWZ145" s="7"/>
      <c r="FXA145" s="7"/>
      <c r="FXB145" s="7"/>
      <c r="FXC145" s="7"/>
      <c r="FXD145" s="7"/>
      <c r="FXE145" s="7"/>
      <c r="FXF145" s="7"/>
      <c r="FXG145" s="7"/>
      <c r="FXH145" s="7"/>
      <c r="FXI145" s="7"/>
      <c r="FXJ145" s="7"/>
      <c r="FXK145" s="7"/>
      <c r="FXL145" s="7"/>
      <c r="FXM145" s="7"/>
      <c r="FXN145" s="7"/>
      <c r="FXO145" s="7"/>
      <c r="FXP145" s="7"/>
      <c r="FXQ145" s="7"/>
      <c r="FXR145" s="7"/>
      <c r="FXS145" s="7"/>
      <c r="FXT145" s="7"/>
      <c r="FXU145" s="7"/>
      <c r="FXV145" s="7"/>
      <c r="FXW145" s="7"/>
      <c r="FXX145" s="7"/>
      <c r="FXY145" s="7"/>
      <c r="FXZ145" s="7"/>
      <c r="FYA145" s="7"/>
      <c r="FYB145" s="7"/>
      <c r="FYC145" s="7"/>
      <c r="FYD145" s="7"/>
      <c r="FYE145" s="7"/>
      <c r="FYF145" s="7"/>
      <c r="FYG145" s="7"/>
      <c r="FYH145" s="7"/>
      <c r="FYI145" s="7"/>
      <c r="FYJ145" s="7"/>
      <c r="FYK145" s="7"/>
      <c r="FYL145" s="7"/>
      <c r="FYM145" s="7"/>
      <c r="FYN145" s="7"/>
      <c r="FYO145" s="7"/>
      <c r="FYP145" s="7"/>
      <c r="FYQ145" s="7"/>
      <c r="FYR145" s="7"/>
      <c r="FYS145" s="7"/>
      <c r="FYT145" s="7"/>
      <c r="FYU145" s="7"/>
      <c r="FYV145" s="7"/>
      <c r="FYW145" s="7"/>
      <c r="FYX145" s="7"/>
      <c r="FYY145" s="7"/>
      <c r="FYZ145" s="7"/>
      <c r="FZA145" s="7"/>
      <c r="FZB145" s="7"/>
      <c r="FZC145" s="7"/>
      <c r="FZD145" s="7"/>
      <c r="FZE145" s="7"/>
      <c r="FZF145" s="7"/>
      <c r="FZG145" s="7"/>
      <c r="FZH145" s="7"/>
      <c r="FZI145" s="7"/>
      <c r="FZJ145" s="7"/>
      <c r="FZK145" s="7"/>
      <c r="FZL145" s="7"/>
      <c r="FZM145" s="7"/>
      <c r="FZN145" s="7"/>
      <c r="FZO145" s="7"/>
      <c r="FZP145" s="7"/>
      <c r="FZQ145" s="7"/>
      <c r="FZR145" s="7"/>
      <c r="FZS145" s="7"/>
      <c r="FZT145" s="7"/>
      <c r="FZU145" s="7"/>
      <c r="FZV145" s="7"/>
      <c r="FZW145" s="7"/>
      <c r="FZX145" s="7"/>
      <c r="FZY145" s="7"/>
      <c r="FZZ145" s="7"/>
      <c r="GAA145" s="7"/>
      <c r="GAB145" s="7"/>
      <c r="GAC145" s="7"/>
      <c r="GAD145" s="7"/>
      <c r="GAE145" s="7"/>
      <c r="GAF145" s="7"/>
      <c r="GAG145" s="7"/>
      <c r="GAH145" s="7"/>
      <c r="GAI145" s="7"/>
      <c r="GAJ145" s="7"/>
      <c r="GAK145" s="7"/>
      <c r="GAL145" s="7"/>
      <c r="GAM145" s="7"/>
      <c r="GAN145" s="7"/>
      <c r="GAO145" s="7"/>
      <c r="GAP145" s="7"/>
      <c r="GAQ145" s="7"/>
      <c r="GAR145" s="7"/>
      <c r="GAS145" s="7"/>
      <c r="GAT145" s="7"/>
      <c r="GAU145" s="7"/>
      <c r="GAV145" s="7"/>
      <c r="GAW145" s="7"/>
      <c r="GAX145" s="7"/>
      <c r="GAY145" s="7"/>
      <c r="GAZ145" s="7"/>
      <c r="GBA145" s="7"/>
      <c r="GBB145" s="7"/>
      <c r="GBC145" s="7"/>
      <c r="GBD145" s="7"/>
      <c r="GBE145" s="7"/>
      <c r="GBF145" s="7"/>
      <c r="GBG145" s="7"/>
      <c r="GBH145" s="7"/>
      <c r="GBI145" s="7"/>
      <c r="GBJ145" s="7"/>
      <c r="GBK145" s="7"/>
      <c r="GBL145" s="7"/>
      <c r="GBM145" s="7"/>
      <c r="GBN145" s="7"/>
      <c r="GBO145" s="7"/>
      <c r="GBP145" s="7"/>
      <c r="GBQ145" s="7"/>
      <c r="GBR145" s="7"/>
      <c r="GBS145" s="7"/>
      <c r="GBT145" s="7"/>
      <c r="GBU145" s="7"/>
      <c r="GBV145" s="7"/>
      <c r="GBW145" s="7"/>
      <c r="GBX145" s="7"/>
      <c r="GBY145" s="7"/>
      <c r="GBZ145" s="7"/>
      <c r="GCA145" s="7"/>
      <c r="GCB145" s="7"/>
      <c r="GCC145" s="7"/>
      <c r="GCD145" s="7"/>
      <c r="GCE145" s="7"/>
      <c r="GCF145" s="7"/>
      <c r="GCG145" s="7"/>
      <c r="GCH145" s="7"/>
      <c r="GCI145" s="7"/>
      <c r="GCJ145" s="7"/>
      <c r="GCK145" s="7"/>
      <c r="GCL145" s="7"/>
      <c r="GCM145" s="7"/>
      <c r="GCN145" s="7"/>
      <c r="GCO145" s="7"/>
      <c r="GCP145" s="7"/>
      <c r="GCQ145" s="7"/>
      <c r="GCR145" s="7"/>
      <c r="GCS145" s="7"/>
      <c r="GCT145" s="7"/>
      <c r="GCU145" s="7"/>
      <c r="GCV145" s="7"/>
      <c r="GCW145" s="7"/>
      <c r="GCX145" s="7"/>
      <c r="GCY145" s="7"/>
      <c r="GCZ145" s="7"/>
      <c r="GDA145" s="7"/>
      <c r="GDB145" s="7"/>
      <c r="GDC145" s="7"/>
      <c r="GDD145" s="7"/>
      <c r="GDE145" s="7"/>
      <c r="GDF145" s="7"/>
      <c r="GDG145" s="7"/>
      <c r="GDH145" s="7"/>
      <c r="GDI145" s="7"/>
      <c r="GDJ145" s="7"/>
      <c r="GDK145" s="7"/>
      <c r="GDL145" s="7"/>
      <c r="GDM145" s="7"/>
      <c r="GDN145" s="7"/>
      <c r="GDO145" s="7"/>
      <c r="GDP145" s="7"/>
      <c r="GDQ145" s="7"/>
      <c r="GDR145" s="7"/>
      <c r="GDS145" s="7"/>
      <c r="GDT145" s="7"/>
      <c r="GDU145" s="7"/>
      <c r="GDV145" s="7"/>
      <c r="GDW145" s="7"/>
      <c r="GDX145" s="7"/>
      <c r="GDY145" s="7"/>
      <c r="GDZ145" s="7"/>
      <c r="GEA145" s="7"/>
      <c r="GEB145" s="7"/>
      <c r="GEC145" s="7"/>
      <c r="GED145" s="7"/>
      <c r="GEE145" s="7"/>
      <c r="GEF145" s="7"/>
      <c r="GEG145" s="7"/>
      <c r="GEH145" s="7"/>
      <c r="GEI145" s="7"/>
      <c r="GEJ145" s="7"/>
      <c r="GEK145" s="7"/>
      <c r="GEL145" s="7"/>
      <c r="GEM145" s="7"/>
      <c r="GEN145" s="7"/>
      <c r="GEO145" s="7"/>
      <c r="GEP145" s="7"/>
      <c r="GEQ145" s="7"/>
      <c r="GER145" s="7"/>
      <c r="GES145" s="7"/>
      <c r="GET145" s="7"/>
      <c r="GEU145" s="7"/>
      <c r="GEV145" s="7"/>
      <c r="GEW145" s="7"/>
      <c r="GEX145" s="7"/>
      <c r="GEY145" s="7"/>
      <c r="GEZ145" s="7"/>
      <c r="GFA145" s="7"/>
      <c r="GFB145" s="7"/>
      <c r="GFC145" s="7"/>
      <c r="GFD145" s="7"/>
      <c r="GFE145" s="7"/>
      <c r="GFF145" s="7"/>
      <c r="GFG145" s="7"/>
      <c r="GFH145" s="7"/>
      <c r="GFI145" s="7"/>
      <c r="GFJ145" s="7"/>
      <c r="GFK145" s="7"/>
      <c r="GFL145" s="7"/>
      <c r="GFM145" s="7"/>
      <c r="GFN145" s="7"/>
      <c r="GFO145" s="7"/>
      <c r="GFP145" s="7"/>
      <c r="GFQ145" s="7"/>
      <c r="GFR145" s="7"/>
      <c r="GFS145" s="7"/>
      <c r="GFT145" s="7"/>
      <c r="GFU145" s="7"/>
      <c r="GFV145" s="7"/>
      <c r="GFW145" s="7"/>
      <c r="GFX145" s="7"/>
      <c r="GFY145" s="7"/>
      <c r="GFZ145" s="7"/>
      <c r="GGA145" s="7"/>
      <c r="GGB145" s="7"/>
      <c r="GGC145" s="7"/>
      <c r="GGD145" s="7"/>
      <c r="GGE145" s="7"/>
      <c r="GGF145" s="7"/>
      <c r="GGG145" s="7"/>
      <c r="GGH145" s="7"/>
      <c r="GGI145" s="7"/>
      <c r="GGJ145" s="7"/>
      <c r="GGK145" s="7"/>
      <c r="GGL145" s="7"/>
      <c r="GGM145" s="7"/>
      <c r="GGN145" s="7"/>
      <c r="GGO145" s="7"/>
      <c r="GGP145" s="7"/>
      <c r="GGQ145" s="7"/>
      <c r="GGR145" s="7"/>
      <c r="GGS145" s="7"/>
      <c r="GGT145" s="7"/>
      <c r="GGU145" s="7"/>
      <c r="GGV145" s="7"/>
      <c r="GGW145" s="7"/>
      <c r="GGX145" s="7"/>
      <c r="GGY145" s="7"/>
      <c r="GGZ145" s="7"/>
      <c r="GHA145" s="7"/>
      <c r="GHB145" s="7"/>
      <c r="GHC145" s="7"/>
      <c r="GHD145" s="7"/>
      <c r="GHE145" s="7"/>
      <c r="GHF145" s="7"/>
      <c r="GHG145" s="7"/>
      <c r="GHH145" s="7"/>
      <c r="GHI145" s="7"/>
      <c r="GHJ145" s="7"/>
      <c r="GHK145" s="7"/>
      <c r="GHL145" s="7"/>
      <c r="GHM145" s="7"/>
      <c r="GHN145" s="7"/>
      <c r="GHO145" s="7"/>
      <c r="GHP145" s="7"/>
      <c r="GHQ145" s="7"/>
      <c r="GHR145" s="7"/>
      <c r="GHS145" s="7"/>
      <c r="GHT145" s="7"/>
      <c r="GHU145" s="7"/>
      <c r="GHV145" s="7"/>
      <c r="GHW145" s="7"/>
      <c r="GHX145" s="7"/>
      <c r="GHY145" s="7"/>
      <c r="GHZ145" s="7"/>
      <c r="GIA145" s="7"/>
      <c r="GIB145" s="7"/>
      <c r="GIC145" s="7"/>
      <c r="GID145" s="7"/>
      <c r="GIE145" s="7"/>
      <c r="GIF145" s="7"/>
      <c r="GIG145" s="7"/>
      <c r="GIH145" s="7"/>
      <c r="GII145" s="7"/>
      <c r="GIJ145" s="7"/>
      <c r="GIK145" s="7"/>
      <c r="GIL145" s="7"/>
      <c r="GIM145" s="7"/>
      <c r="GIN145" s="7"/>
      <c r="GIO145" s="7"/>
      <c r="GIP145" s="7"/>
      <c r="GIQ145" s="7"/>
      <c r="GIR145" s="7"/>
      <c r="GIS145" s="7"/>
      <c r="GIT145" s="7"/>
      <c r="GIU145" s="7"/>
      <c r="GIV145" s="7"/>
      <c r="GIW145" s="7"/>
      <c r="GIX145" s="7"/>
      <c r="GIY145" s="7"/>
      <c r="GIZ145" s="7"/>
      <c r="GJA145" s="7"/>
      <c r="GJB145" s="7"/>
      <c r="GJC145" s="7"/>
      <c r="GJD145" s="7"/>
      <c r="GJE145" s="7"/>
      <c r="GJF145" s="7"/>
      <c r="GJG145" s="7"/>
      <c r="GJH145" s="7"/>
      <c r="GJI145" s="7"/>
      <c r="GJJ145" s="7"/>
      <c r="GJK145" s="7"/>
      <c r="GJL145" s="7"/>
      <c r="GJM145" s="7"/>
      <c r="GJN145" s="7"/>
      <c r="GJO145" s="7"/>
      <c r="GJP145" s="7"/>
      <c r="GJQ145" s="7"/>
      <c r="GJR145" s="7"/>
      <c r="GJS145" s="7"/>
      <c r="GJT145" s="7"/>
      <c r="GJU145" s="7"/>
      <c r="GJV145" s="7"/>
      <c r="GJW145" s="7"/>
      <c r="GJX145" s="7"/>
      <c r="GJY145" s="7"/>
      <c r="GJZ145" s="7"/>
      <c r="GKA145" s="7"/>
      <c r="GKB145" s="7"/>
      <c r="GKC145" s="7"/>
      <c r="GKD145" s="7"/>
      <c r="GKE145" s="7"/>
      <c r="GKF145" s="7"/>
      <c r="GKG145" s="7"/>
      <c r="GKH145" s="7"/>
      <c r="GKI145" s="7"/>
      <c r="GKJ145" s="7"/>
      <c r="GKK145" s="7"/>
      <c r="GKL145" s="7"/>
      <c r="GKM145" s="7"/>
      <c r="GKN145" s="7"/>
      <c r="GKO145" s="7"/>
      <c r="GKP145" s="7"/>
      <c r="GKQ145" s="7"/>
      <c r="GKR145" s="7"/>
      <c r="GKS145" s="7"/>
      <c r="GKT145" s="7"/>
      <c r="GKU145" s="7"/>
      <c r="GKV145" s="7"/>
      <c r="GKW145" s="7"/>
      <c r="GKX145" s="7"/>
      <c r="GKY145" s="7"/>
      <c r="GKZ145" s="7"/>
      <c r="GLA145" s="7"/>
      <c r="GLB145" s="7"/>
      <c r="GLC145" s="7"/>
      <c r="GLD145" s="7"/>
      <c r="GLE145" s="7"/>
      <c r="GLF145" s="7"/>
      <c r="GLG145" s="7"/>
      <c r="GLH145" s="7"/>
      <c r="GLI145" s="7"/>
      <c r="GLJ145" s="7"/>
      <c r="GLK145" s="7"/>
      <c r="GLL145" s="7"/>
      <c r="GLM145" s="7"/>
      <c r="GLN145" s="7"/>
      <c r="GLO145" s="7"/>
      <c r="GLP145" s="7"/>
      <c r="GLQ145" s="7"/>
      <c r="GLR145" s="7"/>
      <c r="GLS145" s="7"/>
      <c r="GLT145" s="7"/>
      <c r="GLU145" s="7"/>
      <c r="GLV145" s="7"/>
      <c r="GLW145" s="7"/>
      <c r="GLX145" s="7"/>
      <c r="GLY145" s="7"/>
      <c r="GLZ145" s="7"/>
      <c r="GMA145" s="7"/>
      <c r="GMB145" s="7"/>
      <c r="GMC145" s="7"/>
      <c r="GMD145" s="7"/>
      <c r="GME145" s="7"/>
      <c r="GMF145" s="7"/>
      <c r="GMG145" s="7"/>
      <c r="GMH145" s="7"/>
      <c r="GMI145" s="7"/>
      <c r="GMJ145" s="7"/>
      <c r="GMK145" s="7"/>
      <c r="GML145" s="7"/>
      <c r="GMM145" s="7"/>
      <c r="GMN145" s="7"/>
      <c r="GMO145" s="7"/>
      <c r="GMP145" s="7"/>
      <c r="GMQ145" s="7"/>
      <c r="GMR145" s="7"/>
      <c r="GMS145" s="7"/>
      <c r="GMT145" s="7"/>
      <c r="GMU145" s="7"/>
      <c r="GMV145" s="7"/>
      <c r="GMW145" s="7"/>
      <c r="GMX145" s="7"/>
      <c r="GMY145" s="7"/>
      <c r="GMZ145" s="7"/>
      <c r="GNA145" s="7"/>
      <c r="GNB145" s="7"/>
      <c r="GNC145" s="7"/>
      <c r="GND145" s="7"/>
      <c r="GNE145" s="7"/>
      <c r="GNF145" s="7"/>
      <c r="GNG145" s="7"/>
      <c r="GNH145" s="7"/>
      <c r="GNI145" s="7"/>
      <c r="GNJ145" s="7"/>
      <c r="GNK145" s="7"/>
      <c r="GNL145" s="7"/>
      <c r="GNM145" s="7"/>
      <c r="GNN145" s="7"/>
      <c r="GNO145" s="7"/>
      <c r="GNP145" s="7"/>
      <c r="GNQ145" s="7"/>
      <c r="GNR145" s="7"/>
      <c r="GNS145" s="7"/>
      <c r="GNT145" s="7"/>
      <c r="GNU145" s="7"/>
      <c r="GNV145" s="7"/>
      <c r="GNW145" s="7"/>
      <c r="GNX145" s="7"/>
      <c r="GNY145" s="7"/>
      <c r="GNZ145" s="7"/>
      <c r="GOA145" s="7"/>
      <c r="GOB145" s="7"/>
      <c r="GOC145" s="7"/>
      <c r="GOD145" s="7"/>
      <c r="GOE145" s="7"/>
      <c r="GOF145" s="7"/>
      <c r="GOG145" s="7"/>
      <c r="GOH145" s="7"/>
      <c r="GOI145" s="7"/>
      <c r="GOJ145" s="7"/>
      <c r="GOK145" s="7"/>
      <c r="GOL145" s="7"/>
      <c r="GOM145" s="7"/>
      <c r="GON145" s="7"/>
      <c r="GOO145" s="7"/>
      <c r="GOP145" s="7"/>
      <c r="GOQ145" s="7"/>
      <c r="GOR145" s="7"/>
      <c r="GOS145" s="7"/>
      <c r="GOT145" s="7"/>
      <c r="GOU145" s="7"/>
      <c r="GOV145" s="7"/>
      <c r="GOW145" s="7"/>
      <c r="GOX145" s="7"/>
      <c r="GOY145" s="7"/>
      <c r="GOZ145" s="7"/>
      <c r="GPA145" s="7"/>
      <c r="GPB145" s="7"/>
      <c r="GPC145" s="7"/>
      <c r="GPD145" s="7"/>
      <c r="GPE145" s="7"/>
      <c r="GPF145" s="7"/>
      <c r="GPG145" s="7"/>
      <c r="GPH145" s="7"/>
      <c r="GPI145" s="7"/>
      <c r="GPJ145" s="7"/>
      <c r="GPK145" s="7"/>
      <c r="GPL145" s="7"/>
      <c r="GPM145" s="7"/>
      <c r="GPN145" s="7"/>
      <c r="GPO145" s="7"/>
      <c r="GPP145" s="7"/>
      <c r="GPQ145" s="7"/>
      <c r="GPR145" s="7"/>
      <c r="GPS145" s="7"/>
      <c r="GPT145" s="7"/>
      <c r="GPU145" s="7"/>
      <c r="GPV145" s="7"/>
      <c r="GPW145" s="7"/>
      <c r="GPX145" s="7"/>
      <c r="GPY145" s="7"/>
      <c r="GPZ145" s="7"/>
      <c r="GQA145" s="7"/>
      <c r="GQB145" s="7"/>
      <c r="GQC145" s="7"/>
      <c r="GQD145" s="7"/>
      <c r="GQE145" s="7"/>
      <c r="GQF145" s="7"/>
      <c r="GQG145" s="7"/>
      <c r="GQH145" s="7"/>
      <c r="GQI145" s="7"/>
      <c r="GQJ145" s="7"/>
      <c r="GQK145" s="7"/>
      <c r="GQL145" s="7"/>
      <c r="GQM145" s="7"/>
      <c r="GQN145" s="7"/>
      <c r="GQO145" s="7"/>
      <c r="GQP145" s="7"/>
      <c r="GQQ145" s="7"/>
      <c r="GQR145" s="7"/>
      <c r="GQS145" s="7"/>
      <c r="GQT145" s="7"/>
      <c r="GQU145" s="7"/>
      <c r="GQV145" s="7"/>
      <c r="GQW145" s="7"/>
      <c r="GQX145" s="7"/>
      <c r="GQY145" s="7"/>
      <c r="GQZ145" s="7"/>
      <c r="GRA145" s="7"/>
      <c r="GRB145" s="7"/>
      <c r="GRC145" s="7"/>
      <c r="GRD145" s="7"/>
      <c r="GRE145" s="7"/>
      <c r="GRF145" s="7"/>
      <c r="GRG145" s="7"/>
      <c r="GRH145" s="7"/>
      <c r="GRI145" s="7"/>
      <c r="GRJ145" s="7"/>
      <c r="GRK145" s="7"/>
      <c r="GRL145" s="7"/>
      <c r="GRM145" s="7"/>
      <c r="GRN145" s="7"/>
      <c r="GRO145" s="7"/>
      <c r="GRP145" s="7"/>
      <c r="GRQ145" s="7"/>
      <c r="GRR145" s="7"/>
      <c r="GRS145" s="7"/>
      <c r="GRT145" s="7"/>
      <c r="GRU145" s="7"/>
      <c r="GRV145" s="7"/>
      <c r="GRW145" s="7"/>
      <c r="GRX145" s="7"/>
      <c r="GRY145" s="7"/>
      <c r="GRZ145" s="7"/>
      <c r="GSA145" s="7"/>
      <c r="GSB145" s="7"/>
      <c r="GSC145" s="7"/>
      <c r="GSD145" s="7"/>
      <c r="GSE145" s="7"/>
      <c r="GSF145" s="7"/>
      <c r="GSG145" s="7"/>
      <c r="GSH145" s="7"/>
      <c r="GSI145" s="7"/>
      <c r="GSJ145" s="7"/>
      <c r="GSK145" s="7"/>
      <c r="GSL145" s="7"/>
      <c r="GSM145" s="7"/>
      <c r="GSN145" s="7"/>
      <c r="GSO145" s="7"/>
      <c r="GSP145" s="7"/>
      <c r="GSQ145" s="7"/>
      <c r="GSR145" s="7"/>
      <c r="GSS145" s="7"/>
      <c r="GST145" s="7"/>
      <c r="GSU145" s="7"/>
      <c r="GSV145" s="7"/>
      <c r="GSW145" s="7"/>
      <c r="GSX145" s="7"/>
      <c r="GSY145" s="7"/>
      <c r="GSZ145" s="7"/>
      <c r="GTA145" s="7"/>
      <c r="GTB145" s="7"/>
      <c r="GTC145" s="7"/>
      <c r="GTD145" s="7"/>
      <c r="GTE145" s="7"/>
      <c r="GTF145" s="7"/>
      <c r="GTG145" s="7"/>
      <c r="GTH145" s="7"/>
      <c r="GTI145" s="7"/>
      <c r="GTJ145" s="7"/>
      <c r="GTK145" s="7"/>
      <c r="GTL145" s="7"/>
      <c r="GTM145" s="7"/>
      <c r="GTN145" s="7"/>
      <c r="GTO145" s="7"/>
      <c r="GTP145" s="7"/>
      <c r="GTQ145" s="7"/>
      <c r="GTR145" s="7"/>
      <c r="GTS145" s="7"/>
      <c r="GTT145" s="7"/>
      <c r="GTU145" s="7"/>
      <c r="GTV145" s="7"/>
      <c r="GTW145" s="7"/>
      <c r="GTX145" s="7"/>
      <c r="GTY145" s="7"/>
      <c r="GTZ145" s="7"/>
      <c r="GUA145" s="7"/>
      <c r="GUB145" s="7"/>
      <c r="GUC145" s="7"/>
      <c r="GUD145" s="7"/>
      <c r="GUE145" s="7"/>
      <c r="GUF145" s="7"/>
      <c r="GUG145" s="7"/>
      <c r="GUH145" s="7"/>
      <c r="GUI145" s="7"/>
      <c r="GUJ145" s="7"/>
      <c r="GUK145" s="7"/>
      <c r="GUL145" s="7"/>
      <c r="GUM145" s="7"/>
      <c r="GUN145" s="7"/>
      <c r="GUO145" s="7"/>
      <c r="GUP145" s="7"/>
      <c r="GUQ145" s="7"/>
      <c r="GUR145" s="7"/>
      <c r="GUS145" s="7"/>
      <c r="GUT145" s="7"/>
      <c r="GUU145" s="7"/>
      <c r="GUV145" s="7"/>
      <c r="GUW145" s="7"/>
      <c r="GUX145" s="7"/>
      <c r="GUY145" s="7"/>
      <c r="GUZ145" s="7"/>
      <c r="GVA145" s="7"/>
      <c r="GVB145" s="7"/>
      <c r="GVC145" s="7"/>
      <c r="GVD145" s="7"/>
      <c r="GVE145" s="7"/>
      <c r="GVF145" s="7"/>
      <c r="GVG145" s="7"/>
      <c r="GVH145" s="7"/>
      <c r="GVI145" s="7"/>
      <c r="GVJ145" s="7"/>
      <c r="GVK145" s="7"/>
      <c r="GVL145" s="7"/>
      <c r="GVM145" s="7"/>
      <c r="GVN145" s="7"/>
      <c r="GVO145" s="7"/>
      <c r="GVP145" s="7"/>
      <c r="GVQ145" s="7"/>
      <c r="GVR145" s="7"/>
      <c r="GVS145" s="7"/>
      <c r="GVT145" s="7"/>
      <c r="GVU145" s="7"/>
      <c r="GVV145" s="7"/>
      <c r="GVW145" s="7"/>
      <c r="GVX145" s="7"/>
      <c r="GVY145" s="7"/>
      <c r="GVZ145" s="7"/>
      <c r="GWA145" s="7"/>
      <c r="GWB145" s="7"/>
      <c r="GWC145" s="7"/>
      <c r="GWD145" s="7"/>
      <c r="GWE145" s="7"/>
      <c r="GWF145" s="7"/>
      <c r="GWG145" s="7"/>
      <c r="GWH145" s="7"/>
      <c r="GWI145" s="7"/>
      <c r="GWJ145" s="7"/>
      <c r="GWK145" s="7"/>
      <c r="GWL145" s="7"/>
      <c r="GWM145" s="7"/>
      <c r="GWN145" s="7"/>
      <c r="GWO145" s="7"/>
      <c r="GWP145" s="7"/>
      <c r="GWQ145" s="7"/>
      <c r="GWR145" s="7"/>
      <c r="GWS145" s="7"/>
      <c r="GWT145" s="7"/>
      <c r="GWU145" s="7"/>
      <c r="GWV145" s="7"/>
      <c r="GWW145" s="7"/>
      <c r="GWX145" s="7"/>
      <c r="GWY145" s="7"/>
      <c r="GWZ145" s="7"/>
      <c r="GXA145" s="7"/>
      <c r="GXB145" s="7"/>
      <c r="GXC145" s="7"/>
      <c r="GXD145" s="7"/>
      <c r="GXE145" s="7"/>
      <c r="GXF145" s="7"/>
      <c r="GXG145" s="7"/>
      <c r="GXH145" s="7"/>
      <c r="GXI145" s="7"/>
      <c r="GXJ145" s="7"/>
      <c r="GXK145" s="7"/>
      <c r="GXL145" s="7"/>
      <c r="GXM145" s="7"/>
      <c r="GXN145" s="7"/>
      <c r="GXO145" s="7"/>
      <c r="GXP145" s="7"/>
      <c r="GXQ145" s="7"/>
      <c r="GXR145" s="7"/>
      <c r="GXS145" s="7"/>
      <c r="GXT145" s="7"/>
      <c r="GXU145" s="7"/>
      <c r="GXV145" s="7"/>
      <c r="GXW145" s="7"/>
      <c r="GXX145" s="7"/>
      <c r="GXY145" s="7"/>
      <c r="GXZ145" s="7"/>
      <c r="GYA145" s="7"/>
      <c r="GYB145" s="7"/>
      <c r="GYC145" s="7"/>
      <c r="GYD145" s="7"/>
      <c r="GYE145" s="7"/>
      <c r="GYF145" s="7"/>
      <c r="GYG145" s="7"/>
      <c r="GYH145" s="7"/>
      <c r="GYI145" s="7"/>
      <c r="GYJ145" s="7"/>
      <c r="GYK145" s="7"/>
      <c r="GYL145" s="7"/>
      <c r="GYM145" s="7"/>
      <c r="GYN145" s="7"/>
      <c r="GYO145" s="7"/>
      <c r="GYP145" s="7"/>
      <c r="GYQ145" s="7"/>
      <c r="GYR145" s="7"/>
      <c r="GYS145" s="7"/>
      <c r="GYT145" s="7"/>
      <c r="GYU145" s="7"/>
      <c r="GYV145" s="7"/>
      <c r="GYW145" s="7"/>
      <c r="GYX145" s="7"/>
      <c r="GYY145" s="7"/>
      <c r="GYZ145" s="7"/>
      <c r="GZA145" s="7"/>
      <c r="GZB145" s="7"/>
      <c r="GZC145" s="7"/>
      <c r="GZD145" s="7"/>
      <c r="GZE145" s="7"/>
      <c r="GZF145" s="7"/>
      <c r="GZG145" s="7"/>
      <c r="GZH145" s="7"/>
      <c r="GZI145" s="7"/>
      <c r="GZJ145" s="7"/>
      <c r="GZK145" s="7"/>
      <c r="GZL145" s="7"/>
      <c r="GZM145" s="7"/>
      <c r="GZN145" s="7"/>
      <c r="GZO145" s="7"/>
      <c r="GZP145" s="7"/>
      <c r="GZQ145" s="7"/>
      <c r="GZR145" s="7"/>
      <c r="GZS145" s="7"/>
      <c r="GZT145" s="7"/>
      <c r="GZU145" s="7"/>
      <c r="GZV145" s="7"/>
      <c r="GZW145" s="7"/>
      <c r="GZX145" s="7"/>
      <c r="GZY145" s="7"/>
      <c r="GZZ145" s="7"/>
      <c r="HAA145" s="7"/>
      <c r="HAB145" s="7"/>
      <c r="HAC145" s="7"/>
      <c r="HAD145" s="7"/>
      <c r="HAE145" s="7"/>
      <c r="HAF145" s="7"/>
      <c r="HAG145" s="7"/>
      <c r="HAH145" s="7"/>
      <c r="HAI145" s="7"/>
      <c r="HAJ145" s="7"/>
      <c r="HAK145" s="7"/>
      <c r="HAL145" s="7"/>
      <c r="HAM145" s="7"/>
      <c r="HAN145" s="7"/>
      <c r="HAO145" s="7"/>
      <c r="HAP145" s="7"/>
      <c r="HAQ145" s="7"/>
      <c r="HAR145" s="7"/>
      <c r="HAS145" s="7"/>
      <c r="HAT145" s="7"/>
      <c r="HAU145" s="7"/>
      <c r="HAV145" s="7"/>
      <c r="HAW145" s="7"/>
      <c r="HAX145" s="7"/>
      <c r="HAY145" s="7"/>
      <c r="HAZ145" s="7"/>
      <c r="HBA145" s="7"/>
      <c r="HBB145" s="7"/>
      <c r="HBC145" s="7"/>
      <c r="HBD145" s="7"/>
      <c r="HBE145" s="7"/>
      <c r="HBF145" s="7"/>
      <c r="HBG145" s="7"/>
      <c r="HBH145" s="7"/>
      <c r="HBI145" s="7"/>
      <c r="HBJ145" s="7"/>
      <c r="HBK145" s="7"/>
      <c r="HBL145" s="7"/>
      <c r="HBM145" s="7"/>
      <c r="HBN145" s="7"/>
      <c r="HBO145" s="7"/>
      <c r="HBP145" s="7"/>
      <c r="HBQ145" s="7"/>
      <c r="HBR145" s="7"/>
      <c r="HBS145" s="7"/>
      <c r="HBT145" s="7"/>
      <c r="HBU145" s="7"/>
      <c r="HBV145" s="7"/>
      <c r="HBW145" s="7"/>
      <c r="HBX145" s="7"/>
      <c r="HBY145" s="7"/>
      <c r="HBZ145" s="7"/>
      <c r="HCA145" s="7"/>
      <c r="HCB145" s="7"/>
      <c r="HCC145" s="7"/>
      <c r="HCD145" s="7"/>
      <c r="HCE145" s="7"/>
      <c r="HCF145" s="7"/>
      <c r="HCG145" s="7"/>
      <c r="HCH145" s="7"/>
      <c r="HCI145" s="7"/>
      <c r="HCJ145" s="7"/>
      <c r="HCK145" s="7"/>
      <c r="HCL145" s="7"/>
      <c r="HCM145" s="7"/>
      <c r="HCN145" s="7"/>
      <c r="HCO145" s="7"/>
      <c r="HCP145" s="7"/>
      <c r="HCQ145" s="7"/>
      <c r="HCR145" s="7"/>
      <c r="HCS145" s="7"/>
      <c r="HCT145" s="7"/>
      <c r="HCU145" s="7"/>
      <c r="HCV145" s="7"/>
      <c r="HCW145" s="7"/>
      <c r="HCX145" s="7"/>
      <c r="HCY145" s="7"/>
      <c r="HCZ145" s="7"/>
      <c r="HDA145" s="7"/>
      <c r="HDB145" s="7"/>
      <c r="HDC145" s="7"/>
      <c r="HDD145" s="7"/>
      <c r="HDE145" s="7"/>
      <c r="HDF145" s="7"/>
      <c r="HDG145" s="7"/>
      <c r="HDH145" s="7"/>
      <c r="HDI145" s="7"/>
      <c r="HDJ145" s="7"/>
      <c r="HDK145" s="7"/>
      <c r="HDL145" s="7"/>
      <c r="HDM145" s="7"/>
      <c r="HDN145" s="7"/>
      <c r="HDO145" s="7"/>
      <c r="HDP145" s="7"/>
      <c r="HDQ145" s="7"/>
      <c r="HDR145" s="7"/>
      <c r="HDS145" s="7"/>
      <c r="HDT145" s="7"/>
      <c r="HDU145" s="7"/>
      <c r="HDV145" s="7"/>
      <c r="HDW145" s="7"/>
      <c r="HDX145" s="7"/>
      <c r="HDY145" s="7"/>
      <c r="HDZ145" s="7"/>
      <c r="HEA145" s="7"/>
      <c r="HEB145" s="7"/>
      <c r="HEC145" s="7"/>
      <c r="HED145" s="7"/>
      <c r="HEE145" s="7"/>
      <c r="HEF145" s="7"/>
      <c r="HEG145" s="7"/>
      <c r="HEH145" s="7"/>
      <c r="HEI145" s="7"/>
      <c r="HEJ145" s="7"/>
      <c r="HEK145" s="7"/>
      <c r="HEL145" s="7"/>
      <c r="HEM145" s="7"/>
      <c r="HEN145" s="7"/>
      <c r="HEO145" s="7"/>
      <c r="HEP145" s="7"/>
      <c r="HEQ145" s="7"/>
      <c r="HER145" s="7"/>
      <c r="HES145" s="7"/>
      <c r="HET145" s="7"/>
      <c r="HEU145" s="7"/>
      <c r="HEV145" s="7"/>
      <c r="HEW145" s="7"/>
      <c r="HEX145" s="7"/>
      <c r="HEY145" s="7"/>
      <c r="HEZ145" s="7"/>
      <c r="HFA145" s="7"/>
      <c r="HFB145" s="7"/>
      <c r="HFC145" s="7"/>
      <c r="HFD145" s="7"/>
      <c r="HFE145" s="7"/>
      <c r="HFF145" s="7"/>
      <c r="HFG145" s="7"/>
      <c r="HFH145" s="7"/>
      <c r="HFI145" s="7"/>
      <c r="HFJ145" s="7"/>
      <c r="HFK145" s="7"/>
      <c r="HFL145" s="7"/>
      <c r="HFM145" s="7"/>
      <c r="HFN145" s="7"/>
      <c r="HFO145" s="7"/>
      <c r="HFP145" s="7"/>
      <c r="HFQ145" s="7"/>
      <c r="HFR145" s="7"/>
      <c r="HFS145" s="7"/>
      <c r="HFT145" s="7"/>
      <c r="HFU145" s="7"/>
      <c r="HFV145" s="7"/>
      <c r="HFW145" s="7"/>
      <c r="HFX145" s="7"/>
      <c r="HFY145" s="7"/>
      <c r="HFZ145" s="7"/>
      <c r="HGA145" s="7"/>
      <c r="HGB145" s="7"/>
      <c r="HGC145" s="7"/>
      <c r="HGD145" s="7"/>
      <c r="HGE145" s="7"/>
      <c r="HGF145" s="7"/>
      <c r="HGG145" s="7"/>
      <c r="HGH145" s="7"/>
      <c r="HGI145" s="7"/>
      <c r="HGJ145" s="7"/>
      <c r="HGK145" s="7"/>
      <c r="HGL145" s="7"/>
      <c r="HGM145" s="7"/>
      <c r="HGN145" s="7"/>
      <c r="HGO145" s="7"/>
      <c r="HGP145" s="7"/>
      <c r="HGQ145" s="7"/>
      <c r="HGR145" s="7"/>
      <c r="HGS145" s="7"/>
      <c r="HGT145" s="7"/>
      <c r="HGU145" s="7"/>
      <c r="HGV145" s="7"/>
      <c r="HGW145" s="7"/>
      <c r="HGX145" s="7"/>
      <c r="HGY145" s="7"/>
      <c r="HGZ145" s="7"/>
      <c r="HHA145" s="7"/>
      <c r="HHB145" s="7"/>
      <c r="HHC145" s="7"/>
      <c r="HHD145" s="7"/>
      <c r="HHE145" s="7"/>
      <c r="HHF145" s="7"/>
      <c r="HHG145" s="7"/>
      <c r="HHH145" s="7"/>
      <c r="HHI145" s="7"/>
      <c r="HHJ145" s="7"/>
      <c r="HHK145" s="7"/>
      <c r="HHL145" s="7"/>
      <c r="HHM145" s="7"/>
      <c r="HHN145" s="7"/>
      <c r="HHO145" s="7"/>
      <c r="HHP145" s="7"/>
      <c r="HHQ145" s="7"/>
      <c r="HHR145" s="7"/>
      <c r="HHS145" s="7"/>
      <c r="HHT145" s="7"/>
      <c r="HHU145" s="7"/>
      <c r="HHV145" s="7"/>
      <c r="HHW145" s="7"/>
      <c r="HHX145" s="7"/>
      <c r="HHY145" s="7"/>
      <c r="HHZ145" s="7"/>
      <c r="HIA145" s="7"/>
      <c r="HIB145" s="7"/>
      <c r="HIC145" s="7"/>
      <c r="HID145" s="7"/>
      <c r="HIE145" s="7"/>
      <c r="HIF145" s="7"/>
      <c r="HIG145" s="7"/>
      <c r="HIH145" s="7"/>
      <c r="HII145" s="7"/>
      <c r="HIJ145" s="7"/>
      <c r="HIK145" s="7"/>
      <c r="HIL145" s="7"/>
      <c r="HIM145" s="7"/>
      <c r="HIN145" s="7"/>
      <c r="HIO145" s="7"/>
      <c r="HIP145" s="7"/>
      <c r="HIQ145" s="7"/>
      <c r="HIR145" s="7"/>
      <c r="HIS145" s="7"/>
      <c r="HIT145" s="7"/>
      <c r="HIU145" s="7"/>
      <c r="HIV145" s="7"/>
      <c r="HIW145" s="7"/>
      <c r="HIX145" s="7"/>
      <c r="HIY145" s="7"/>
      <c r="HIZ145" s="7"/>
      <c r="HJA145" s="7"/>
      <c r="HJB145" s="7"/>
      <c r="HJC145" s="7"/>
      <c r="HJD145" s="7"/>
      <c r="HJE145" s="7"/>
      <c r="HJF145" s="7"/>
      <c r="HJG145" s="7"/>
      <c r="HJH145" s="7"/>
      <c r="HJI145" s="7"/>
      <c r="HJJ145" s="7"/>
      <c r="HJK145" s="7"/>
      <c r="HJL145" s="7"/>
      <c r="HJM145" s="7"/>
      <c r="HJN145" s="7"/>
      <c r="HJO145" s="7"/>
      <c r="HJP145" s="7"/>
      <c r="HJQ145" s="7"/>
      <c r="HJR145" s="7"/>
      <c r="HJS145" s="7"/>
      <c r="HJT145" s="7"/>
      <c r="HJU145" s="7"/>
      <c r="HJV145" s="7"/>
      <c r="HJW145" s="7"/>
      <c r="HJX145" s="7"/>
      <c r="HJY145" s="7"/>
      <c r="HJZ145" s="7"/>
      <c r="HKA145" s="7"/>
      <c r="HKB145" s="7"/>
      <c r="HKC145" s="7"/>
      <c r="HKD145" s="7"/>
      <c r="HKE145" s="7"/>
      <c r="HKF145" s="7"/>
      <c r="HKG145" s="7"/>
      <c r="HKH145" s="7"/>
      <c r="HKI145" s="7"/>
      <c r="HKJ145" s="7"/>
      <c r="HKK145" s="7"/>
      <c r="HKL145" s="7"/>
      <c r="HKM145" s="7"/>
      <c r="HKN145" s="7"/>
      <c r="HKO145" s="7"/>
      <c r="HKP145" s="7"/>
      <c r="HKQ145" s="7"/>
      <c r="HKR145" s="7"/>
      <c r="HKS145" s="7"/>
      <c r="HKT145" s="7"/>
      <c r="HKU145" s="7"/>
      <c r="HKV145" s="7"/>
      <c r="HKW145" s="7"/>
      <c r="HKX145" s="7"/>
      <c r="HKY145" s="7"/>
      <c r="HKZ145" s="7"/>
      <c r="HLA145" s="7"/>
      <c r="HLB145" s="7"/>
      <c r="HLC145" s="7"/>
      <c r="HLD145" s="7"/>
      <c r="HLE145" s="7"/>
      <c r="HLF145" s="7"/>
      <c r="HLG145" s="7"/>
      <c r="HLH145" s="7"/>
      <c r="HLI145" s="7"/>
      <c r="HLJ145" s="7"/>
      <c r="HLK145" s="7"/>
      <c r="HLL145" s="7"/>
      <c r="HLM145" s="7"/>
      <c r="HLN145" s="7"/>
      <c r="HLO145" s="7"/>
      <c r="HLP145" s="7"/>
      <c r="HLQ145" s="7"/>
      <c r="HLR145" s="7"/>
      <c r="HLS145" s="7"/>
      <c r="HLT145" s="7"/>
      <c r="HLU145" s="7"/>
      <c r="HLV145" s="7"/>
      <c r="HLW145" s="7"/>
      <c r="HLX145" s="7"/>
      <c r="HLY145" s="7"/>
      <c r="HLZ145" s="7"/>
      <c r="HMA145" s="7"/>
      <c r="HMB145" s="7"/>
      <c r="HMC145" s="7"/>
      <c r="HMD145" s="7"/>
      <c r="HME145" s="7"/>
      <c r="HMF145" s="7"/>
      <c r="HMG145" s="7"/>
      <c r="HMH145" s="7"/>
      <c r="HMI145" s="7"/>
      <c r="HMJ145" s="7"/>
      <c r="HMK145" s="7"/>
      <c r="HML145" s="7"/>
      <c r="HMM145" s="7"/>
      <c r="HMN145" s="7"/>
      <c r="HMO145" s="7"/>
      <c r="HMP145" s="7"/>
      <c r="HMQ145" s="7"/>
      <c r="HMR145" s="7"/>
      <c r="HMS145" s="7"/>
      <c r="HMT145" s="7"/>
      <c r="HMU145" s="7"/>
      <c r="HMV145" s="7"/>
      <c r="HMW145" s="7"/>
      <c r="HMX145" s="7"/>
      <c r="HMY145" s="7"/>
      <c r="HMZ145" s="7"/>
      <c r="HNA145" s="7"/>
      <c r="HNB145" s="7"/>
      <c r="HNC145" s="7"/>
      <c r="HND145" s="7"/>
      <c r="HNE145" s="7"/>
      <c r="HNF145" s="7"/>
      <c r="HNG145" s="7"/>
      <c r="HNH145" s="7"/>
      <c r="HNI145" s="7"/>
      <c r="HNJ145" s="7"/>
      <c r="HNK145" s="7"/>
      <c r="HNL145" s="7"/>
      <c r="HNM145" s="7"/>
      <c r="HNN145" s="7"/>
      <c r="HNO145" s="7"/>
      <c r="HNP145" s="7"/>
      <c r="HNQ145" s="7"/>
      <c r="HNR145" s="7"/>
      <c r="HNS145" s="7"/>
      <c r="HNT145" s="7"/>
      <c r="HNU145" s="7"/>
      <c r="HNV145" s="7"/>
      <c r="HNW145" s="7"/>
      <c r="HNX145" s="7"/>
      <c r="HNY145" s="7"/>
      <c r="HNZ145" s="7"/>
      <c r="HOA145" s="7"/>
      <c r="HOB145" s="7"/>
      <c r="HOC145" s="7"/>
      <c r="HOD145" s="7"/>
      <c r="HOE145" s="7"/>
      <c r="HOF145" s="7"/>
      <c r="HOG145" s="7"/>
      <c r="HOH145" s="7"/>
      <c r="HOI145" s="7"/>
      <c r="HOJ145" s="7"/>
      <c r="HOK145" s="7"/>
      <c r="HOL145" s="7"/>
      <c r="HOM145" s="7"/>
      <c r="HON145" s="7"/>
      <c r="HOO145" s="7"/>
      <c r="HOP145" s="7"/>
      <c r="HOQ145" s="7"/>
      <c r="HOR145" s="7"/>
      <c r="HOS145" s="7"/>
      <c r="HOT145" s="7"/>
      <c r="HOU145" s="7"/>
      <c r="HOV145" s="7"/>
      <c r="HOW145" s="7"/>
      <c r="HOX145" s="7"/>
      <c r="HOY145" s="7"/>
      <c r="HOZ145" s="7"/>
      <c r="HPA145" s="7"/>
      <c r="HPB145" s="7"/>
      <c r="HPC145" s="7"/>
      <c r="HPD145" s="7"/>
      <c r="HPE145" s="7"/>
      <c r="HPF145" s="7"/>
      <c r="HPG145" s="7"/>
      <c r="HPH145" s="7"/>
      <c r="HPI145" s="7"/>
      <c r="HPJ145" s="7"/>
      <c r="HPK145" s="7"/>
      <c r="HPL145" s="7"/>
      <c r="HPM145" s="7"/>
      <c r="HPN145" s="7"/>
      <c r="HPO145" s="7"/>
      <c r="HPP145" s="7"/>
      <c r="HPQ145" s="7"/>
      <c r="HPR145" s="7"/>
      <c r="HPS145" s="7"/>
      <c r="HPT145" s="7"/>
      <c r="HPU145" s="7"/>
      <c r="HPV145" s="7"/>
      <c r="HPW145" s="7"/>
      <c r="HPX145" s="7"/>
      <c r="HPY145" s="7"/>
      <c r="HPZ145" s="7"/>
      <c r="HQA145" s="7"/>
      <c r="HQB145" s="7"/>
      <c r="HQC145" s="7"/>
      <c r="HQD145" s="7"/>
      <c r="HQE145" s="7"/>
      <c r="HQF145" s="7"/>
      <c r="HQG145" s="7"/>
      <c r="HQH145" s="7"/>
      <c r="HQI145" s="7"/>
      <c r="HQJ145" s="7"/>
      <c r="HQK145" s="7"/>
      <c r="HQL145" s="7"/>
      <c r="HQM145" s="7"/>
      <c r="HQN145" s="7"/>
      <c r="HQO145" s="7"/>
      <c r="HQP145" s="7"/>
      <c r="HQQ145" s="7"/>
      <c r="HQR145" s="7"/>
      <c r="HQS145" s="7"/>
      <c r="HQT145" s="7"/>
      <c r="HQU145" s="7"/>
      <c r="HQV145" s="7"/>
      <c r="HQW145" s="7"/>
      <c r="HQX145" s="7"/>
      <c r="HQY145" s="7"/>
      <c r="HQZ145" s="7"/>
      <c r="HRA145" s="7"/>
      <c r="HRB145" s="7"/>
      <c r="HRC145" s="7"/>
      <c r="HRD145" s="7"/>
      <c r="HRE145" s="7"/>
      <c r="HRF145" s="7"/>
      <c r="HRG145" s="7"/>
      <c r="HRH145" s="7"/>
      <c r="HRI145" s="7"/>
      <c r="HRJ145" s="7"/>
      <c r="HRK145" s="7"/>
      <c r="HRL145" s="7"/>
      <c r="HRM145" s="7"/>
      <c r="HRN145" s="7"/>
      <c r="HRO145" s="7"/>
      <c r="HRP145" s="7"/>
      <c r="HRQ145" s="7"/>
      <c r="HRR145" s="7"/>
      <c r="HRS145" s="7"/>
      <c r="HRT145" s="7"/>
      <c r="HRU145" s="7"/>
      <c r="HRV145" s="7"/>
      <c r="HRW145" s="7"/>
      <c r="HRX145" s="7"/>
      <c r="HRY145" s="7"/>
      <c r="HRZ145" s="7"/>
      <c r="HSA145" s="7"/>
      <c r="HSB145" s="7"/>
      <c r="HSC145" s="7"/>
      <c r="HSD145" s="7"/>
      <c r="HSE145" s="7"/>
      <c r="HSF145" s="7"/>
      <c r="HSG145" s="7"/>
      <c r="HSH145" s="7"/>
      <c r="HSI145" s="7"/>
      <c r="HSJ145" s="7"/>
      <c r="HSK145" s="7"/>
      <c r="HSL145" s="7"/>
      <c r="HSM145" s="7"/>
      <c r="HSN145" s="7"/>
      <c r="HSO145" s="7"/>
      <c r="HSP145" s="7"/>
      <c r="HSQ145" s="7"/>
      <c r="HSR145" s="7"/>
      <c r="HSS145" s="7"/>
      <c r="HST145" s="7"/>
      <c r="HSU145" s="7"/>
      <c r="HSV145" s="7"/>
      <c r="HSW145" s="7"/>
      <c r="HSX145" s="7"/>
      <c r="HSY145" s="7"/>
      <c r="HSZ145" s="7"/>
      <c r="HTA145" s="7"/>
      <c r="HTB145" s="7"/>
      <c r="HTC145" s="7"/>
      <c r="HTD145" s="7"/>
      <c r="HTE145" s="7"/>
      <c r="HTF145" s="7"/>
      <c r="HTG145" s="7"/>
      <c r="HTH145" s="7"/>
      <c r="HTI145" s="7"/>
      <c r="HTJ145" s="7"/>
      <c r="HTK145" s="7"/>
      <c r="HTL145" s="7"/>
      <c r="HTM145" s="7"/>
      <c r="HTN145" s="7"/>
      <c r="HTO145" s="7"/>
      <c r="HTP145" s="7"/>
      <c r="HTQ145" s="7"/>
      <c r="HTR145" s="7"/>
      <c r="HTS145" s="7"/>
      <c r="HTT145" s="7"/>
      <c r="HTU145" s="7"/>
      <c r="HTV145" s="7"/>
      <c r="HTW145" s="7"/>
      <c r="HTX145" s="7"/>
      <c r="HTY145" s="7"/>
      <c r="HTZ145" s="7"/>
      <c r="HUA145" s="7"/>
      <c r="HUB145" s="7"/>
      <c r="HUC145" s="7"/>
      <c r="HUD145" s="7"/>
      <c r="HUE145" s="7"/>
      <c r="HUF145" s="7"/>
      <c r="HUG145" s="7"/>
      <c r="HUH145" s="7"/>
      <c r="HUI145" s="7"/>
      <c r="HUJ145" s="7"/>
      <c r="HUK145" s="7"/>
      <c r="HUL145" s="7"/>
      <c r="HUM145" s="7"/>
      <c r="HUN145" s="7"/>
      <c r="HUO145" s="7"/>
      <c r="HUP145" s="7"/>
      <c r="HUQ145" s="7"/>
      <c r="HUR145" s="7"/>
      <c r="HUS145" s="7"/>
      <c r="HUT145" s="7"/>
      <c r="HUU145" s="7"/>
      <c r="HUV145" s="7"/>
      <c r="HUW145" s="7"/>
      <c r="HUX145" s="7"/>
      <c r="HUY145" s="7"/>
      <c r="HUZ145" s="7"/>
      <c r="HVA145" s="7"/>
      <c r="HVB145" s="7"/>
      <c r="HVC145" s="7"/>
      <c r="HVD145" s="7"/>
      <c r="HVE145" s="7"/>
      <c r="HVF145" s="7"/>
      <c r="HVG145" s="7"/>
      <c r="HVH145" s="7"/>
      <c r="HVI145" s="7"/>
      <c r="HVJ145" s="7"/>
      <c r="HVK145" s="7"/>
      <c r="HVL145" s="7"/>
      <c r="HVM145" s="7"/>
      <c r="HVN145" s="7"/>
      <c r="HVO145" s="7"/>
      <c r="HVP145" s="7"/>
      <c r="HVQ145" s="7"/>
      <c r="HVR145" s="7"/>
      <c r="HVS145" s="7"/>
      <c r="HVT145" s="7"/>
      <c r="HVU145" s="7"/>
      <c r="HVV145" s="7"/>
      <c r="HVW145" s="7"/>
      <c r="HVX145" s="7"/>
      <c r="HVY145" s="7"/>
      <c r="HVZ145" s="7"/>
      <c r="HWA145" s="7"/>
      <c r="HWB145" s="7"/>
      <c r="HWC145" s="7"/>
      <c r="HWD145" s="7"/>
      <c r="HWE145" s="7"/>
      <c r="HWF145" s="7"/>
      <c r="HWG145" s="7"/>
      <c r="HWH145" s="7"/>
      <c r="HWI145" s="7"/>
      <c r="HWJ145" s="7"/>
      <c r="HWK145" s="7"/>
      <c r="HWL145" s="7"/>
      <c r="HWM145" s="7"/>
      <c r="HWN145" s="7"/>
      <c r="HWO145" s="7"/>
      <c r="HWP145" s="7"/>
      <c r="HWQ145" s="7"/>
      <c r="HWR145" s="7"/>
      <c r="HWS145" s="7"/>
      <c r="HWT145" s="7"/>
      <c r="HWU145" s="7"/>
      <c r="HWV145" s="7"/>
      <c r="HWW145" s="7"/>
      <c r="HWX145" s="7"/>
      <c r="HWY145" s="7"/>
      <c r="HWZ145" s="7"/>
      <c r="HXA145" s="7"/>
      <c r="HXB145" s="7"/>
      <c r="HXC145" s="7"/>
      <c r="HXD145" s="7"/>
      <c r="HXE145" s="7"/>
      <c r="HXF145" s="7"/>
      <c r="HXG145" s="7"/>
      <c r="HXH145" s="7"/>
      <c r="HXI145" s="7"/>
      <c r="HXJ145" s="7"/>
      <c r="HXK145" s="7"/>
      <c r="HXL145" s="7"/>
      <c r="HXM145" s="7"/>
      <c r="HXN145" s="7"/>
      <c r="HXO145" s="7"/>
      <c r="HXP145" s="7"/>
      <c r="HXQ145" s="7"/>
      <c r="HXR145" s="7"/>
      <c r="HXS145" s="7"/>
      <c r="HXT145" s="7"/>
      <c r="HXU145" s="7"/>
      <c r="HXV145" s="7"/>
      <c r="HXW145" s="7"/>
      <c r="HXX145" s="7"/>
      <c r="HXY145" s="7"/>
      <c r="HXZ145" s="7"/>
      <c r="HYA145" s="7"/>
      <c r="HYB145" s="7"/>
      <c r="HYC145" s="7"/>
      <c r="HYD145" s="7"/>
      <c r="HYE145" s="7"/>
      <c r="HYF145" s="7"/>
      <c r="HYG145" s="7"/>
      <c r="HYH145" s="7"/>
      <c r="HYI145" s="7"/>
      <c r="HYJ145" s="7"/>
      <c r="HYK145" s="7"/>
      <c r="HYL145" s="7"/>
      <c r="HYM145" s="7"/>
      <c r="HYN145" s="7"/>
      <c r="HYO145" s="7"/>
      <c r="HYP145" s="7"/>
      <c r="HYQ145" s="7"/>
      <c r="HYR145" s="7"/>
      <c r="HYS145" s="7"/>
      <c r="HYT145" s="7"/>
      <c r="HYU145" s="7"/>
      <c r="HYV145" s="7"/>
      <c r="HYW145" s="7"/>
      <c r="HYX145" s="7"/>
      <c r="HYY145" s="7"/>
      <c r="HYZ145" s="7"/>
      <c r="HZA145" s="7"/>
      <c r="HZB145" s="7"/>
      <c r="HZC145" s="7"/>
      <c r="HZD145" s="7"/>
      <c r="HZE145" s="7"/>
      <c r="HZF145" s="7"/>
      <c r="HZG145" s="7"/>
      <c r="HZH145" s="7"/>
      <c r="HZI145" s="7"/>
      <c r="HZJ145" s="7"/>
      <c r="HZK145" s="7"/>
      <c r="HZL145" s="7"/>
      <c r="HZM145" s="7"/>
      <c r="HZN145" s="7"/>
      <c r="HZO145" s="7"/>
      <c r="HZP145" s="7"/>
      <c r="HZQ145" s="7"/>
      <c r="HZR145" s="7"/>
      <c r="HZS145" s="7"/>
      <c r="HZT145" s="7"/>
      <c r="HZU145" s="7"/>
      <c r="HZV145" s="7"/>
      <c r="HZW145" s="7"/>
      <c r="HZX145" s="7"/>
      <c r="HZY145" s="7"/>
      <c r="HZZ145" s="7"/>
      <c r="IAA145" s="7"/>
      <c r="IAB145" s="7"/>
      <c r="IAC145" s="7"/>
      <c r="IAD145" s="7"/>
      <c r="IAE145" s="7"/>
      <c r="IAF145" s="7"/>
      <c r="IAG145" s="7"/>
      <c r="IAH145" s="7"/>
      <c r="IAI145" s="7"/>
      <c r="IAJ145" s="7"/>
      <c r="IAK145" s="7"/>
      <c r="IAL145" s="7"/>
      <c r="IAM145" s="7"/>
      <c r="IAN145" s="7"/>
      <c r="IAO145" s="7"/>
      <c r="IAP145" s="7"/>
      <c r="IAQ145" s="7"/>
      <c r="IAR145" s="7"/>
      <c r="IAS145" s="7"/>
      <c r="IAT145" s="7"/>
      <c r="IAU145" s="7"/>
      <c r="IAV145" s="7"/>
      <c r="IAW145" s="7"/>
      <c r="IAX145" s="7"/>
      <c r="IAY145" s="7"/>
      <c r="IAZ145" s="7"/>
      <c r="IBA145" s="7"/>
      <c r="IBB145" s="7"/>
      <c r="IBC145" s="7"/>
      <c r="IBD145" s="7"/>
      <c r="IBE145" s="7"/>
      <c r="IBF145" s="7"/>
      <c r="IBG145" s="7"/>
      <c r="IBH145" s="7"/>
      <c r="IBI145" s="7"/>
      <c r="IBJ145" s="7"/>
      <c r="IBK145" s="7"/>
      <c r="IBL145" s="7"/>
      <c r="IBM145" s="7"/>
      <c r="IBN145" s="7"/>
      <c r="IBO145" s="7"/>
      <c r="IBP145" s="7"/>
      <c r="IBQ145" s="7"/>
      <c r="IBR145" s="7"/>
      <c r="IBS145" s="7"/>
      <c r="IBT145" s="7"/>
      <c r="IBU145" s="7"/>
      <c r="IBV145" s="7"/>
      <c r="IBW145" s="7"/>
      <c r="IBX145" s="7"/>
      <c r="IBY145" s="7"/>
      <c r="IBZ145" s="7"/>
      <c r="ICA145" s="7"/>
      <c r="ICB145" s="7"/>
      <c r="ICC145" s="7"/>
      <c r="ICD145" s="7"/>
      <c r="ICE145" s="7"/>
      <c r="ICF145" s="7"/>
      <c r="ICG145" s="7"/>
      <c r="ICH145" s="7"/>
      <c r="ICI145" s="7"/>
      <c r="ICJ145" s="7"/>
      <c r="ICK145" s="7"/>
      <c r="ICL145" s="7"/>
      <c r="ICM145" s="7"/>
      <c r="ICN145" s="7"/>
      <c r="ICO145" s="7"/>
      <c r="ICP145" s="7"/>
      <c r="ICQ145" s="7"/>
      <c r="ICR145" s="7"/>
      <c r="ICS145" s="7"/>
      <c r="ICT145" s="7"/>
      <c r="ICU145" s="7"/>
      <c r="ICV145" s="7"/>
      <c r="ICW145" s="7"/>
      <c r="ICX145" s="7"/>
      <c r="ICY145" s="7"/>
      <c r="ICZ145" s="7"/>
      <c r="IDA145" s="7"/>
      <c r="IDB145" s="7"/>
      <c r="IDC145" s="7"/>
      <c r="IDD145" s="7"/>
      <c r="IDE145" s="7"/>
      <c r="IDF145" s="7"/>
      <c r="IDG145" s="7"/>
      <c r="IDH145" s="7"/>
      <c r="IDI145" s="7"/>
      <c r="IDJ145" s="7"/>
      <c r="IDK145" s="7"/>
      <c r="IDL145" s="7"/>
      <c r="IDM145" s="7"/>
      <c r="IDN145" s="7"/>
      <c r="IDO145" s="7"/>
      <c r="IDP145" s="7"/>
      <c r="IDQ145" s="7"/>
      <c r="IDR145" s="7"/>
      <c r="IDS145" s="7"/>
      <c r="IDT145" s="7"/>
      <c r="IDU145" s="7"/>
      <c r="IDV145" s="7"/>
      <c r="IDW145" s="7"/>
      <c r="IDX145" s="7"/>
      <c r="IDY145" s="7"/>
      <c r="IDZ145" s="7"/>
      <c r="IEA145" s="7"/>
      <c r="IEB145" s="7"/>
      <c r="IEC145" s="7"/>
      <c r="IED145" s="7"/>
      <c r="IEE145" s="7"/>
      <c r="IEF145" s="7"/>
      <c r="IEG145" s="7"/>
      <c r="IEH145" s="7"/>
      <c r="IEI145" s="7"/>
      <c r="IEJ145" s="7"/>
      <c r="IEK145" s="7"/>
      <c r="IEL145" s="7"/>
      <c r="IEM145" s="7"/>
      <c r="IEN145" s="7"/>
      <c r="IEO145" s="7"/>
      <c r="IEP145" s="7"/>
      <c r="IEQ145" s="7"/>
      <c r="IER145" s="7"/>
      <c r="IES145" s="7"/>
      <c r="IET145" s="7"/>
      <c r="IEU145" s="7"/>
      <c r="IEV145" s="7"/>
      <c r="IEW145" s="7"/>
      <c r="IEX145" s="7"/>
      <c r="IEY145" s="7"/>
      <c r="IEZ145" s="7"/>
      <c r="IFA145" s="7"/>
      <c r="IFB145" s="7"/>
      <c r="IFC145" s="7"/>
      <c r="IFD145" s="7"/>
      <c r="IFE145" s="7"/>
      <c r="IFF145" s="7"/>
      <c r="IFG145" s="7"/>
      <c r="IFH145" s="7"/>
      <c r="IFI145" s="7"/>
      <c r="IFJ145" s="7"/>
      <c r="IFK145" s="7"/>
      <c r="IFL145" s="7"/>
      <c r="IFM145" s="7"/>
      <c r="IFN145" s="7"/>
      <c r="IFO145" s="7"/>
      <c r="IFP145" s="7"/>
      <c r="IFQ145" s="7"/>
      <c r="IFR145" s="7"/>
      <c r="IFS145" s="7"/>
      <c r="IFT145" s="7"/>
      <c r="IFU145" s="7"/>
      <c r="IFV145" s="7"/>
      <c r="IFW145" s="7"/>
      <c r="IFX145" s="7"/>
      <c r="IFY145" s="7"/>
      <c r="IFZ145" s="7"/>
      <c r="IGA145" s="7"/>
      <c r="IGB145" s="7"/>
      <c r="IGC145" s="7"/>
      <c r="IGD145" s="7"/>
      <c r="IGE145" s="7"/>
      <c r="IGF145" s="7"/>
      <c r="IGG145" s="7"/>
      <c r="IGH145" s="7"/>
      <c r="IGI145" s="7"/>
      <c r="IGJ145" s="7"/>
      <c r="IGK145" s="7"/>
      <c r="IGL145" s="7"/>
      <c r="IGM145" s="7"/>
      <c r="IGN145" s="7"/>
      <c r="IGO145" s="7"/>
      <c r="IGP145" s="7"/>
      <c r="IGQ145" s="7"/>
      <c r="IGR145" s="7"/>
      <c r="IGS145" s="7"/>
      <c r="IGT145" s="7"/>
      <c r="IGU145" s="7"/>
      <c r="IGV145" s="7"/>
      <c r="IGW145" s="7"/>
      <c r="IGX145" s="7"/>
      <c r="IGY145" s="7"/>
      <c r="IGZ145" s="7"/>
      <c r="IHA145" s="7"/>
      <c r="IHB145" s="7"/>
      <c r="IHC145" s="7"/>
      <c r="IHD145" s="7"/>
      <c r="IHE145" s="7"/>
      <c r="IHF145" s="7"/>
      <c r="IHG145" s="7"/>
      <c r="IHH145" s="7"/>
      <c r="IHI145" s="7"/>
      <c r="IHJ145" s="7"/>
      <c r="IHK145" s="7"/>
      <c r="IHL145" s="7"/>
      <c r="IHM145" s="7"/>
      <c r="IHN145" s="7"/>
      <c r="IHO145" s="7"/>
      <c r="IHP145" s="7"/>
      <c r="IHQ145" s="7"/>
      <c r="IHR145" s="7"/>
      <c r="IHS145" s="7"/>
      <c r="IHT145" s="7"/>
      <c r="IHU145" s="7"/>
      <c r="IHV145" s="7"/>
      <c r="IHW145" s="7"/>
      <c r="IHX145" s="7"/>
      <c r="IHY145" s="7"/>
      <c r="IHZ145" s="7"/>
      <c r="IIA145" s="7"/>
      <c r="IIB145" s="7"/>
      <c r="IIC145" s="7"/>
      <c r="IID145" s="7"/>
      <c r="IIE145" s="7"/>
      <c r="IIF145" s="7"/>
      <c r="IIG145" s="7"/>
      <c r="IIH145" s="7"/>
      <c r="III145" s="7"/>
      <c r="IIJ145" s="7"/>
      <c r="IIK145" s="7"/>
      <c r="IIL145" s="7"/>
      <c r="IIM145" s="7"/>
      <c r="IIN145" s="7"/>
      <c r="IIO145" s="7"/>
      <c r="IIP145" s="7"/>
      <c r="IIQ145" s="7"/>
      <c r="IIR145" s="7"/>
      <c r="IIS145" s="7"/>
      <c r="IIT145" s="7"/>
      <c r="IIU145" s="7"/>
      <c r="IIV145" s="7"/>
      <c r="IIW145" s="7"/>
      <c r="IIX145" s="7"/>
      <c r="IIY145" s="7"/>
      <c r="IIZ145" s="7"/>
      <c r="IJA145" s="7"/>
      <c r="IJB145" s="7"/>
      <c r="IJC145" s="7"/>
      <c r="IJD145" s="7"/>
      <c r="IJE145" s="7"/>
      <c r="IJF145" s="7"/>
      <c r="IJG145" s="7"/>
      <c r="IJH145" s="7"/>
      <c r="IJI145" s="7"/>
      <c r="IJJ145" s="7"/>
      <c r="IJK145" s="7"/>
      <c r="IJL145" s="7"/>
      <c r="IJM145" s="7"/>
      <c r="IJN145" s="7"/>
      <c r="IJO145" s="7"/>
      <c r="IJP145" s="7"/>
      <c r="IJQ145" s="7"/>
      <c r="IJR145" s="7"/>
      <c r="IJS145" s="7"/>
      <c r="IJT145" s="7"/>
      <c r="IJU145" s="7"/>
      <c r="IJV145" s="7"/>
      <c r="IJW145" s="7"/>
      <c r="IJX145" s="7"/>
      <c r="IJY145" s="7"/>
      <c r="IJZ145" s="7"/>
      <c r="IKA145" s="7"/>
      <c r="IKB145" s="7"/>
      <c r="IKC145" s="7"/>
      <c r="IKD145" s="7"/>
      <c r="IKE145" s="7"/>
      <c r="IKF145" s="7"/>
      <c r="IKG145" s="7"/>
      <c r="IKH145" s="7"/>
      <c r="IKI145" s="7"/>
      <c r="IKJ145" s="7"/>
      <c r="IKK145" s="7"/>
      <c r="IKL145" s="7"/>
      <c r="IKM145" s="7"/>
      <c r="IKN145" s="7"/>
      <c r="IKO145" s="7"/>
      <c r="IKP145" s="7"/>
      <c r="IKQ145" s="7"/>
      <c r="IKR145" s="7"/>
      <c r="IKS145" s="7"/>
      <c r="IKT145" s="7"/>
      <c r="IKU145" s="7"/>
      <c r="IKV145" s="7"/>
      <c r="IKW145" s="7"/>
      <c r="IKX145" s="7"/>
      <c r="IKY145" s="7"/>
      <c r="IKZ145" s="7"/>
      <c r="ILA145" s="7"/>
      <c r="ILB145" s="7"/>
      <c r="ILC145" s="7"/>
      <c r="ILD145" s="7"/>
      <c r="ILE145" s="7"/>
      <c r="ILF145" s="7"/>
      <c r="ILG145" s="7"/>
      <c r="ILH145" s="7"/>
      <c r="ILI145" s="7"/>
      <c r="ILJ145" s="7"/>
      <c r="ILK145" s="7"/>
      <c r="ILL145" s="7"/>
      <c r="ILM145" s="7"/>
      <c r="ILN145" s="7"/>
      <c r="ILO145" s="7"/>
      <c r="ILP145" s="7"/>
      <c r="ILQ145" s="7"/>
      <c r="ILR145" s="7"/>
      <c r="ILS145" s="7"/>
      <c r="ILT145" s="7"/>
      <c r="ILU145" s="7"/>
      <c r="ILV145" s="7"/>
      <c r="ILW145" s="7"/>
      <c r="ILX145" s="7"/>
      <c r="ILY145" s="7"/>
      <c r="ILZ145" s="7"/>
      <c r="IMA145" s="7"/>
      <c r="IMB145" s="7"/>
      <c r="IMC145" s="7"/>
      <c r="IMD145" s="7"/>
      <c r="IME145" s="7"/>
      <c r="IMF145" s="7"/>
      <c r="IMG145" s="7"/>
      <c r="IMH145" s="7"/>
      <c r="IMI145" s="7"/>
      <c r="IMJ145" s="7"/>
      <c r="IMK145" s="7"/>
      <c r="IML145" s="7"/>
      <c r="IMM145" s="7"/>
      <c r="IMN145" s="7"/>
      <c r="IMO145" s="7"/>
      <c r="IMP145" s="7"/>
      <c r="IMQ145" s="7"/>
      <c r="IMR145" s="7"/>
      <c r="IMS145" s="7"/>
      <c r="IMT145" s="7"/>
      <c r="IMU145" s="7"/>
      <c r="IMV145" s="7"/>
      <c r="IMW145" s="7"/>
      <c r="IMX145" s="7"/>
      <c r="IMY145" s="7"/>
      <c r="IMZ145" s="7"/>
      <c r="INA145" s="7"/>
      <c r="INB145" s="7"/>
      <c r="INC145" s="7"/>
      <c r="IND145" s="7"/>
      <c r="INE145" s="7"/>
      <c r="INF145" s="7"/>
      <c r="ING145" s="7"/>
      <c r="INH145" s="7"/>
      <c r="INI145" s="7"/>
      <c r="INJ145" s="7"/>
      <c r="INK145" s="7"/>
      <c r="INL145" s="7"/>
      <c r="INM145" s="7"/>
      <c r="INN145" s="7"/>
      <c r="INO145" s="7"/>
      <c r="INP145" s="7"/>
      <c r="INQ145" s="7"/>
      <c r="INR145" s="7"/>
      <c r="INS145" s="7"/>
      <c r="INT145" s="7"/>
      <c r="INU145" s="7"/>
      <c r="INV145" s="7"/>
      <c r="INW145" s="7"/>
      <c r="INX145" s="7"/>
      <c r="INY145" s="7"/>
      <c r="INZ145" s="7"/>
      <c r="IOA145" s="7"/>
      <c r="IOB145" s="7"/>
      <c r="IOC145" s="7"/>
      <c r="IOD145" s="7"/>
      <c r="IOE145" s="7"/>
      <c r="IOF145" s="7"/>
      <c r="IOG145" s="7"/>
      <c r="IOH145" s="7"/>
      <c r="IOI145" s="7"/>
      <c r="IOJ145" s="7"/>
      <c r="IOK145" s="7"/>
      <c r="IOL145" s="7"/>
      <c r="IOM145" s="7"/>
      <c r="ION145" s="7"/>
      <c r="IOO145" s="7"/>
      <c r="IOP145" s="7"/>
      <c r="IOQ145" s="7"/>
      <c r="IOR145" s="7"/>
      <c r="IOS145" s="7"/>
      <c r="IOT145" s="7"/>
      <c r="IOU145" s="7"/>
      <c r="IOV145" s="7"/>
      <c r="IOW145" s="7"/>
      <c r="IOX145" s="7"/>
      <c r="IOY145" s="7"/>
      <c r="IOZ145" s="7"/>
      <c r="IPA145" s="7"/>
      <c r="IPB145" s="7"/>
      <c r="IPC145" s="7"/>
      <c r="IPD145" s="7"/>
      <c r="IPE145" s="7"/>
      <c r="IPF145" s="7"/>
      <c r="IPG145" s="7"/>
      <c r="IPH145" s="7"/>
      <c r="IPI145" s="7"/>
      <c r="IPJ145" s="7"/>
      <c r="IPK145" s="7"/>
      <c r="IPL145" s="7"/>
      <c r="IPM145" s="7"/>
      <c r="IPN145" s="7"/>
      <c r="IPO145" s="7"/>
      <c r="IPP145" s="7"/>
      <c r="IPQ145" s="7"/>
      <c r="IPR145" s="7"/>
      <c r="IPS145" s="7"/>
      <c r="IPT145" s="7"/>
      <c r="IPU145" s="7"/>
      <c r="IPV145" s="7"/>
      <c r="IPW145" s="7"/>
      <c r="IPX145" s="7"/>
      <c r="IPY145" s="7"/>
      <c r="IPZ145" s="7"/>
      <c r="IQA145" s="7"/>
      <c r="IQB145" s="7"/>
      <c r="IQC145" s="7"/>
      <c r="IQD145" s="7"/>
      <c r="IQE145" s="7"/>
      <c r="IQF145" s="7"/>
      <c r="IQG145" s="7"/>
      <c r="IQH145" s="7"/>
      <c r="IQI145" s="7"/>
      <c r="IQJ145" s="7"/>
      <c r="IQK145" s="7"/>
      <c r="IQL145" s="7"/>
      <c r="IQM145" s="7"/>
      <c r="IQN145" s="7"/>
      <c r="IQO145" s="7"/>
      <c r="IQP145" s="7"/>
      <c r="IQQ145" s="7"/>
      <c r="IQR145" s="7"/>
      <c r="IQS145" s="7"/>
      <c r="IQT145" s="7"/>
      <c r="IQU145" s="7"/>
      <c r="IQV145" s="7"/>
      <c r="IQW145" s="7"/>
      <c r="IQX145" s="7"/>
      <c r="IQY145" s="7"/>
      <c r="IQZ145" s="7"/>
      <c r="IRA145" s="7"/>
      <c r="IRB145" s="7"/>
      <c r="IRC145" s="7"/>
      <c r="IRD145" s="7"/>
      <c r="IRE145" s="7"/>
      <c r="IRF145" s="7"/>
      <c r="IRG145" s="7"/>
      <c r="IRH145" s="7"/>
      <c r="IRI145" s="7"/>
      <c r="IRJ145" s="7"/>
      <c r="IRK145" s="7"/>
      <c r="IRL145" s="7"/>
      <c r="IRM145" s="7"/>
      <c r="IRN145" s="7"/>
      <c r="IRO145" s="7"/>
      <c r="IRP145" s="7"/>
      <c r="IRQ145" s="7"/>
      <c r="IRR145" s="7"/>
      <c r="IRS145" s="7"/>
      <c r="IRT145" s="7"/>
      <c r="IRU145" s="7"/>
      <c r="IRV145" s="7"/>
      <c r="IRW145" s="7"/>
      <c r="IRX145" s="7"/>
      <c r="IRY145" s="7"/>
      <c r="IRZ145" s="7"/>
      <c r="ISA145" s="7"/>
      <c r="ISB145" s="7"/>
      <c r="ISC145" s="7"/>
      <c r="ISD145" s="7"/>
      <c r="ISE145" s="7"/>
      <c r="ISF145" s="7"/>
      <c r="ISG145" s="7"/>
      <c r="ISH145" s="7"/>
      <c r="ISI145" s="7"/>
      <c r="ISJ145" s="7"/>
      <c r="ISK145" s="7"/>
      <c r="ISL145" s="7"/>
      <c r="ISM145" s="7"/>
      <c r="ISN145" s="7"/>
      <c r="ISO145" s="7"/>
      <c r="ISP145" s="7"/>
      <c r="ISQ145" s="7"/>
      <c r="ISR145" s="7"/>
      <c r="ISS145" s="7"/>
      <c r="IST145" s="7"/>
      <c r="ISU145" s="7"/>
      <c r="ISV145" s="7"/>
      <c r="ISW145" s="7"/>
      <c r="ISX145" s="7"/>
      <c r="ISY145" s="7"/>
      <c r="ISZ145" s="7"/>
      <c r="ITA145" s="7"/>
      <c r="ITB145" s="7"/>
      <c r="ITC145" s="7"/>
      <c r="ITD145" s="7"/>
      <c r="ITE145" s="7"/>
      <c r="ITF145" s="7"/>
      <c r="ITG145" s="7"/>
      <c r="ITH145" s="7"/>
      <c r="ITI145" s="7"/>
      <c r="ITJ145" s="7"/>
      <c r="ITK145" s="7"/>
      <c r="ITL145" s="7"/>
      <c r="ITM145" s="7"/>
      <c r="ITN145" s="7"/>
      <c r="ITO145" s="7"/>
      <c r="ITP145" s="7"/>
      <c r="ITQ145" s="7"/>
      <c r="ITR145" s="7"/>
      <c r="ITS145" s="7"/>
      <c r="ITT145" s="7"/>
      <c r="ITU145" s="7"/>
      <c r="ITV145" s="7"/>
      <c r="ITW145" s="7"/>
      <c r="ITX145" s="7"/>
      <c r="ITY145" s="7"/>
      <c r="ITZ145" s="7"/>
      <c r="IUA145" s="7"/>
      <c r="IUB145" s="7"/>
      <c r="IUC145" s="7"/>
      <c r="IUD145" s="7"/>
      <c r="IUE145" s="7"/>
      <c r="IUF145" s="7"/>
      <c r="IUG145" s="7"/>
      <c r="IUH145" s="7"/>
      <c r="IUI145" s="7"/>
      <c r="IUJ145" s="7"/>
      <c r="IUK145" s="7"/>
      <c r="IUL145" s="7"/>
      <c r="IUM145" s="7"/>
      <c r="IUN145" s="7"/>
      <c r="IUO145" s="7"/>
      <c r="IUP145" s="7"/>
      <c r="IUQ145" s="7"/>
      <c r="IUR145" s="7"/>
      <c r="IUS145" s="7"/>
      <c r="IUT145" s="7"/>
      <c r="IUU145" s="7"/>
      <c r="IUV145" s="7"/>
      <c r="IUW145" s="7"/>
      <c r="IUX145" s="7"/>
      <c r="IUY145" s="7"/>
      <c r="IUZ145" s="7"/>
      <c r="IVA145" s="7"/>
      <c r="IVB145" s="7"/>
      <c r="IVC145" s="7"/>
      <c r="IVD145" s="7"/>
      <c r="IVE145" s="7"/>
      <c r="IVF145" s="7"/>
      <c r="IVG145" s="7"/>
      <c r="IVH145" s="7"/>
      <c r="IVI145" s="7"/>
      <c r="IVJ145" s="7"/>
      <c r="IVK145" s="7"/>
      <c r="IVL145" s="7"/>
      <c r="IVM145" s="7"/>
      <c r="IVN145" s="7"/>
      <c r="IVO145" s="7"/>
      <c r="IVP145" s="7"/>
      <c r="IVQ145" s="7"/>
      <c r="IVR145" s="7"/>
      <c r="IVS145" s="7"/>
      <c r="IVT145" s="7"/>
      <c r="IVU145" s="7"/>
      <c r="IVV145" s="7"/>
      <c r="IVW145" s="7"/>
      <c r="IVX145" s="7"/>
      <c r="IVY145" s="7"/>
      <c r="IVZ145" s="7"/>
      <c r="IWA145" s="7"/>
      <c r="IWB145" s="7"/>
      <c r="IWC145" s="7"/>
      <c r="IWD145" s="7"/>
      <c r="IWE145" s="7"/>
      <c r="IWF145" s="7"/>
      <c r="IWG145" s="7"/>
      <c r="IWH145" s="7"/>
      <c r="IWI145" s="7"/>
      <c r="IWJ145" s="7"/>
      <c r="IWK145" s="7"/>
      <c r="IWL145" s="7"/>
      <c r="IWM145" s="7"/>
      <c r="IWN145" s="7"/>
      <c r="IWO145" s="7"/>
      <c r="IWP145" s="7"/>
      <c r="IWQ145" s="7"/>
      <c r="IWR145" s="7"/>
      <c r="IWS145" s="7"/>
      <c r="IWT145" s="7"/>
      <c r="IWU145" s="7"/>
      <c r="IWV145" s="7"/>
      <c r="IWW145" s="7"/>
      <c r="IWX145" s="7"/>
      <c r="IWY145" s="7"/>
      <c r="IWZ145" s="7"/>
      <c r="IXA145" s="7"/>
      <c r="IXB145" s="7"/>
      <c r="IXC145" s="7"/>
      <c r="IXD145" s="7"/>
      <c r="IXE145" s="7"/>
      <c r="IXF145" s="7"/>
      <c r="IXG145" s="7"/>
      <c r="IXH145" s="7"/>
      <c r="IXI145" s="7"/>
      <c r="IXJ145" s="7"/>
      <c r="IXK145" s="7"/>
      <c r="IXL145" s="7"/>
      <c r="IXM145" s="7"/>
      <c r="IXN145" s="7"/>
      <c r="IXO145" s="7"/>
      <c r="IXP145" s="7"/>
      <c r="IXQ145" s="7"/>
      <c r="IXR145" s="7"/>
      <c r="IXS145" s="7"/>
      <c r="IXT145" s="7"/>
      <c r="IXU145" s="7"/>
      <c r="IXV145" s="7"/>
      <c r="IXW145" s="7"/>
      <c r="IXX145" s="7"/>
      <c r="IXY145" s="7"/>
      <c r="IXZ145" s="7"/>
      <c r="IYA145" s="7"/>
      <c r="IYB145" s="7"/>
      <c r="IYC145" s="7"/>
      <c r="IYD145" s="7"/>
      <c r="IYE145" s="7"/>
      <c r="IYF145" s="7"/>
      <c r="IYG145" s="7"/>
      <c r="IYH145" s="7"/>
      <c r="IYI145" s="7"/>
      <c r="IYJ145" s="7"/>
      <c r="IYK145" s="7"/>
      <c r="IYL145" s="7"/>
      <c r="IYM145" s="7"/>
      <c r="IYN145" s="7"/>
      <c r="IYO145" s="7"/>
      <c r="IYP145" s="7"/>
      <c r="IYQ145" s="7"/>
      <c r="IYR145" s="7"/>
      <c r="IYS145" s="7"/>
      <c r="IYT145" s="7"/>
      <c r="IYU145" s="7"/>
      <c r="IYV145" s="7"/>
      <c r="IYW145" s="7"/>
      <c r="IYX145" s="7"/>
      <c r="IYY145" s="7"/>
      <c r="IYZ145" s="7"/>
      <c r="IZA145" s="7"/>
      <c r="IZB145" s="7"/>
      <c r="IZC145" s="7"/>
      <c r="IZD145" s="7"/>
      <c r="IZE145" s="7"/>
      <c r="IZF145" s="7"/>
      <c r="IZG145" s="7"/>
      <c r="IZH145" s="7"/>
      <c r="IZI145" s="7"/>
      <c r="IZJ145" s="7"/>
      <c r="IZK145" s="7"/>
      <c r="IZL145" s="7"/>
      <c r="IZM145" s="7"/>
      <c r="IZN145" s="7"/>
      <c r="IZO145" s="7"/>
      <c r="IZP145" s="7"/>
      <c r="IZQ145" s="7"/>
      <c r="IZR145" s="7"/>
      <c r="IZS145" s="7"/>
      <c r="IZT145" s="7"/>
      <c r="IZU145" s="7"/>
      <c r="IZV145" s="7"/>
      <c r="IZW145" s="7"/>
      <c r="IZX145" s="7"/>
      <c r="IZY145" s="7"/>
      <c r="IZZ145" s="7"/>
      <c r="JAA145" s="7"/>
      <c r="JAB145" s="7"/>
      <c r="JAC145" s="7"/>
      <c r="JAD145" s="7"/>
      <c r="JAE145" s="7"/>
      <c r="JAF145" s="7"/>
      <c r="JAG145" s="7"/>
      <c r="JAH145" s="7"/>
      <c r="JAI145" s="7"/>
      <c r="JAJ145" s="7"/>
      <c r="JAK145" s="7"/>
      <c r="JAL145" s="7"/>
      <c r="JAM145" s="7"/>
      <c r="JAN145" s="7"/>
      <c r="JAO145" s="7"/>
      <c r="JAP145" s="7"/>
      <c r="JAQ145" s="7"/>
      <c r="JAR145" s="7"/>
      <c r="JAS145" s="7"/>
      <c r="JAT145" s="7"/>
      <c r="JAU145" s="7"/>
      <c r="JAV145" s="7"/>
      <c r="JAW145" s="7"/>
      <c r="JAX145" s="7"/>
      <c r="JAY145" s="7"/>
      <c r="JAZ145" s="7"/>
      <c r="JBA145" s="7"/>
      <c r="JBB145" s="7"/>
      <c r="JBC145" s="7"/>
      <c r="JBD145" s="7"/>
      <c r="JBE145" s="7"/>
      <c r="JBF145" s="7"/>
      <c r="JBG145" s="7"/>
      <c r="JBH145" s="7"/>
      <c r="JBI145" s="7"/>
      <c r="JBJ145" s="7"/>
      <c r="JBK145" s="7"/>
      <c r="JBL145" s="7"/>
      <c r="JBM145" s="7"/>
      <c r="JBN145" s="7"/>
      <c r="JBO145" s="7"/>
      <c r="JBP145" s="7"/>
      <c r="JBQ145" s="7"/>
      <c r="JBR145" s="7"/>
      <c r="JBS145" s="7"/>
      <c r="JBT145" s="7"/>
      <c r="JBU145" s="7"/>
      <c r="JBV145" s="7"/>
      <c r="JBW145" s="7"/>
      <c r="JBX145" s="7"/>
      <c r="JBY145" s="7"/>
      <c r="JBZ145" s="7"/>
      <c r="JCA145" s="7"/>
      <c r="JCB145" s="7"/>
      <c r="JCC145" s="7"/>
      <c r="JCD145" s="7"/>
      <c r="JCE145" s="7"/>
      <c r="JCF145" s="7"/>
      <c r="JCG145" s="7"/>
      <c r="JCH145" s="7"/>
      <c r="JCI145" s="7"/>
      <c r="JCJ145" s="7"/>
      <c r="JCK145" s="7"/>
      <c r="JCL145" s="7"/>
      <c r="JCM145" s="7"/>
      <c r="JCN145" s="7"/>
      <c r="JCO145" s="7"/>
      <c r="JCP145" s="7"/>
      <c r="JCQ145" s="7"/>
      <c r="JCR145" s="7"/>
      <c r="JCS145" s="7"/>
      <c r="JCT145" s="7"/>
      <c r="JCU145" s="7"/>
      <c r="JCV145" s="7"/>
      <c r="JCW145" s="7"/>
      <c r="JCX145" s="7"/>
      <c r="JCY145" s="7"/>
      <c r="JCZ145" s="7"/>
      <c r="JDA145" s="7"/>
      <c r="JDB145" s="7"/>
      <c r="JDC145" s="7"/>
      <c r="JDD145" s="7"/>
      <c r="JDE145" s="7"/>
      <c r="JDF145" s="7"/>
      <c r="JDG145" s="7"/>
      <c r="JDH145" s="7"/>
      <c r="JDI145" s="7"/>
      <c r="JDJ145" s="7"/>
      <c r="JDK145" s="7"/>
      <c r="JDL145" s="7"/>
      <c r="JDM145" s="7"/>
      <c r="JDN145" s="7"/>
      <c r="JDO145" s="7"/>
      <c r="JDP145" s="7"/>
      <c r="JDQ145" s="7"/>
      <c r="JDR145" s="7"/>
      <c r="JDS145" s="7"/>
      <c r="JDT145" s="7"/>
      <c r="JDU145" s="7"/>
      <c r="JDV145" s="7"/>
      <c r="JDW145" s="7"/>
      <c r="JDX145" s="7"/>
      <c r="JDY145" s="7"/>
      <c r="JDZ145" s="7"/>
      <c r="JEA145" s="7"/>
      <c r="JEB145" s="7"/>
      <c r="JEC145" s="7"/>
      <c r="JED145" s="7"/>
      <c r="JEE145" s="7"/>
      <c r="JEF145" s="7"/>
      <c r="JEG145" s="7"/>
      <c r="JEH145" s="7"/>
      <c r="JEI145" s="7"/>
      <c r="JEJ145" s="7"/>
      <c r="JEK145" s="7"/>
      <c r="JEL145" s="7"/>
      <c r="JEM145" s="7"/>
      <c r="JEN145" s="7"/>
      <c r="JEO145" s="7"/>
      <c r="JEP145" s="7"/>
      <c r="JEQ145" s="7"/>
      <c r="JER145" s="7"/>
      <c r="JES145" s="7"/>
      <c r="JET145" s="7"/>
      <c r="JEU145" s="7"/>
      <c r="JEV145" s="7"/>
      <c r="JEW145" s="7"/>
      <c r="JEX145" s="7"/>
      <c r="JEY145" s="7"/>
      <c r="JEZ145" s="7"/>
      <c r="JFA145" s="7"/>
      <c r="JFB145" s="7"/>
      <c r="JFC145" s="7"/>
      <c r="JFD145" s="7"/>
      <c r="JFE145" s="7"/>
      <c r="JFF145" s="7"/>
      <c r="JFG145" s="7"/>
      <c r="JFH145" s="7"/>
      <c r="JFI145" s="7"/>
      <c r="JFJ145" s="7"/>
      <c r="JFK145" s="7"/>
      <c r="JFL145" s="7"/>
      <c r="JFM145" s="7"/>
      <c r="JFN145" s="7"/>
      <c r="JFO145" s="7"/>
      <c r="JFP145" s="7"/>
      <c r="JFQ145" s="7"/>
      <c r="JFR145" s="7"/>
      <c r="JFS145" s="7"/>
      <c r="JFT145" s="7"/>
      <c r="JFU145" s="7"/>
      <c r="JFV145" s="7"/>
      <c r="JFW145" s="7"/>
      <c r="JFX145" s="7"/>
      <c r="JFY145" s="7"/>
      <c r="JFZ145" s="7"/>
      <c r="JGA145" s="7"/>
      <c r="JGB145" s="7"/>
      <c r="JGC145" s="7"/>
      <c r="JGD145" s="7"/>
      <c r="JGE145" s="7"/>
      <c r="JGF145" s="7"/>
      <c r="JGG145" s="7"/>
      <c r="JGH145" s="7"/>
      <c r="JGI145" s="7"/>
      <c r="JGJ145" s="7"/>
      <c r="JGK145" s="7"/>
      <c r="JGL145" s="7"/>
      <c r="JGM145" s="7"/>
      <c r="JGN145" s="7"/>
      <c r="JGO145" s="7"/>
      <c r="JGP145" s="7"/>
      <c r="JGQ145" s="7"/>
      <c r="JGR145" s="7"/>
      <c r="JGS145" s="7"/>
      <c r="JGT145" s="7"/>
      <c r="JGU145" s="7"/>
      <c r="JGV145" s="7"/>
      <c r="JGW145" s="7"/>
      <c r="JGX145" s="7"/>
      <c r="JGY145" s="7"/>
      <c r="JGZ145" s="7"/>
      <c r="JHA145" s="7"/>
      <c r="JHB145" s="7"/>
      <c r="JHC145" s="7"/>
      <c r="JHD145" s="7"/>
      <c r="JHE145" s="7"/>
      <c r="JHF145" s="7"/>
      <c r="JHG145" s="7"/>
      <c r="JHH145" s="7"/>
      <c r="JHI145" s="7"/>
      <c r="JHJ145" s="7"/>
      <c r="JHK145" s="7"/>
      <c r="JHL145" s="7"/>
      <c r="JHM145" s="7"/>
      <c r="JHN145" s="7"/>
      <c r="JHO145" s="7"/>
      <c r="JHP145" s="7"/>
      <c r="JHQ145" s="7"/>
      <c r="JHR145" s="7"/>
      <c r="JHS145" s="7"/>
      <c r="JHT145" s="7"/>
      <c r="JHU145" s="7"/>
      <c r="JHV145" s="7"/>
      <c r="JHW145" s="7"/>
      <c r="JHX145" s="7"/>
      <c r="JHY145" s="7"/>
      <c r="JHZ145" s="7"/>
      <c r="JIA145" s="7"/>
      <c r="JIB145" s="7"/>
      <c r="JIC145" s="7"/>
      <c r="JID145" s="7"/>
      <c r="JIE145" s="7"/>
      <c r="JIF145" s="7"/>
      <c r="JIG145" s="7"/>
      <c r="JIH145" s="7"/>
      <c r="JII145" s="7"/>
      <c r="JIJ145" s="7"/>
      <c r="JIK145" s="7"/>
      <c r="JIL145" s="7"/>
      <c r="JIM145" s="7"/>
      <c r="JIN145" s="7"/>
      <c r="JIO145" s="7"/>
      <c r="JIP145" s="7"/>
      <c r="JIQ145" s="7"/>
      <c r="JIR145" s="7"/>
      <c r="JIS145" s="7"/>
      <c r="JIT145" s="7"/>
      <c r="JIU145" s="7"/>
      <c r="JIV145" s="7"/>
      <c r="JIW145" s="7"/>
      <c r="JIX145" s="7"/>
      <c r="JIY145" s="7"/>
      <c r="JIZ145" s="7"/>
      <c r="JJA145" s="7"/>
      <c r="JJB145" s="7"/>
      <c r="JJC145" s="7"/>
      <c r="JJD145" s="7"/>
      <c r="JJE145" s="7"/>
      <c r="JJF145" s="7"/>
      <c r="JJG145" s="7"/>
      <c r="JJH145" s="7"/>
      <c r="JJI145" s="7"/>
      <c r="JJJ145" s="7"/>
      <c r="JJK145" s="7"/>
      <c r="JJL145" s="7"/>
      <c r="JJM145" s="7"/>
      <c r="JJN145" s="7"/>
      <c r="JJO145" s="7"/>
      <c r="JJP145" s="7"/>
      <c r="JJQ145" s="7"/>
      <c r="JJR145" s="7"/>
      <c r="JJS145" s="7"/>
      <c r="JJT145" s="7"/>
      <c r="JJU145" s="7"/>
      <c r="JJV145" s="7"/>
      <c r="JJW145" s="7"/>
      <c r="JJX145" s="7"/>
      <c r="JJY145" s="7"/>
      <c r="JJZ145" s="7"/>
      <c r="JKA145" s="7"/>
      <c r="JKB145" s="7"/>
      <c r="JKC145" s="7"/>
      <c r="JKD145" s="7"/>
      <c r="JKE145" s="7"/>
      <c r="JKF145" s="7"/>
      <c r="JKG145" s="7"/>
      <c r="JKH145" s="7"/>
      <c r="JKI145" s="7"/>
      <c r="JKJ145" s="7"/>
      <c r="JKK145" s="7"/>
      <c r="JKL145" s="7"/>
      <c r="JKM145" s="7"/>
      <c r="JKN145" s="7"/>
      <c r="JKO145" s="7"/>
      <c r="JKP145" s="7"/>
      <c r="JKQ145" s="7"/>
      <c r="JKR145" s="7"/>
      <c r="JKS145" s="7"/>
      <c r="JKT145" s="7"/>
      <c r="JKU145" s="7"/>
      <c r="JKV145" s="7"/>
      <c r="JKW145" s="7"/>
      <c r="JKX145" s="7"/>
      <c r="JKY145" s="7"/>
      <c r="JKZ145" s="7"/>
      <c r="JLA145" s="7"/>
      <c r="JLB145" s="7"/>
      <c r="JLC145" s="7"/>
      <c r="JLD145" s="7"/>
      <c r="JLE145" s="7"/>
      <c r="JLF145" s="7"/>
      <c r="JLG145" s="7"/>
      <c r="JLH145" s="7"/>
      <c r="JLI145" s="7"/>
      <c r="JLJ145" s="7"/>
      <c r="JLK145" s="7"/>
      <c r="JLL145" s="7"/>
      <c r="JLM145" s="7"/>
      <c r="JLN145" s="7"/>
      <c r="JLO145" s="7"/>
      <c r="JLP145" s="7"/>
      <c r="JLQ145" s="7"/>
      <c r="JLR145" s="7"/>
      <c r="JLS145" s="7"/>
      <c r="JLT145" s="7"/>
      <c r="JLU145" s="7"/>
      <c r="JLV145" s="7"/>
      <c r="JLW145" s="7"/>
      <c r="JLX145" s="7"/>
      <c r="JLY145" s="7"/>
      <c r="JLZ145" s="7"/>
      <c r="JMA145" s="7"/>
      <c r="JMB145" s="7"/>
      <c r="JMC145" s="7"/>
      <c r="JMD145" s="7"/>
      <c r="JME145" s="7"/>
      <c r="JMF145" s="7"/>
      <c r="JMG145" s="7"/>
      <c r="JMH145" s="7"/>
      <c r="JMI145" s="7"/>
      <c r="JMJ145" s="7"/>
      <c r="JMK145" s="7"/>
      <c r="JML145" s="7"/>
      <c r="JMM145" s="7"/>
      <c r="JMN145" s="7"/>
      <c r="JMO145" s="7"/>
      <c r="JMP145" s="7"/>
      <c r="JMQ145" s="7"/>
      <c r="JMR145" s="7"/>
      <c r="JMS145" s="7"/>
      <c r="JMT145" s="7"/>
      <c r="JMU145" s="7"/>
      <c r="JMV145" s="7"/>
      <c r="JMW145" s="7"/>
      <c r="JMX145" s="7"/>
      <c r="JMY145" s="7"/>
      <c r="JMZ145" s="7"/>
      <c r="JNA145" s="7"/>
      <c r="JNB145" s="7"/>
      <c r="JNC145" s="7"/>
      <c r="JND145" s="7"/>
      <c r="JNE145" s="7"/>
      <c r="JNF145" s="7"/>
      <c r="JNG145" s="7"/>
      <c r="JNH145" s="7"/>
      <c r="JNI145" s="7"/>
      <c r="JNJ145" s="7"/>
      <c r="JNK145" s="7"/>
      <c r="JNL145" s="7"/>
      <c r="JNM145" s="7"/>
      <c r="JNN145" s="7"/>
      <c r="JNO145" s="7"/>
      <c r="JNP145" s="7"/>
      <c r="JNQ145" s="7"/>
      <c r="JNR145" s="7"/>
      <c r="JNS145" s="7"/>
      <c r="JNT145" s="7"/>
      <c r="JNU145" s="7"/>
      <c r="JNV145" s="7"/>
      <c r="JNW145" s="7"/>
      <c r="JNX145" s="7"/>
      <c r="JNY145" s="7"/>
      <c r="JNZ145" s="7"/>
      <c r="JOA145" s="7"/>
      <c r="JOB145" s="7"/>
      <c r="JOC145" s="7"/>
      <c r="JOD145" s="7"/>
      <c r="JOE145" s="7"/>
      <c r="JOF145" s="7"/>
      <c r="JOG145" s="7"/>
      <c r="JOH145" s="7"/>
      <c r="JOI145" s="7"/>
      <c r="JOJ145" s="7"/>
      <c r="JOK145" s="7"/>
      <c r="JOL145" s="7"/>
      <c r="JOM145" s="7"/>
      <c r="JON145" s="7"/>
      <c r="JOO145" s="7"/>
      <c r="JOP145" s="7"/>
      <c r="JOQ145" s="7"/>
      <c r="JOR145" s="7"/>
      <c r="JOS145" s="7"/>
      <c r="JOT145" s="7"/>
      <c r="JOU145" s="7"/>
      <c r="JOV145" s="7"/>
      <c r="JOW145" s="7"/>
      <c r="JOX145" s="7"/>
      <c r="JOY145" s="7"/>
      <c r="JOZ145" s="7"/>
      <c r="JPA145" s="7"/>
      <c r="JPB145" s="7"/>
      <c r="JPC145" s="7"/>
      <c r="JPD145" s="7"/>
      <c r="JPE145" s="7"/>
      <c r="JPF145" s="7"/>
      <c r="JPG145" s="7"/>
      <c r="JPH145" s="7"/>
      <c r="JPI145" s="7"/>
      <c r="JPJ145" s="7"/>
      <c r="JPK145" s="7"/>
      <c r="JPL145" s="7"/>
      <c r="JPM145" s="7"/>
      <c r="JPN145" s="7"/>
      <c r="JPO145" s="7"/>
      <c r="JPP145" s="7"/>
      <c r="JPQ145" s="7"/>
      <c r="JPR145" s="7"/>
      <c r="JPS145" s="7"/>
      <c r="JPT145" s="7"/>
      <c r="JPU145" s="7"/>
      <c r="JPV145" s="7"/>
      <c r="JPW145" s="7"/>
      <c r="JPX145" s="7"/>
      <c r="JPY145" s="7"/>
      <c r="JPZ145" s="7"/>
      <c r="JQA145" s="7"/>
      <c r="JQB145" s="7"/>
      <c r="JQC145" s="7"/>
      <c r="JQD145" s="7"/>
      <c r="JQE145" s="7"/>
      <c r="JQF145" s="7"/>
      <c r="JQG145" s="7"/>
      <c r="JQH145" s="7"/>
      <c r="JQI145" s="7"/>
      <c r="JQJ145" s="7"/>
      <c r="JQK145" s="7"/>
      <c r="JQL145" s="7"/>
      <c r="JQM145" s="7"/>
      <c r="JQN145" s="7"/>
      <c r="JQO145" s="7"/>
      <c r="JQP145" s="7"/>
      <c r="JQQ145" s="7"/>
      <c r="JQR145" s="7"/>
      <c r="JQS145" s="7"/>
      <c r="JQT145" s="7"/>
      <c r="JQU145" s="7"/>
      <c r="JQV145" s="7"/>
      <c r="JQW145" s="7"/>
      <c r="JQX145" s="7"/>
      <c r="JQY145" s="7"/>
      <c r="JQZ145" s="7"/>
      <c r="JRA145" s="7"/>
      <c r="JRB145" s="7"/>
      <c r="JRC145" s="7"/>
      <c r="JRD145" s="7"/>
      <c r="JRE145" s="7"/>
      <c r="JRF145" s="7"/>
      <c r="JRG145" s="7"/>
      <c r="JRH145" s="7"/>
      <c r="JRI145" s="7"/>
      <c r="JRJ145" s="7"/>
      <c r="JRK145" s="7"/>
      <c r="JRL145" s="7"/>
      <c r="JRM145" s="7"/>
      <c r="JRN145" s="7"/>
      <c r="JRO145" s="7"/>
      <c r="JRP145" s="7"/>
      <c r="JRQ145" s="7"/>
      <c r="JRR145" s="7"/>
      <c r="JRS145" s="7"/>
      <c r="JRT145" s="7"/>
      <c r="JRU145" s="7"/>
      <c r="JRV145" s="7"/>
      <c r="JRW145" s="7"/>
      <c r="JRX145" s="7"/>
      <c r="JRY145" s="7"/>
      <c r="JRZ145" s="7"/>
      <c r="JSA145" s="7"/>
      <c r="JSB145" s="7"/>
      <c r="JSC145" s="7"/>
      <c r="JSD145" s="7"/>
      <c r="JSE145" s="7"/>
      <c r="JSF145" s="7"/>
      <c r="JSG145" s="7"/>
      <c r="JSH145" s="7"/>
      <c r="JSI145" s="7"/>
      <c r="JSJ145" s="7"/>
      <c r="JSK145" s="7"/>
      <c r="JSL145" s="7"/>
      <c r="JSM145" s="7"/>
      <c r="JSN145" s="7"/>
      <c r="JSO145" s="7"/>
      <c r="JSP145" s="7"/>
      <c r="JSQ145" s="7"/>
      <c r="JSR145" s="7"/>
      <c r="JSS145" s="7"/>
      <c r="JST145" s="7"/>
      <c r="JSU145" s="7"/>
      <c r="JSV145" s="7"/>
      <c r="JSW145" s="7"/>
      <c r="JSX145" s="7"/>
      <c r="JSY145" s="7"/>
      <c r="JSZ145" s="7"/>
      <c r="JTA145" s="7"/>
      <c r="JTB145" s="7"/>
      <c r="JTC145" s="7"/>
      <c r="JTD145" s="7"/>
      <c r="JTE145" s="7"/>
      <c r="JTF145" s="7"/>
      <c r="JTG145" s="7"/>
      <c r="JTH145" s="7"/>
      <c r="JTI145" s="7"/>
      <c r="JTJ145" s="7"/>
      <c r="JTK145" s="7"/>
      <c r="JTL145" s="7"/>
      <c r="JTM145" s="7"/>
      <c r="JTN145" s="7"/>
      <c r="JTO145" s="7"/>
      <c r="JTP145" s="7"/>
      <c r="JTQ145" s="7"/>
      <c r="JTR145" s="7"/>
      <c r="JTS145" s="7"/>
      <c r="JTT145" s="7"/>
      <c r="JTU145" s="7"/>
      <c r="JTV145" s="7"/>
      <c r="JTW145" s="7"/>
      <c r="JTX145" s="7"/>
      <c r="JTY145" s="7"/>
      <c r="JTZ145" s="7"/>
      <c r="JUA145" s="7"/>
      <c r="JUB145" s="7"/>
      <c r="JUC145" s="7"/>
      <c r="JUD145" s="7"/>
      <c r="JUE145" s="7"/>
      <c r="JUF145" s="7"/>
      <c r="JUG145" s="7"/>
      <c r="JUH145" s="7"/>
      <c r="JUI145" s="7"/>
      <c r="JUJ145" s="7"/>
      <c r="JUK145" s="7"/>
      <c r="JUL145" s="7"/>
      <c r="JUM145" s="7"/>
      <c r="JUN145" s="7"/>
      <c r="JUO145" s="7"/>
      <c r="JUP145" s="7"/>
      <c r="JUQ145" s="7"/>
      <c r="JUR145" s="7"/>
      <c r="JUS145" s="7"/>
      <c r="JUT145" s="7"/>
      <c r="JUU145" s="7"/>
      <c r="JUV145" s="7"/>
      <c r="JUW145" s="7"/>
      <c r="JUX145" s="7"/>
      <c r="JUY145" s="7"/>
      <c r="JUZ145" s="7"/>
      <c r="JVA145" s="7"/>
      <c r="JVB145" s="7"/>
      <c r="JVC145" s="7"/>
      <c r="JVD145" s="7"/>
      <c r="JVE145" s="7"/>
      <c r="JVF145" s="7"/>
      <c r="JVG145" s="7"/>
      <c r="JVH145" s="7"/>
      <c r="JVI145" s="7"/>
      <c r="JVJ145" s="7"/>
      <c r="JVK145" s="7"/>
      <c r="JVL145" s="7"/>
      <c r="JVM145" s="7"/>
      <c r="JVN145" s="7"/>
      <c r="JVO145" s="7"/>
      <c r="JVP145" s="7"/>
      <c r="JVQ145" s="7"/>
      <c r="JVR145" s="7"/>
      <c r="JVS145" s="7"/>
      <c r="JVT145" s="7"/>
      <c r="JVU145" s="7"/>
      <c r="JVV145" s="7"/>
      <c r="JVW145" s="7"/>
      <c r="JVX145" s="7"/>
      <c r="JVY145" s="7"/>
      <c r="JVZ145" s="7"/>
      <c r="JWA145" s="7"/>
      <c r="JWB145" s="7"/>
      <c r="JWC145" s="7"/>
      <c r="JWD145" s="7"/>
      <c r="JWE145" s="7"/>
      <c r="JWF145" s="7"/>
      <c r="JWG145" s="7"/>
      <c r="JWH145" s="7"/>
      <c r="JWI145" s="7"/>
      <c r="JWJ145" s="7"/>
      <c r="JWK145" s="7"/>
      <c r="JWL145" s="7"/>
      <c r="JWM145" s="7"/>
      <c r="JWN145" s="7"/>
      <c r="JWO145" s="7"/>
      <c r="JWP145" s="7"/>
      <c r="JWQ145" s="7"/>
      <c r="JWR145" s="7"/>
      <c r="JWS145" s="7"/>
      <c r="JWT145" s="7"/>
      <c r="JWU145" s="7"/>
      <c r="JWV145" s="7"/>
      <c r="JWW145" s="7"/>
      <c r="JWX145" s="7"/>
      <c r="JWY145" s="7"/>
      <c r="JWZ145" s="7"/>
      <c r="JXA145" s="7"/>
      <c r="JXB145" s="7"/>
      <c r="JXC145" s="7"/>
      <c r="JXD145" s="7"/>
      <c r="JXE145" s="7"/>
      <c r="JXF145" s="7"/>
      <c r="JXG145" s="7"/>
      <c r="JXH145" s="7"/>
      <c r="JXI145" s="7"/>
      <c r="JXJ145" s="7"/>
      <c r="JXK145" s="7"/>
      <c r="JXL145" s="7"/>
      <c r="JXM145" s="7"/>
      <c r="JXN145" s="7"/>
      <c r="JXO145" s="7"/>
      <c r="JXP145" s="7"/>
      <c r="JXQ145" s="7"/>
      <c r="JXR145" s="7"/>
      <c r="JXS145" s="7"/>
      <c r="JXT145" s="7"/>
      <c r="JXU145" s="7"/>
      <c r="JXV145" s="7"/>
      <c r="JXW145" s="7"/>
      <c r="JXX145" s="7"/>
      <c r="JXY145" s="7"/>
      <c r="JXZ145" s="7"/>
      <c r="JYA145" s="7"/>
      <c r="JYB145" s="7"/>
      <c r="JYC145" s="7"/>
      <c r="JYD145" s="7"/>
      <c r="JYE145" s="7"/>
      <c r="JYF145" s="7"/>
      <c r="JYG145" s="7"/>
      <c r="JYH145" s="7"/>
      <c r="JYI145" s="7"/>
      <c r="JYJ145" s="7"/>
      <c r="JYK145" s="7"/>
      <c r="JYL145" s="7"/>
      <c r="JYM145" s="7"/>
      <c r="JYN145" s="7"/>
      <c r="JYO145" s="7"/>
      <c r="JYP145" s="7"/>
      <c r="JYQ145" s="7"/>
      <c r="JYR145" s="7"/>
      <c r="JYS145" s="7"/>
      <c r="JYT145" s="7"/>
      <c r="JYU145" s="7"/>
      <c r="JYV145" s="7"/>
      <c r="JYW145" s="7"/>
      <c r="JYX145" s="7"/>
      <c r="JYY145" s="7"/>
      <c r="JYZ145" s="7"/>
      <c r="JZA145" s="7"/>
      <c r="JZB145" s="7"/>
      <c r="JZC145" s="7"/>
      <c r="JZD145" s="7"/>
      <c r="JZE145" s="7"/>
      <c r="JZF145" s="7"/>
      <c r="JZG145" s="7"/>
      <c r="JZH145" s="7"/>
      <c r="JZI145" s="7"/>
      <c r="JZJ145" s="7"/>
      <c r="JZK145" s="7"/>
      <c r="JZL145" s="7"/>
      <c r="JZM145" s="7"/>
      <c r="JZN145" s="7"/>
      <c r="JZO145" s="7"/>
      <c r="JZP145" s="7"/>
      <c r="JZQ145" s="7"/>
      <c r="JZR145" s="7"/>
      <c r="JZS145" s="7"/>
      <c r="JZT145" s="7"/>
      <c r="JZU145" s="7"/>
      <c r="JZV145" s="7"/>
      <c r="JZW145" s="7"/>
      <c r="JZX145" s="7"/>
      <c r="JZY145" s="7"/>
      <c r="JZZ145" s="7"/>
      <c r="KAA145" s="7"/>
      <c r="KAB145" s="7"/>
      <c r="KAC145" s="7"/>
      <c r="KAD145" s="7"/>
      <c r="KAE145" s="7"/>
      <c r="KAF145" s="7"/>
      <c r="KAG145" s="7"/>
      <c r="KAH145" s="7"/>
      <c r="KAI145" s="7"/>
      <c r="KAJ145" s="7"/>
      <c r="KAK145" s="7"/>
      <c r="KAL145" s="7"/>
      <c r="KAM145" s="7"/>
      <c r="KAN145" s="7"/>
      <c r="KAO145" s="7"/>
      <c r="KAP145" s="7"/>
      <c r="KAQ145" s="7"/>
      <c r="KAR145" s="7"/>
      <c r="KAS145" s="7"/>
      <c r="KAT145" s="7"/>
      <c r="KAU145" s="7"/>
      <c r="KAV145" s="7"/>
      <c r="KAW145" s="7"/>
      <c r="KAX145" s="7"/>
      <c r="KAY145" s="7"/>
      <c r="KAZ145" s="7"/>
      <c r="KBA145" s="7"/>
      <c r="KBB145" s="7"/>
      <c r="KBC145" s="7"/>
      <c r="KBD145" s="7"/>
      <c r="KBE145" s="7"/>
      <c r="KBF145" s="7"/>
      <c r="KBG145" s="7"/>
      <c r="KBH145" s="7"/>
      <c r="KBI145" s="7"/>
      <c r="KBJ145" s="7"/>
      <c r="KBK145" s="7"/>
      <c r="KBL145" s="7"/>
      <c r="KBM145" s="7"/>
      <c r="KBN145" s="7"/>
      <c r="KBO145" s="7"/>
      <c r="KBP145" s="7"/>
      <c r="KBQ145" s="7"/>
      <c r="KBR145" s="7"/>
      <c r="KBS145" s="7"/>
      <c r="KBT145" s="7"/>
      <c r="KBU145" s="7"/>
      <c r="KBV145" s="7"/>
      <c r="KBW145" s="7"/>
      <c r="KBX145" s="7"/>
      <c r="KBY145" s="7"/>
      <c r="KBZ145" s="7"/>
      <c r="KCA145" s="7"/>
      <c r="KCB145" s="7"/>
      <c r="KCC145" s="7"/>
      <c r="KCD145" s="7"/>
      <c r="KCE145" s="7"/>
      <c r="KCF145" s="7"/>
      <c r="KCG145" s="7"/>
      <c r="KCH145" s="7"/>
      <c r="KCI145" s="7"/>
      <c r="KCJ145" s="7"/>
      <c r="KCK145" s="7"/>
      <c r="KCL145" s="7"/>
      <c r="KCM145" s="7"/>
      <c r="KCN145" s="7"/>
      <c r="KCO145" s="7"/>
      <c r="KCP145" s="7"/>
      <c r="KCQ145" s="7"/>
      <c r="KCR145" s="7"/>
      <c r="KCS145" s="7"/>
      <c r="KCT145" s="7"/>
      <c r="KCU145" s="7"/>
      <c r="KCV145" s="7"/>
      <c r="KCW145" s="7"/>
      <c r="KCX145" s="7"/>
      <c r="KCY145" s="7"/>
      <c r="KCZ145" s="7"/>
      <c r="KDA145" s="7"/>
      <c r="KDB145" s="7"/>
      <c r="KDC145" s="7"/>
      <c r="KDD145" s="7"/>
      <c r="KDE145" s="7"/>
      <c r="KDF145" s="7"/>
      <c r="KDG145" s="7"/>
      <c r="KDH145" s="7"/>
      <c r="KDI145" s="7"/>
      <c r="KDJ145" s="7"/>
      <c r="KDK145" s="7"/>
      <c r="KDL145" s="7"/>
      <c r="KDM145" s="7"/>
      <c r="KDN145" s="7"/>
      <c r="KDO145" s="7"/>
      <c r="KDP145" s="7"/>
      <c r="KDQ145" s="7"/>
      <c r="KDR145" s="7"/>
      <c r="KDS145" s="7"/>
      <c r="KDT145" s="7"/>
      <c r="KDU145" s="7"/>
      <c r="KDV145" s="7"/>
      <c r="KDW145" s="7"/>
      <c r="KDX145" s="7"/>
      <c r="KDY145" s="7"/>
      <c r="KDZ145" s="7"/>
      <c r="KEA145" s="7"/>
      <c r="KEB145" s="7"/>
      <c r="KEC145" s="7"/>
      <c r="KED145" s="7"/>
      <c r="KEE145" s="7"/>
      <c r="KEF145" s="7"/>
      <c r="KEG145" s="7"/>
      <c r="KEH145" s="7"/>
      <c r="KEI145" s="7"/>
      <c r="KEJ145" s="7"/>
      <c r="KEK145" s="7"/>
      <c r="KEL145" s="7"/>
      <c r="KEM145" s="7"/>
      <c r="KEN145" s="7"/>
      <c r="KEO145" s="7"/>
      <c r="KEP145" s="7"/>
      <c r="KEQ145" s="7"/>
      <c r="KER145" s="7"/>
      <c r="KES145" s="7"/>
      <c r="KET145" s="7"/>
      <c r="KEU145" s="7"/>
      <c r="KEV145" s="7"/>
      <c r="KEW145" s="7"/>
      <c r="KEX145" s="7"/>
      <c r="KEY145" s="7"/>
      <c r="KEZ145" s="7"/>
      <c r="KFA145" s="7"/>
      <c r="KFB145" s="7"/>
      <c r="KFC145" s="7"/>
      <c r="KFD145" s="7"/>
      <c r="KFE145" s="7"/>
      <c r="KFF145" s="7"/>
      <c r="KFG145" s="7"/>
      <c r="KFH145" s="7"/>
      <c r="KFI145" s="7"/>
      <c r="KFJ145" s="7"/>
      <c r="KFK145" s="7"/>
      <c r="KFL145" s="7"/>
      <c r="KFM145" s="7"/>
      <c r="KFN145" s="7"/>
      <c r="KFO145" s="7"/>
      <c r="KFP145" s="7"/>
      <c r="KFQ145" s="7"/>
      <c r="KFR145" s="7"/>
      <c r="KFS145" s="7"/>
      <c r="KFT145" s="7"/>
      <c r="KFU145" s="7"/>
      <c r="KFV145" s="7"/>
      <c r="KFW145" s="7"/>
      <c r="KFX145" s="7"/>
      <c r="KFY145" s="7"/>
      <c r="KFZ145" s="7"/>
      <c r="KGA145" s="7"/>
      <c r="KGB145" s="7"/>
      <c r="KGC145" s="7"/>
      <c r="KGD145" s="7"/>
      <c r="KGE145" s="7"/>
      <c r="KGF145" s="7"/>
      <c r="KGG145" s="7"/>
      <c r="KGH145" s="7"/>
      <c r="KGI145" s="7"/>
      <c r="KGJ145" s="7"/>
      <c r="KGK145" s="7"/>
      <c r="KGL145" s="7"/>
      <c r="KGM145" s="7"/>
      <c r="KGN145" s="7"/>
      <c r="KGO145" s="7"/>
      <c r="KGP145" s="7"/>
      <c r="KGQ145" s="7"/>
      <c r="KGR145" s="7"/>
      <c r="KGS145" s="7"/>
      <c r="KGT145" s="7"/>
      <c r="KGU145" s="7"/>
      <c r="KGV145" s="7"/>
      <c r="KGW145" s="7"/>
      <c r="KGX145" s="7"/>
      <c r="KGY145" s="7"/>
      <c r="KGZ145" s="7"/>
      <c r="KHA145" s="7"/>
      <c r="KHB145" s="7"/>
      <c r="KHC145" s="7"/>
      <c r="KHD145" s="7"/>
      <c r="KHE145" s="7"/>
      <c r="KHF145" s="7"/>
      <c r="KHG145" s="7"/>
      <c r="KHH145" s="7"/>
      <c r="KHI145" s="7"/>
      <c r="KHJ145" s="7"/>
      <c r="KHK145" s="7"/>
      <c r="KHL145" s="7"/>
      <c r="KHM145" s="7"/>
      <c r="KHN145" s="7"/>
      <c r="KHO145" s="7"/>
      <c r="KHP145" s="7"/>
      <c r="KHQ145" s="7"/>
      <c r="KHR145" s="7"/>
      <c r="KHS145" s="7"/>
      <c r="KHT145" s="7"/>
      <c r="KHU145" s="7"/>
      <c r="KHV145" s="7"/>
      <c r="KHW145" s="7"/>
      <c r="KHX145" s="7"/>
      <c r="KHY145" s="7"/>
      <c r="KHZ145" s="7"/>
      <c r="KIA145" s="7"/>
      <c r="KIB145" s="7"/>
      <c r="KIC145" s="7"/>
      <c r="KID145" s="7"/>
      <c r="KIE145" s="7"/>
      <c r="KIF145" s="7"/>
      <c r="KIG145" s="7"/>
      <c r="KIH145" s="7"/>
      <c r="KII145" s="7"/>
      <c r="KIJ145" s="7"/>
      <c r="KIK145" s="7"/>
      <c r="KIL145" s="7"/>
      <c r="KIM145" s="7"/>
      <c r="KIN145" s="7"/>
      <c r="KIO145" s="7"/>
      <c r="KIP145" s="7"/>
      <c r="KIQ145" s="7"/>
      <c r="KIR145" s="7"/>
      <c r="KIS145" s="7"/>
      <c r="KIT145" s="7"/>
      <c r="KIU145" s="7"/>
      <c r="KIV145" s="7"/>
      <c r="KIW145" s="7"/>
      <c r="KIX145" s="7"/>
      <c r="KIY145" s="7"/>
      <c r="KIZ145" s="7"/>
      <c r="KJA145" s="7"/>
      <c r="KJB145" s="7"/>
      <c r="KJC145" s="7"/>
      <c r="KJD145" s="7"/>
      <c r="KJE145" s="7"/>
      <c r="KJF145" s="7"/>
      <c r="KJG145" s="7"/>
      <c r="KJH145" s="7"/>
      <c r="KJI145" s="7"/>
      <c r="KJJ145" s="7"/>
      <c r="KJK145" s="7"/>
      <c r="KJL145" s="7"/>
      <c r="KJM145" s="7"/>
      <c r="KJN145" s="7"/>
      <c r="KJO145" s="7"/>
      <c r="KJP145" s="7"/>
      <c r="KJQ145" s="7"/>
      <c r="KJR145" s="7"/>
      <c r="KJS145" s="7"/>
      <c r="KJT145" s="7"/>
      <c r="KJU145" s="7"/>
      <c r="KJV145" s="7"/>
      <c r="KJW145" s="7"/>
      <c r="KJX145" s="7"/>
      <c r="KJY145" s="7"/>
      <c r="KJZ145" s="7"/>
      <c r="KKA145" s="7"/>
      <c r="KKB145" s="7"/>
      <c r="KKC145" s="7"/>
      <c r="KKD145" s="7"/>
      <c r="KKE145" s="7"/>
      <c r="KKF145" s="7"/>
      <c r="KKG145" s="7"/>
      <c r="KKH145" s="7"/>
      <c r="KKI145" s="7"/>
      <c r="KKJ145" s="7"/>
      <c r="KKK145" s="7"/>
      <c r="KKL145" s="7"/>
      <c r="KKM145" s="7"/>
      <c r="KKN145" s="7"/>
      <c r="KKO145" s="7"/>
      <c r="KKP145" s="7"/>
      <c r="KKQ145" s="7"/>
      <c r="KKR145" s="7"/>
      <c r="KKS145" s="7"/>
      <c r="KKT145" s="7"/>
      <c r="KKU145" s="7"/>
      <c r="KKV145" s="7"/>
      <c r="KKW145" s="7"/>
      <c r="KKX145" s="7"/>
      <c r="KKY145" s="7"/>
      <c r="KKZ145" s="7"/>
      <c r="KLA145" s="7"/>
      <c r="KLB145" s="7"/>
      <c r="KLC145" s="7"/>
      <c r="KLD145" s="7"/>
      <c r="KLE145" s="7"/>
      <c r="KLF145" s="7"/>
      <c r="KLG145" s="7"/>
      <c r="KLH145" s="7"/>
      <c r="KLI145" s="7"/>
      <c r="KLJ145" s="7"/>
      <c r="KLK145" s="7"/>
      <c r="KLL145" s="7"/>
      <c r="KLM145" s="7"/>
      <c r="KLN145" s="7"/>
      <c r="KLO145" s="7"/>
      <c r="KLP145" s="7"/>
      <c r="KLQ145" s="7"/>
      <c r="KLR145" s="7"/>
      <c r="KLS145" s="7"/>
      <c r="KLT145" s="7"/>
      <c r="KLU145" s="7"/>
      <c r="KLV145" s="7"/>
      <c r="KLW145" s="7"/>
      <c r="KLX145" s="7"/>
      <c r="KLY145" s="7"/>
      <c r="KLZ145" s="7"/>
      <c r="KMA145" s="7"/>
      <c r="KMB145" s="7"/>
      <c r="KMC145" s="7"/>
      <c r="KMD145" s="7"/>
      <c r="KME145" s="7"/>
      <c r="KMF145" s="7"/>
      <c r="KMG145" s="7"/>
      <c r="KMH145" s="7"/>
      <c r="KMI145" s="7"/>
      <c r="KMJ145" s="7"/>
      <c r="KMK145" s="7"/>
      <c r="KML145" s="7"/>
      <c r="KMM145" s="7"/>
      <c r="KMN145" s="7"/>
      <c r="KMO145" s="7"/>
      <c r="KMP145" s="7"/>
      <c r="KMQ145" s="7"/>
      <c r="KMR145" s="7"/>
      <c r="KMS145" s="7"/>
      <c r="KMT145" s="7"/>
      <c r="KMU145" s="7"/>
      <c r="KMV145" s="7"/>
      <c r="KMW145" s="7"/>
      <c r="KMX145" s="7"/>
      <c r="KMY145" s="7"/>
      <c r="KMZ145" s="7"/>
      <c r="KNA145" s="7"/>
      <c r="KNB145" s="7"/>
      <c r="KNC145" s="7"/>
      <c r="KND145" s="7"/>
      <c r="KNE145" s="7"/>
      <c r="KNF145" s="7"/>
      <c r="KNG145" s="7"/>
      <c r="KNH145" s="7"/>
      <c r="KNI145" s="7"/>
      <c r="KNJ145" s="7"/>
      <c r="KNK145" s="7"/>
      <c r="KNL145" s="7"/>
      <c r="KNM145" s="7"/>
      <c r="KNN145" s="7"/>
      <c r="KNO145" s="7"/>
      <c r="KNP145" s="7"/>
      <c r="KNQ145" s="7"/>
      <c r="KNR145" s="7"/>
      <c r="KNS145" s="7"/>
      <c r="KNT145" s="7"/>
      <c r="KNU145" s="7"/>
      <c r="KNV145" s="7"/>
      <c r="KNW145" s="7"/>
      <c r="KNX145" s="7"/>
      <c r="KNY145" s="7"/>
      <c r="KNZ145" s="7"/>
      <c r="KOA145" s="7"/>
      <c r="KOB145" s="7"/>
      <c r="KOC145" s="7"/>
      <c r="KOD145" s="7"/>
      <c r="KOE145" s="7"/>
      <c r="KOF145" s="7"/>
      <c r="KOG145" s="7"/>
      <c r="KOH145" s="7"/>
      <c r="KOI145" s="7"/>
      <c r="KOJ145" s="7"/>
      <c r="KOK145" s="7"/>
      <c r="KOL145" s="7"/>
      <c r="KOM145" s="7"/>
      <c r="KON145" s="7"/>
      <c r="KOO145" s="7"/>
      <c r="KOP145" s="7"/>
      <c r="KOQ145" s="7"/>
      <c r="KOR145" s="7"/>
      <c r="KOS145" s="7"/>
      <c r="KOT145" s="7"/>
      <c r="KOU145" s="7"/>
      <c r="KOV145" s="7"/>
      <c r="KOW145" s="7"/>
      <c r="KOX145" s="7"/>
      <c r="KOY145" s="7"/>
      <c r="KOZ145" s="7"/>
      <c r="KPA145" s="7"/>
      <c r="KPB145" s="7"/>
      <c r="KPC145" s="7"/>
      <c r="KPD145" s="7"/>
      <c r="KPE145" s="7"/>
      <c r="KPF145" s="7"/>
      <c r="KPG145" s="7"/>
      <c r="KPH145" s="7"/>
      <c r="KPI145" s="7"/>
      <c r="KPJ145" s="7"/>
      <c r="KPK145" s="7"/>
      <c r="KPL145" s="7"/>
      <c r="KPM145" s="7"/>
      <c r="KPN145" s="7"/>
      <c r="KPO145" s="7"/>
      <c r="KPP145" s="7"/>
      <c r="KPQ145" s="7"/>
      <c r="KPR145" s="7"/>
      <c r="KPS145" s="7"/>
      <c r="KPT145" s="7"/>
      <c r="KPU145" s="7"/>
      <c r="KPV145" s="7"/>
      <c r="KPW145" s="7"/>
      <c r="KPX145" s="7"/>
      <c r="KPY145" s="7"/>
      <c r="KPZ145" s="7"/>
      <c r="KQA145" s="7"/>
      <c r="KQB145" s="7"/>
      <c r="KQC145" s="7"/>
      <c r="KQD145" s="7"/>
      <c r="KQE145" s="7"/>
      <c r="KQF145" s="7"/>
      <c r="KQG145" s="7"/>
      <c r="KQH145" s="7"/>
      <c r="KQI145" s="7"/>
      <c r="KQJ145" s="7"/>
      <c r="KQK145" s="7"/>
      <c r="KQL145" s="7"/>
      <c r="KQM145" s="7"/>
      <c r="KQN145" s="7"/>
      <c r="KQO145" s="7"/>
      <c r="KQP145" s="7"/>
      <c r="KQQ145" s="7"/>
      <c r="KQR145" s="7"/>
      <c r="KQS145" s="7"/>
      <c r="KQT145" s="7"/>
      <c r="KQU145" s="7"/>
      <c r="KQV145" s="7"/>
      <c r="KQW145" s="7"/>
      <c r="KQX145" s="7"/>
      <c r="KQY145" s="7"/>
      <c r="KQZ145" s="7"/>
      <c r="KRA145" s="7"/>
      <c r="KRB145" s="7"/>
      <c r="KRC145" s="7"/>
      <c r="KRD145" s="7"/>
      <c r="KRE145" s="7"/>
      <c r="KRF145" s="7"/>
      <c r="KRG145" s="7"/>
      <c r="KRH145" s="7"/>
      <c r="KRI145" s="7"/>
      <c r="KRJ145" s="7"/>
      <c r="KRK145" s="7"/>
      <c r="KRL145" s="7"/>
      <c r="KRM145" s="7"/>
      <c r="KRN145" s="7"/>
      <c r="KRO145" s="7"/>
      <c r="KRP145" s="7"/>
      <c r="KRQ145" s="7"/>
      <c r="KRR145" s="7"/>
      <c r="KRS145" s="7"/>
      <c r="KRT145" s="7"/>
      <c r="KRU145" s="7"/>
      <c r="KRV145" s="7"/>
      <c r="KRW145" s="7"/>
      <c r="KRX145" s="7"/>
      <c r="KRY145" s="7"/>
      <c r="KRZ145" s="7"/>
      <c r="KSA145" s="7"/>
      <c r="KSB145" s="7"/>
      <c r="KSC145" s="7"/>
      <c r="KSD145" s="7"/>
      <c r="KSE145" s="7"/>
      <c r="KSF145" s="7"/>
      <c r="KSG145" s="7"/>
      <c r="KSH145" s="7"/>
      <c r="KSI145" s="7"/>
      <c r="KSJ145" s="7"/>
      <c r="KSK145" s="7"/>
      <c r="KSL145" s="7"/>
      <c r="KSM145" s="7"/>
      <c r="KSN145" s="7"/>
      <c r="KSO145" s="7"/>
      <c r="KSP145" s="7"/>
      <c r="KSQ145" s="7"/>
      <c r="KSR145" s="7"/>
      <c r="KSS145" s="7"/>
      <c r="KST145" s="7"/>
      <c r="KSU145" s="7"/>
      <c r="KSV145" s="7"/>
      <c r="KSW145" s="7"/>
      <c r="KSX145" s="7"/>
      <c r="KSY145" s="7"/>
      <c r="KSZ145" s="7"/>
      <c r="KTA145" s="7"/>
      <c r="KTB145" s="7"/>
      <c r="KTC145" s="7"/>
      <c r="KTD145" s="7"/>
      <c r="KTE145" s="7"/>
      <c r="KTF145" s="7"/>
      <c r="KTG145" s="7"/>
      <c r="KTH145" s="7"/>
      <c r="KTI145" s="7"/>
      <c r="KTJ145" s="7"/>
      <c r="KTK145" s="7"/>
      <c r="KTL145" s="7"/>
      <c r="KTM145" s="7"/>
      <c r="KTN145" s="7"/>
      <c r="KTO145" s="7"/>
      <c r="KTP145" s="7"/>
      <c r="KTQ145" s="7"/>
      <c r="KTR145" s="7"/>
      <c r="KTS145" s="7"/>
      <c r="KTT145" s="7"/>
      <c r="KTU145" s="7"/>
      <c r="KTV145" s="7"/>
      <c r="KTW145" s="7"/>
      <c r="KTX145" s="7"/>
      <c r="KTY145" s="7"/>
      <c r="KTZ145" s="7"/>
      <c r="KUA145" s="7"/>
      <c r="KUB145" s="7"/>
      <c r="KUC145" s="7"/>
      <c r="KUD145" s="7"/>
      <c r="KUE145" s="7"/>
      <c r="KUF145" s="7"/>
      <c r="KUG145" s="7"/>
      <c r="KUH145" s="7"/>
      <c r="KUI145" s="7"/>
      <c r="KUJ145" s="7"/>
      <c r="KUK145" s="7"/>
      <c r="KUL145" s="7"/>
      <c r="KUM145" s="7"/>
      <c r="KUN145" s="7"/>
      <c r="KUO145" s="7"/>
      <c r="KUP145" s="7"/>
      <c r="KUQ145" s="7"/>
      <c r="KUR145" s="7"/>
      <c r="KUS145" s="7"/>
      <c r="KUT145" s="7"/>
      <c r="KUU145" s="7"/>
      <c r="KUV145" s="7"/>
      <c r="KUW145" s="7"/>
      <c r="KUX145" s="7"/>
      <c r="KUY145" s="7"/>
      <c r="KUZ145" s="7"/>
      <c r="KVA145" s="7"/>
      <c r="KVB145" s="7"/>
      <c r="KVC145" s="7"/>
      <c r="KVD145" s="7"/>
      <c r="KVE145" s="7"/>
      <c r="KVF145" s="7"/>
      <c r="KVG145" s="7"/>
      <c r="KVH145" s="7"/>
      <c r="KVI145" s="7"/>
      <c r="KVJ145" s="7"/>
      <c r="KVK145" s="7"/>
      <c r="KVL145" s="7"/>
      <c r="KVM145" s="7"/>
      <c r="KVN145" s="7"/>
      <c r="KVO145" s="7"/>
      <c r="KVP145" s="7"/>
      <c r="KVQ145" s="7"/>
      <c r="KVR145" s="7"/>
      <c r="KVS145" s="7"/>
      <c r="KVT145" s="7"/>
      <c r="KVU145" s="7"/>
      <c r="KVV145" s="7"/>
      <c r="KVW145" s="7"/>
      <c r="KVX145" s="7"/>
      <c r="KVY145" s="7"/>
      <c r="KVZ145" s="7"/>
      <c r="KWA145" s="7"/>
      <c r="KWB145" s="7"/>
      <c r="KWC145" s="7"/>
      <c r="KWD145" s="7"/>
      <c r="KWE145" s="7"/>
      <c r="KWF145" s="7"/>
      <c r="KWG145" s="7"/>
      <c r="KWH145" s="7"/>
      <c r="KWI145" s="7"/>
      <c r="KWJ145" s="7"/>
      <c r="KWK145" s="7"/>
      <c r="KWL145" s="7"/>
      <c r="KWM145" s="7"/>
      <c r="KWN145" s="7"/>
      <c r="KWO145" s="7"/>
      <c r="KWP145" s="7"/>
      <c r="KWQ145" s="7"/>
      <c r="KWR145" s="7"/>
      <c r="KWS145" s="7"/>
      <c r="KWT145" s="7"/>
      <c r="KWU145" s="7"/>
      <c r="KWV145" s="7"/>
      <c r="KWW145" s="7"/>
      <c r="KWX145" s="7"/>
      <c r="KWY145" s="7"/>
      <c r="KWZ145" s="7"/>
      <c r="KXA145" s="7"/>
      <c r="KXB145" s="7"/>
      <c r="KXC145" s="7"/>
      <c r="KXD145" s="7"/>
      <c r="KXE145" s="7"/>
      <c r="KXF145" s="7"/>
      <c r="KXG145" s="7"/>
      <c r="KXH145" s="7"/>
      <c r="KXI145" s="7"/>
      <c r="KXJ145" s="7"/>
      <c r="KXK145" s="7"/>
      <c r="KXL145" s="7"/>
      <c r="KXM145" s="7"/>
      <c r="KXN145" s="7"/>
      <c r="KXO145" s="7"/>
      <c r="KXP145" s="7"/>
      <c r="KXQ145" s="7"/>
      <c r="KXR145" s="7"/>
      <c r="KXS145" s="7"/>
      <c r="KXT145" s="7"/>
      <c r="KXU145" s="7"/>
      <c r="KXV145" s="7"/>
      <c r="KXW145" s="7"/>
      <c r="KXX145" s="7"/>
      <c r="KXY145" s="7"/>
      <c r="KXZ145" s="7"/>
      <c r="KYA145" s="7"/>
      <c r="KYB145" s="7"/>
      <c r="KYC145" s="7"/>
      <c r="KYD145" s="7"/>
      <c r="KYE145" s="7"/>
      <c r="KYF145" s="7"/>
      <c r="KYG145" s="7"/>
      <c r="KYH145" s="7"/>
      <c r="KYI145" s="7"/>
      <c r="KYJ145" s="7"/>
      <c r="KYK145" s="7"/>
      <c r="KYL145" s="7"/>
      <c r="KYM145" s="7"/>
      <c r="KYN145" s="7"/>
      <c r="KYO145" s="7"/>
      <c r="KYP145" s="7"/>
      <c r="KYQ145" s="7"/>
      <c r="KYR145" s="7"/>
      <c r="KYS145" s="7"/>
      <c r="KYT145" s="7"/>
      <c r="KYU145" s="7"/>
      <c r="KYV145" s="7"/>
      <c r="KYW145" s="7"/>
      <c r="KYX145" s="7"/>
      <c r="KYY145" s="7"/>
      <c r="KYZ145" s="7"/>
      <c r="KZA145" s="7"/>
      <c r="KZB145" s="7"/>
      <c r="KZC145" s="7"/>
      <c r="KZD145" s="7"/>
      <c r="KZE145" s="7"/>
      <c r="KZF145" s="7"/>
      <c r="KZG145" s="7"/>
      <c r="KZH145" s="7"/>
      <c r="KZI145" s="7"/>
      <c r="KZJ145" s="7"/>
      <c r="KZK145" s="7"/>
      <c r="KZL145" s="7"/>
      <c r="KZM145" s="7"/>
      <c r="KZN145" s="7"/>
      <c r="KZO145" s="7"/>
      <c r="KZP145" s="7"/>
      <c r="KZQ145" s="7"/>
      <c r="KZR145" s="7"/>
      <c r="KZS145" s="7"/>
      <c r="KZT145" s="7"/>
      <c r="KZU145" s="7"/>
      <c r="KZV145" s="7"/>
      <c r="KZW145" s="7"/>
      <c r="KZX145" s="7"/>
      <c r="KZY145" s="7"/>
      <c r="KZZ145" s="7"/>
      <c r="LAA145" s="7"/>
      <c r="LAB145" s="7"/>
      <c r="LAC145" s="7"/>
      <c r="LAD145" s="7"/>
      <c r="LAE145" s="7"/>
      <c r="LAF145" s="7"/>
      <c r="LAG145" s="7"/>
      <c r="LAH145" s="7"/>
      <c r="LAI145" s="7"/>
      <c r="LAJ145" s="7"/>
      <c r="LAK145" s="7"/>
      <c r="LAL145" s="7"/>
      <c r="LAM145" s="7"/>
      <c r="LAN145" s="7"/>
      <c r="LAO145" s="7"/>
      <c r="LAP145" s="7"/>
      <c r="LAQ145" s="7"/>
      <c r="LAR145" s="7"/>
      <c r="LAS145" s="7"/>
      <c r="LAT145" s="7"/>
      <c r="LAU145" s="7"/>
      <c r="LAV145" s="7"/>
      <c r="LAW145" s="7"/>
      <c r="LAX145" s="7"/>
      <c r="LAY145" s="7"/>
      <c r="LAZ145" s="7"/>
      <c r="LBA145" s="7"/>
      <c r="LBB145" s="7"/>
      <c r="LBC145" s="7"/>
      <c r="LBD145" s="7"/>
      <c r="LBE145" s="7"/>
      <c r="LBF145" s="7"/>
      <c r="LBG145" s="7"/>
      <c r="LBH145" s="7"/>
      <c r="LBI145" s="7"/>
      <c r="LBJ145" s="7"/>
      <c r="LBK145" s="7"/>
      <c r="LBL145" s="7"/>
      <c r="LBM145" s="7"/>
      <c r="LBN145" s="7"/>
      <c r="LBO145" s="7"/>
      <c r="LBP145" s="7"/>
      <c r="LBQ145" s="7"/>
      <c r="LBR145" s="7"/>
      <c r="LBS145" s="7"/>
      <c r="LBT145" s="7"/>
      <c r="LBU145" s="7"/>
      <c r="LBV145" s="7"/>
      <c r="LBW145" s="7"/>
      <c r="LBX145" s="7"/>
      <c r="LBY145" s="7"/>
      <c r="LBZ145" s="7"/>
      <c r="LCA145" s="7"/>
      <c r="LCB145" s="7"/>
      <c r="LCC145" s="7"/>
      <c r="LCD145" s="7"/>
      <c r="LCE145" s="7"/>
      <c r="LCF145" s="7"/>
      <c r="LCG145" s="7"/>
      <c r="LCH145" s="7"/>
      <c r="LCI145" s="7"/>
      <c r="LCJ145" s="7"/>
      <c r="LCK145" s="7"/>
      <c r="LCL145" s="7"/>
      <c r="LCM145" s="7"/>
      <c r="LCN145" s="7"/>
      <c r="LCO145" s="7"/>
      <c r="LCP145" s="7"/>
      <c r="LCQ145" s="7"/>
      <c r="LCR145" s="7"/>
      <c r="LCS145" s="7"/>
      <c r="LCT145" s="7"/>
      <c r="LCU145" s="7"/>
      <c r="LCV145" s="7"/>
      <c r="LCW145" s="7"/>
      <c r="LCX145" s="7"/>
      <c r="LCY145" s="7"/>
      <c r="LCZ145" s="7"/>
      <c r="LDA145" s="7"/>
      <c r="LDB145" s="7"/>
      <c r="LDC145" s="7"/>
      <c r="LDD145" s="7"/>
      <c r="LDE145" s="7"/>
      <c r="LDF145" s="7"/>
      <c r="LDG145" s="7"/>
      <c r="LDH145" s="7"/>
      <c r="LDI145" s="7"/>
      <c r="LDJ145" s="7"/>
      <c r="LDK145" s="7"/>
      <c r="LDL145" s="7"/>
      <c r="LDM145" s="7"/>
      <c r="LDN145" s="7"/>
      <c r="LDO145" s="7"/>
      <c r="LDP145" s="7"/>
      <c r="LDQ145" s="7"/>
      <c r="LDR145" s="7"/>
      <c r="LDS145" s="7"/>
      <c r="LDT145" s="7"/>
      <c r="LDU145" s="7"/>
      <c r="LDV145" s="7"/>
      <c r="LDW145" s="7"/>
      <c r="LDX145" s="7"/>
      <c r="LDY145" s="7"/>
      <c r="LDZ145" s="7"/>
      <c r="LEA145" s="7"/>
      <c r="LEB145" s="7"/>
      <c r="LEC145" s="7"/>
      <c r="LED145" s="7"/>
      <c r="LEE145" s="7"/>
      <c r="LEF145" s="7"/>
      <c r="LEG145" s="7"/>
      <c r="LEH145" s="7"/>
      <c r="LEI145" s="7"/>
      <c r="LEJ145" s="7"/>
      <c r="LEK145" s="7"/>
      <c r="LEL145" s="7"/>
      <c r="LEM145" s="7"/>
      <c r="LEN145" s="7"/>
      <c r="LEO145" s="7"/>
      <c r="LEP145" s="7"/>
      <c r="LEQ145" s="7"/>
      <c r="LER145" s="7"/>
      <c r="LES145" s="7"/>
      <c r="LET145" s="7"/>
      <c r="LEU145" s="7"/>
      <c r="LEV145" s="7"/>
      <c r="LEW145" s="7"/>
      <c r="LEX145" s="7"/>
      <c r="LEY145" s="7"/>
      <c r="LEZ145" s="7"/>
      <c r="LFA145" s="7"/>
      <c r="LFB145" s="7"/>
      <c r="LFC145" s="7"/>
      <c r="LFD145" s="7"/>
      <c r="LFE145" s="7"/>
      <c r="LFF145" s="7"/>
      <c r="LFG145" s="7"/>
      <c r="LFH145" s="7"/>
      <c r="LFI145" s="7"/>
      <c r="LFJ145" s="7"/>
      <c r="LFK145" s="7"/>
      <c r="LFL145" s="7"/>
      <c r="LFM145" s="7"/>
      <c r="LFN145" s="7"/>
      <c r="LFO145" s="7"/>
      <c r="LFP145" s="7"/>
      <c r="LFQ145" s="7"/>
      <c r="LFR145" s="7"/>
      <c r="LFS145" s="7"/>
      <c r="LFT145" s="7"/>
      <c r="LFU145" s="7"/>
      <c r="LFV145" s="7"/>
      <c r="LFW145" s="7"/>
      <c r="LFX145" s="7"/>
      <c r="LFY145" s="7"/>
      <c r="LFZ145" s="7"/>
      <c r="LGA145" s="7"/>
      <c r="LGB145" s="7"/>
      <c r="LGC145" s="7"/>
      <c r="LGD145" s="7"/>
      <c r="LGE145" s="7"/>
      <c r="LGF145" s="7"/>
      <c r="LGG145" s="7"/>
      <c r="LGH145" s="7"/>
      <c r="LGI145" s="7"/>
      <c r="LGJ145" s="7"/>
      <c r="LGK145" s="7"/>
      <c r="LGL145" s="7"/>
      <c r="LGM145" s="7"/>
      <c r="LGN145" s="7"/>
      <c r="LGO145" s="7"/>
      <c r="LGP145" s="7"/>
      <c r="LGQ145" s="7"/>
      <c r="LGR145" s="7"/>
      <c r="LGS145" s="7"/>
      <c r="LGT145" s="7"/>
      <c r="LGU145" s="7"/>
      <c r="LGV145" s="7"/>
      <c r="LGW145" s="7"/>
      <c r="LGX145" s="7"/>
      <c r="LGY145" s="7"/>
      <c r="LGZ145" s="7"/>
      <c r="LHA145" s="7"/>
      <c r="LHB145" s="7"/>
      <c r="LHC145" s="7"/>
      <c r="LHD145" s="7"/>
      <c r="LHE145" s="7"/>
      <c r="LHF145" s="7"/>
      <c r="LHG145" s="7"/>
      <c r="LHH145" s="7"/>
      <c r="LHI145" s="7"/>
      <c r="LHJ145" s="7"/>
      <c r="LHK145" s="7"/>
      <c r="LHL145" s="7"/>
      <c r="LHM145" s="7"/>
      <c r="LHN145" s="7"/>
      <c r="LHO145" s="7"/>
      <c r="LHP145" s="7"/>
      <c r="LHQ145" s="7"/>
      <c r="LHR145" s="7"/>
      <c r="LHS145" s="7"/>
      <c r="LHT145" s="7"/>
      <c r="LHU145" s="7"/>
      <c r="LHV145" s="7"/>
      <c r="LHW145" s="7"/>
      <c r="LHX145" s="7"/>
      <c r="LHY145" s="7"/>
      <c r="LHZ145" s="7"/>
      <c r="LIA145" s="7"/>
      <c r="LIB145" s="7"/>
      <c r="LIC145" s="7"/>
      <c r="LID145" s="7"/>
      <c r="LIE145" s="7"/>
      <c r="LIF145" s="7"/>
      <c r="LIG145" s="7"/>
      <c r="LIH145" s="7"/>
      <c r="LII145" s="7"/>
      <c r="LIJ145" s="7"/>
      <c r="LIK145" s="7"/>
      <c r="LIL145" s="7"/>
      <c r="LIM145" s="7"/>
      <c r="LIN145" s="7"/>
      <c r="LIO145" s="7"/>
      <c r="LIP145" s="7"/>
      <c r="LIQ145" s="7"/>
      <c r="LIR145" s="7"/>
      <c r="LIS145" s="7"/>
      <c r="LIT145" s="7"/>
      <c r="LIU145" s="7"/>
      <c r="LIV145" s="7"/>
      <c r="LIW145" s="7"/>
      <c r="LIX145" s="7"/>
      <c r="LIY145" s="7"/>
      <c r="LIZ145" s="7"/>
      <c r="LJA145" s="7"/>
      <c r="LJB145" s="7"/>
      <c r="LJC145" s="7"/>
      <c r="LJD145" s="7"/>
      <c r="LJE145" s="7"/>
      <c r="LJF145" s="7"/>
      <c r="LJG145" s="7"/>
      <c r="LJH145" s="7"/>
      <c r="LJI145" s="7"/>
      <c r="LJJ145" s="7"/>
      <c r="LJK145" s="7"/>
      <c r="LJL145" s="7"/>
      <c r="LJM145" s="7"/>
      <c r="LJN145" s="7"/>
      <c r="LJO145" s="7"/>
      <c r="LJP145" s="7"/>
      <c r="LJQ145" s="7"/>
      <c r="LJR145" s="7"/>
      <c r="LJS145" s="7"/>
      <c r="LJT145" s="7"/>
      <c r="LJU145" s="7"/>
      <c r="LJV145" s="7"/>
      <c r="LJW145" s="7"/>
      <c r="LJX145" s="7"/>
      <c r="LJY145" s="7"/>
      <c r="LJZ145" s="7"/>
      <c r="LKA145" s="7"/>
      <c r="LKB145" s="7"/>
      <c r="LKC145" s="7"/>
      <c r="LKD145" s="7"/>
      <c r="LKE145" s="7"/>
      <c r="LKF145" s="7"/>
      <c r="LKG145" s="7"/>
      <c r="LKH145" s="7"/>
      <c r="LKI145" s="7"/>
      <c r="LKJ145" s="7"/>
      <c r="LKK145" s="7"/>
      <c r="LKL145" s="7"/>
      <c r="LKM145" s="7"/>
      <c r="LKN145" s="7"/>
      <c r="LKO145" s="7"/>
      <c r="LKP145" s="7"/>
      <c r="LKQ145" s="7"/>
      <c r="LKR145" s="7"/>
      <c r="LKS145" s="7"/>
      <c r="LKT145" s="7"/>
      <c r="LKU145" s="7"/>
      <c r="LKV145" s="7"/>
      <c r="LKW145" s="7"/>
      <c r="LKX145" s="7"/>
      <c r="LKY145" s="7"/>
      <c r="LKZ145" s="7"/>
      <c r="LLA145" s="7"/>
      <c r="LLB145" s="7"/>
      <c r="LLC145" s="7"/>
      <c r="LLD145" s="7"/>
      <c r="LLE145" s="7"/>
      <c r="LLF145" s="7"/>
      <c r="LLG145" s="7"/>
      <c r="LLH145" s="7"/>
      <c r="LLI145" s="7"/>
      <c r="LLJ145" s="7"/>
      <c r="LLK145" s="7"/>
      <c r="LLL145" s="7"/>
      <c r="LLM145" s="7"/>
      <c r="LLN145" s="7"/>
      <c r="LLO145" s="7"/>
      <c r="LLP145" s="7"/>
      <c r="LLQ145" s="7"/>
      <c r="LLR145" s="7"/>
      <c r="LLS145" s="7"/>
      <c r="LLT145" s="7"/>
      <c r="LLU145" s="7"/>
      <c r="LLV145" s="7"/>
      <c r="LLW145" s="7"/>
      <c r="LLX145" s="7"/>
      <c r="LLY145" s="7"/>
      <c r="LLZ145" s="7"/>
      <c r="LMA145" s="7"/>
      <c r="LMB145" s="7"/>
      <c r="LMC145" s="7"/>
      <c r="LMD145" s="7"/>
      <c r="LME145" s="7"/>
      <c r="LMF145" s="7"/>
      <c r="LMG145" s="7"/>
      <c r="LMH145" s="7"/>
      <c r="LMI145" s="7"/>
      <c r="LMJ145" s="7"/>
      <c r="LMK145" s="7"/>
      <c r="LML145" s="7"/>
      <c r="LMM145" s="7"/>
      <c r="LMN145" s="7"/>
      <c r="LMO145" s="7"/>
      <c r="LMP145" s="7"/>
      <c r="LMQ145" s="7"/>
      <c r="LMR145" s="7"/>
      <c r="LMS145" s="7"/>
      <c r="LMT145" s="7"/>
      <c r="LMU145" s="7"/>
      <c r="LMV145" s="7"/>
      <c r="LMW145" s="7"/>
      <c r="LMX145" s="7"/>
      <c r="LMY145" s="7"/>
      <c r="LMZ145" s="7"/>
      <c r="LNA145" s="7"/>
      <c r="LNB145" s="7"/>
      <c r="LNC145" s="7"/>
      <c r="LND145" s="7"/>
      <c r="LNE145" s="7"/>
      <c r="LNF145" s="7"/>
      <c r="LNG145" s="7"/>
      <c r="LNH145" s="7"/>
      <c r="LNI145" s="7"/>
      <c r="LNJ145" s="7"/>
      <c r="LNK145" s="7"/>
      <c r="LNL145" s="7"/>
      <c r="LNM145" s="7"/>
      <c r="LNN145" s="7"/>
      <c r="LNO145" s="7"/>
      <c r="LNP145" s="7"/>
      <c r="LNQ145" s="7"/>
      <c r="LNR145" s="7"/>
      <c r="LNS145" s="7"/>
      <c r="LNT145" s="7"/>
      <c r="LNU145" s="7"/>
      <c r="LNV145" s="7"/>
      <c r="LNW145" s="7"/>
      <c r="LNX145" s="7"/>
      <c r="LNY145" s="7"/>
      <c r="LNZ145" s="7"/>
      <c r="LOA145" s="7"/>
      <c r="LOB145" s="7"/>
      <c r="LOC145" s="7"/>
      <c r="LOD145" s="7"/>
      <c r="LOE145" s="7"/>
      <c r="LOF145" s="7"/>
      <c r="LOG145" s="7"/>
      <c r="LOH145" s="7"/>
      <c r="LOI145" s="7"/>
      <c r="LOJ145" s="7"/>
      <c r="LOK145" s="7"/>
      <c r="LOL145" s="7"/>
      <c r="LOM145" s="7"/>
      <c r="LON145" s="7"/>
      <c r="LOO145" s="7"/>
      <c r="LOP145" s="7"/>
      <c r="LOQ145" s="7"/>
      <c r="LOR145" s="7"/>
      <c r="LOS145" s="7"/>
      <c r="LOT145" s="7"/>
      <c r="LOU145" s="7"/>
      <c r="LOV145" s="7"/>
      <c r="LOW145" s="7"/>
      <c r="LOX145" s="7"/>
      <c r="LOY145" s="7"/>
      <c r="LOZ145" s="7"/>
      <c r="LPA145" s="7"/>
      <c r="LPB145" s="7"/>
      <c r="LPC145" s="7"/>
      <c r="LPD145" s="7"/>
      <c r="LPE145" s="7"/>
      <c r="LPF145" s="7"/>
      <c r="LPG145" s="7"/>
      <c r="LPH145" s="7"/>
      <c r="LPI145" s="7"/>
      <c r="LPJ145" s="7"/>
      <c r="LPK145" s="7"/>
      <c r="LPL145" s="7"/>
      <c r="LPM145" s="7"/>
      <c r="LPN145" s="7"/>
      <c r="LPO145" s="7"/>
      <c r="LPP145" s="7"/>
      <c r="LPQ145" s="7"/>
      <c r="LPR145" s="7"/>
      <c r="LPS145" s="7"/>
      <c r="LPT145" s="7"/>
      <c r="LPU145" s="7"/>
      <c r="LPV145" s="7"/>
      <c r="LPW145" s="7"/>
      <c r="LPX145" s="7"/>
      <c r="LPY145" s="7"/>
      <c r="LPZ145" s="7"/>
      <c r="LQA145" s="7"/>
      <c r="LQB145" s="7"/>
      <c r="LQC145" s="7"/>
      <c r="LQD145" s="7"/>
      <c r="LQE145" s="7"/>
      <c r="LQF145" s="7"/>
      <c r="LQG145" s="7"/>
      <c r="LQH145" s="7"/>
      <c r="LQI145" s="7"/>
      <c r="LQJ145" s="7"/>
      <c r="LQK145" s="7"/>
      <c r="LQL145" s="7"/>
      <c r="LQM145" s="7"/>
      <c r="LQN145" s="7"/>
      <c r="LQO145" s="7"/>
      <c r="LQP145" s="7"/>
      <c r="LQQ145" s="7"/>
      <c r="LQR145" s="7"/>
      <c r="LQS145" s="7"/>
      <c r="LQT145" s="7"/>
      <c r="LQU145" s="7"/>
      <c r="LQV145" s="7"/>
      <c r="LQW145" s="7"/>
      <c r="LQX145" s="7"/>
      <c r="LQY145" s="7"/>
      <c r="LQZ145" s="7"/>
      <c r="LRA145" s="7"/>
      <c r="LRB145" s="7"/>
      <c r="LRC145" s="7"/>
      <c r="LRD145" s="7"/>
      <c r="LRE145" s="7"/>
      <c r="LRF145" s="7"/>
      <c r="LRG145" s="7"/>
      <c r="LRH145" s="7"/>
      <c r="LRI145" s="7"/>
      <c r="LRJ145" s="7"/>
      <c r="LRK145" s="7"/>
      <c r="LRL145" s="7"/>
      <c r="LRM145" s="7"/>
      <c r="LRN145" s="7"/>
      <c r="LRO145" s="7"/>
      <c r="LRP145" s="7"/>
      <c r="LRQ145" s="7"/>
      <c r="LRR145" s="7"/>
      <c r="LRS145" s="7"/>
      <c r="LRT145" s="7"/>
      <c r="LRU145" s="7"/>
      <c r="LRV145" s="7"/>
      <c r="LRW145" s="7"/>
      <c r="LRX145" s="7"/>
      <c r="LRY145" s="7"/>
      <c r="LRZ145" s="7"/>
      <c r="LSA145" s="7"/>
      <c r="LSB145" s="7"/>
      <c r="LSC145" s="7"/>
      <c r="LSD145" s="7"/>
      <c r="LSE145" s="7"/>
      <c r="LSF145" s="7"/>
      <c r="LSG145" s="7"/>
      <c r="LSH145" s="7"/>
      <c r="LSI145" s="7"/>
      <c r="LSJ145" s="7"/>
      <c r="LSK145" s="7"/>
      <c r="LSL145" s="7"/>
      <c r="LSM145" s="7"/>
      <c r="LSN145" s="7"/>
      <c r="LSO145" s="7"/>
      <c r="LSP145" s="7"/>
      <c r="LSQ145" s="7"/>
      <c r="LSR145" s="7"/>
      <c r="LSS145" s="7"/>
      <c r="LST145" s="7"/>
      <c r="LSU145" s="7"/>
      <c r="LSV145" s="7"/>
      <c r="LSW145" s="7"/>
      <c r="LSX145" s="7"/>
      <c r="LSY145" s="7"/>
      <c r="LSZ145" s="7"/>
      <c r="LTA145" s="7"/>
      <c r="LTB145" s="7"/>
      <c r="LTC145" s="7"/>
      <c r="LTD145" s="7"/>
      <c r="LTE145" s="7"/>
      <c r="LTF145" s="7"/>
      <c r="LTG145" s="7"/>
      <c r="LTH145" s="7"/>
      <c r="LTI145" s="7"/>
      <c r="LTJ145" s="7"/>
      <c r="LTK145" s="7"/>
      <c r="LTL145" s="7"/>
      <c r="LTM145" s="7"/>
      <c r="LTN145" s="7"/>
      <c r="LTO145" s="7"/>
      <c r="LTP145" s="7"/>
      <c r="LTQ145" s="7"/>
      <c r="LTR145" s="7"/>
      <c r="LTS145" s="7"/>
      <c r="LTT145" s="7"/>
      <c r="LTU145" s="7"/>
      <c r="LTV145" s="7"/>
      <c r="LTW145" s="7"/>
      <c r="LTX145" s="7"/>
      <c r="LTY145" s="7"/>
      <c r="LTZ145" s="7"/>
      <c r="LUA145" s="7"/>
      <c r="LUB145" s="7"/>
      <c r="LUC145" s="7"/>
      <c r="LUD145" s="7"/>
      <c r="LUE145" s="7"/>
      <c r="LUF145" s="7"/>
      <c r="LUG145" s="7"/>
      <c r="LUH145" s="7"/>
      <c r="LUI145" s="7"/>
      <c r="LUJ145" s="7"/>
      <c r="LUK145" s="7"/>
      <c r="LUL145" s="7"/>
      <c r="LUM145" s="7"/>
      <c r="LUN145" s="7"/>
      <c r="LUO145" s="7"/>
      <c r="LUP145" s="7"/>
      <c r="LUQ145" s="7"/>
      <c r="LUR145" s="7"/>
      <c r="LUS145" s="7"/>
      <c r="LUT145" s="7"/>
      <c r="LUU145" s="7"/>
      <c r="LUV145" s="7"/>
      <c r="LUW145" s="7"/>
      <c r="LUX145" s="7"/>
      <c r="LUY145" s="7"/>
      <c r="LUZ145" s="7"/>
      <c r="LVA145" s="7"/>
      <c r="LVB145" s="7"/>
      <c r="LVC145" s="7"/>
      <c r="LVD145" s="7"/>
      <c r="LVE145" s="7"/>
      <c r="LVF145" s="7"/>
      <c r="LVG145" s="7"/>
      <c r="LVH145" s="7"/>
      <c r="LVI145" s="7"/>
      <c r="LVJ145" s="7"/>
      <c r="LVK145" s="7"/>
      <c r="LVL145" s="7"/>
      <c r="LVM145" s="7"/>
      <c r="LVN145" s="7"/>
      <c r="LVO145" s="7"/>
      <c r="LVP145" s="7"/>
      <c r="LVQ145" s="7"/>
      <c r="LVR145" s="7"/>
      <c r="LVS145" s="7"/>
      <c r="LVT145" s="7"/>
      <c r="LVU145" s="7"/>
      <c r="LVV145" s="7"/>
      <c r="LVW145" s="7"/>
      <c r="LVX145" s="7"/>
      <c r="LVY145" s="7"/>
      <c r="LVZ145" s="7"/>
      <c r="LWA145" s="7"/>
      <c r="LWB145" s="7"/>
      <c r="LWC145" s="7"/>
      <c r="LWD145" s="7"/>
      <c r="LWE145" s="7"/>
      <c r="LWF145" s="7"/>
      <c r="LWG145" s="7"/>
      <c r="LWH145" s="7"/>
      <c r="LWI145" s="7"/>
      <c r="LWJ145" s="7"/>
      <c r="LWK145" s="7"/>
      <c r="LWL145" s="7"/>
      <c r="LWM145" s="7"/>
      <c r="LWN145" s="7"/>
      <c r="LWO145" s="7"/>
      <c r="LWP145" s="7"/>
      <c r="LWQ145" s="7"/>
      <c r="LWR145" s="7"/>
      <c r="LWS145" s="7"/>
      <c r="LWT145" s="7"/>
      <c r="LWU145" s="7"/>
      <c r="LWV145" s="7"/>
      <c r="LWW145" s="7"/>
      <c r="LWX145" s="7"/>
      <c r="LWY145" s="7"/>
      <c r="LWZ145" s="7"/>
      <c r="LXA145" s="7"/>
      <c r="LXB145" s="7"/>
      <c r="LXC145" s="7"/>
      <c r="LXD145" s="7"/>
      <c r="LXE145" s="7"/>
      <c r="LXF145" s="7"/>
      <c r="LXG145" s="7"/>
      <c r="LXH145" s="7"/>
      <c r="LXI145" s="7"/>
      <c r="LXJ145" s="7"/>
      <c r="LXK145" s="7"/>
      <c r="LXL145" s="7"/>
      <c r="LXM145" s="7"/>
      <c r="LXN145" s="7"/>
      <c r="LXO145" s="7"/>
      <c r="LXP145" s="7"/>
      <c r="LXQ145" s="7"/>
      <c r="LXR145" s="7"/>
      <c r="LXS145" s="7"/>
      <c r="LXT145" s="7"/>
      <c r="LXU145" s="7"/>
      <c r="LXV145" s="7"/>
      <c r="LXW145" s="7"/>
      <c r="LXX145" s="7"/>
      <c r="LXY145" s="7"/>
      <c r="LXZ145" s="7"/>
      <c r="LYA145" s="7"/>
      <c r="LYB145" s="7"/>
      <c r="LYC145" s="7"/>
      <c r="LYD145" s="7"/>
      <c r="LYE145" s="7"/>
      <c r="LYF145" s="7"/>
      <c r="LYG145" s="7"/>
      <c r="LYH145" s="7"/>
      <c r="LYI145" s="7"/>
      <c r="LYJ145" s="7"/>
      <c r="LYK145" s="7"/>
      <c r="LYL145" s="7"/>
      <c r="LYM145" s="7"/>
      <c r="LYN145" s="7"/>
      <c r="LYO145" s="7"/>
      <c r="LYP145" s="7"/>
      <c r="LYQ145" s="7"/>
      <c r="LYR145" s="7"/>
      <c r="LYS145" s="7"/>
      <c r="LYT145" s="7"/>
      <c r="LYU145" s="7"/>
      <c r="LYV145" s="7"/>
      <c r="LYW145" s="7"/>
      <c r="LYX145" s="7"/>
      <c r="LYY145" s="7"/>
      <c r="LYZ145" s="7"/>
      <c r="LZA145" s="7"/>
      <c r="LZB145" s="7"/>
      <c r="LZC145" s="7"/>
      <c r="LZD145" s="7"/>
      <c r="LZE145" s="7"/>
      <c r="LZF145" s="7"/>
      <c r="LZG145" s="7"/>
      <c r="LZH145" s="7"/>
      <c r="LZI145" s="7"/>
      <c r="LZJ145" s="7"/>
      <c r="LZK145" s="7"/>
      <c r="LZL145" s="7"/>
      <c r="LZM145" s="7"/>
      <c r="LZN145" s="7"/>
      <c r="LZO145" s="7"/>
      <c r="LZP145" s="7"/>
      <c r="LZQ145" s="7"/>
      <c r="LZR145" s="7"/>
      <c r="LZS145" s="7"/>
      <c r="LZT145" s="7"/>
      <c r="LZU145" s="7"/>
      <c r="LZV145" s="7"/>
      <c r="LZW145" s="7"/>
      <c r="LZX145" s="7"/>
      <c r="LZY145" s="7"/>
      <c r="LZZ145" s="7"/>
      <c r="MAA145" s="7"/>
      <c r="MAB145" s="7"/>
      <c r="MAC145" s="7"/>
      <c r="MAD145" s="7"/>
      <c r="MAE145" s="7"/>
      <c r="MAF145" s="7"/>
      <c r="MAG145" s="7"/>
      <c r="MAH145" s="7"/>
      <c r="MAI145" s="7"/>
      <c r="MAJ145" s="7"/>
      <c r="MAK145" s="7"/>
      <c r="MAL145" s="7"/>
      <c r="MAM145" s="7"/>
      <c r="MAN145" s="7"/>
      <c r="MAO145" s="7"/>
      <c r="MAP145" s="7"/>
      <c r="MAQ145" s="7"/>
      <c r="MAR145" s="7"/>
      <c r="MAS145" s="7"/>
      <c r="MAT145" s="7"/>
      <c r="MAU145" s="7"/>
      <c r="MAV145" s="7"/>
      <c r="MAW145" s="7"/>
      <c r="MAX145" s="7"/>
      <c r="MAY145" s="7"/>
      <c r="MAZ145" s="7"/>
      <c r="MBA145" s="7"/>
      <c r="MBB145" s="7"/>
      <c r="MBC145" s="7"/>
      <c r="MBD145" s="7"/>
      <c r="MBE145" s="7"/>
      <c r="MBF145" s="7"/>
      <c r="MBG145" s="7"/>
      <c r="MBH145" s="7"/>
      <c r="MBI145" s="7"/>
      <c r="MBJ145" s="7"/>
      <c r="MBK145" s="7"/>
      <c r="MBL145" s="7"/>
      <c r="MBM145" s="7"/>
      <c r="MBN145" s="7"/>
      <c r="MBO145" s="7"/>
      <c r="MBP145" s="7"/>
      <c r="MBQ145" s="7"/>
      <c r="MBR145" s="7"/>
      <c r="MBS145" s="7"/>
      <c r="MBT145" s="7"/>
      <c r="MBU145" s="7"/>
      <c r="MBV145" s="7"/>
      <c r="MBW145" s="7"/>
      <c r="MBX145" s="7"/>
      <c r="MBY145" s="7"/>
      <c r="MBZ145" s="7"/>
      <c r="MCA145" s="7"/>
      <c r="MCB145" s="7"/>
      <c r="MCC145" s="7"/>
      <c r="MCD145" s="7"/>
      <c r="MCE145" s="7"/>
      <c r="MCF145" s="7"/>
      <c r="MCG145" s="7"/>
      <c r="MCH145" s="7"/>
      <c r="MCI145" s="7"/>
      <c r="MCJ145" s="7"/>
      <c r="MCK145" s="7"/>
      <c r="MCL145" s="7"/>
      <c r="MCM145" s="7"/>
      <c r="MCN145" s="7"/>
      <c r="MCO145" s="7"/>
      <c r="MCP145" s="7"/>
      <c r="MCQ145" s="7"/>
      <c r="MCR145" s="7"/>
      <c r="MCS145" s="7"/>
      <c r="MCT145" s="7"/>
      <c r="MCU145" s="7"/>
      <c r="MCV145" s="7"/>
      <c r="MCW145" s="7"/>
      <c r="MCX145" s="7"/>
      <c r="MCY145" s="7"/>
      <c r="MCZ145" s="7"/>
      <c r="MDA145" s="7"/>
      <c r="MDB145" s="7"/>
      <c r="MDC145" s="7"/>
      <c r="MDD145" s="7"/>
      <c r="MDE145" s="7"/>
      <c r="MDF145" s="7"/>
      <c r="MDG145" s="7"/>
      <c r="MDH145" s="7"/>
      <c r="MDI145" s="7"/>
      <c r="MDJ145" s="7"/>
      <c r="MDK145" s="7"/>
      <c r="MDL145" s="7"/>
      <c r="MDM145" s="7"/>
      <c r="MDN145" s="7"/>
      <c r="MDO145" s="7"/>
      <c r="MDP145" s="7"/>
      <c r="MDQ145" s="7"/>
      <c r="MDR145" s="7"/>
      <c r="MDS145" s="7"/>
      <c r="MDT145" s="7"/>
      <c r="MDU145" s="7"/>
      <c r="MDV145" s="7"/>
      <c r="MDW145" s="7"/>
      <c r="MDX145" s="7"/>
      <c r="MDY145" s="7"/>
      <c r="MDZ145" s="7"/>
      <c r="MEA145" s="7"/>
      <c r="MEB145" s="7"/>
      <c r="MEC145" s="7"/>
      <c r="MED145" s="7"/>
      <c r="MEE145" s="7"/>
      <c r="MEF145" s="7"/>
      <c r="MEG145" s="7"/>
      <c r="MEH145" s="7"/>
      <c r="MEI145" s="7"/>
      <c r="MEJ145" s="7"/>
      <c r="MEK145" s="7"/>
      <c r="MEL145" s="7"/>
      <c r="MEM145" s="7"/>
      <c r="MEN145" s="7"/>
      <c r="MEO145" s="7"/>
      <c r="MEP145" s="7"/>
      <c r="MEQ145" s="7"/>
      <c r="MER145" s="7"/>
      <c r="MES145" s="7"/>
      <c r="MET145" s="7"/>
      <c r="MEU145" s="7"/>
      <c r="MEV145" s="7"/>
      <c r="MEW145" s="7"/>
      <c r="MEX145" s="7"/>
      <c r="MEY145" s="7"/>
      <c r="MEZ145" s="7"/>
      <c r="MFA145" s="7"/>
      <c r="MFB145" s="7"/>
      <c r="MFC145" s="7"/>
      <c r="MFD145" s="7"/>
      <c r="MFE145" s="7"/>
      <c r="MFF145" s="7"/>
      <c r="MFG145" s="7"/>
      <c r="MFH145" s="7"/>
      <c r="MFI145" s="7"/>
      <c r="MFJ145" s="7"/>
      <c r="MFK145" s="7"/>
      <c r="MFL145" s="7"/>
      <c r="MFM145" s="7"/>
      <c r="MFN145" s="7"/>
      <c r="MFO145" s="7"/>
      <c r="MFP145" s="7"/>
      <c r="MFQ145" s="7"/>
      <c r="MFR145" s="7"/>
      <c r="MFS145" s="7"/>
      <c r="MFT145" s="7"/>
      <c r="MFU145" s="7"/>
      <c r="MFV145" s="7"/>
      <c r="MFW145" s="7"/>
      <c r="MFX145" s="7"/>
      <c r="MFY145" s="7"/>
      <c r="MFZ145" s="7"/>
      <c r="MGA145" s="7"/>
      <c r="MGB145" s="7"/>
      <c r="MGC145" s="7"/>
      <c r="MGD145" s="7"/>
      <c r="MGE145" s="7"/>
      <c r="MGF145" s="7"/>
      <c r="MGG145" s="7"/>
      <c r="MGH145" s="7"/>
      <c r="MGI145" s="7"/>
      <c r="MGJ145" s="7"/>
      <c r="MGK145" s="7"/>
      <c r="MGL145" s="7"/>
      <c r="MGM145" s="7"/>
      <c r="MGN145" s="7"/>
      <c r="MGO145" s="7"/>
      <c r="MGP145" s="7"/>
      <c r="MGQ145" s="7"/>
      <c r="MGR145" s="7"/>
      <c r="MGS145" s="7"/>
      <c r="MGT145" s="7"/>
      <c r="MGU145" s="7"/>
      <c r="MGV145" s="7"/>
      <c r="MGW145" s="7"/>
      <c r="MGX145" s="7"/>
      <c r="MGY145" s="7"/>
      <c r="MGZ145" s="7"/>
      <c r="MHA145" s="7"/>
      <c r="MHB145" s="7"/>
      <c r="MHC145" s="7"/>
      <c r="MHD145" s="7"/>
      <c r="MHE145" s="7"/>
      <c r="MHF145" s="7"/>
      <c r="MHG145" s="7"/>
      <c r="MHH145" s="7"/>
      <c r="MHI145" s="7"/>
      <c r="MHJ145" s="7"/>
      <c r="MHK145" s="7"/>
      <c r="MHL145" s="7"/>
      <c r="MHM145" s="7"/>
      <c r="MHN145" s="7"/>
      <c r="MHO145" s="7"/>
      <c r="MHP145" s="7"/>
      <c r="MHQ145" s="7"/>
      <c r="MHR145" s="7"/>
      <c r="MHS145" s="7"/>
      <c r="MHT145" s="7"/>
      <c r="MHU145" s="7"/>
      <c r="MHV145" s="7"/>
      <c r="MHW145" s="7"/>
      <c r="MHX145" s="7"/>
      <c r="MHY145" s="7"/>
      <c r="MHZ145" s="7"/>
      <c r="MIA145" s="7"/>
      <c r="MIB145" s="7"/>
      <c r="MIC145" s="7"/>
      <c r="MID145" s="7"/>
      <c r="MIE145" s="7"/>
      <c r="MIF145" s="7"/>
      <c r="MIG145" s="7"/>
      <c r="MIH145" s="7"/>
      <c r="MII145" s="7"/>
      <c r="MIJ145" s="7"/>
      <c r="MIK145" s="7"/>
      <c r="MIL145" s="7"/>
      <c r="MIM145" s="7"/>
      <c r="MIN145" s="7"/>
      <c r="MIO145" s="7"/>
      <c r="MIP145" s="7"/>
      <c r="MIQ145" s="7"/>
      <c r="MIR145" s="7"/>
      <c r="MIS145" s="7"/>
      <c r="MIT145" s="7"/>
      <c r="MIU145" s="7"/>
      <c r="MIV145" s="7"/>
      <c r="MIW145" s="7"/>
      <c r="MIX145" s="7"/>
      <c r="MIY145" s="7"/>
      <c r="MIZ145" s="7"/>
      <c r="MJA145" s="7"/>
      <c r="MJB145" s="7"/>
      <c r="MJC145" s="7"/>
      <c r="MJD145" s="7"/>
      <c r="MJE145" s="7"/>
      <c r="MJF145" s="7"/>
      <c r="MJG145" s="7"/>
      <c r="MJH145" s="7"/>
      <c r="MJI145" s="7"/>
      <c r="MJJ145" s="7"/>
      <c r="MJK145" s="7"/>
      <c r="MJL145" s="7"/>
      <c r="MJM145" s="7"/>
      <c r="MJN145" s="7"/>
      <c r="MJO145" s="7"/>
      <c r="MJP145" s="7"/>
      <c r="MJQ145" s="7"/>
      <c r="MJR145" s="7"/>
      <c r="MJS145" s="7"/>
      <c r="MJT145" s="7"/>
      <c r="MJU145" s="7"/>
      <c r="MJV145" s="7"/>
      <c r="MJW145" s="7"/>
      <c r="MJX145" s="7"/>
      <c r="MJY145" s="7"/>
      <c r="MJZ145" s="7"/>
      <c r="MKA145" s="7"/>
      <c r="MKB145" s="7"/>
      <c r="MKC145" s="7"/>
      <c r="MKD145" s="7"/>
      <c r="MKE145" s="7"/>
      <c r="MKF145" s="7"/>
      <c r="MKG145" s="7"/>
      <c r="MKH145" s="7"/>
      <c r="MKI145" s="7"/>
      <c r="MKJ145" s="7"/>
      <c r="MKK145" s="7"/>
      <c r="MKL145" s="7"/>
      <c r="MKM145" s="7"/>
      <c r="MKN145" s="7"/>
      <c r="MKO145" s="7"/>
      <c r="MKP145" s="7"/>
      <c r="MKQ145" s="7"/>
      <c r="MKR145" s="7"/>
      <c r="MKS145" s="7"/>
      <c r="MKT145" s="7"/>
      <c r="MKU145" s="7"/>
      <c r="MKV145" s="7"/>
      <c r="MKW145" s="7"/>
      <c r="MKX145" s="7"/>
      <c r="MKY145" s="7"/>
      <c r="MKZ145" s="7"/>
      <c r="MLA145" s="7"/>
      <c r="MLB145" s="7"/>
      <c r="MLC145" s="7"/>
      <c r="MLD145" s="7"/>
      <c r="MLE145" s="7"/>
      <c r="MLF145" s="7"/>
      <c r="MLG145" s="7"/>
      <c r="MLH145" s="7"/>
      <c r="MLI145" s="7"/>
      <c r="MLJ145" s="7"/>
      <c r="MLK145" s="7"/>
      <c r="MLL145" s="7"/>
      <c r="MLM145" s="7"/>
      <c r="MLN145" s="7"/>
      <c r="MLO145" s="7"/>
      <c r="MLP145" s="7"/>
      <c r="MLQ145" s="7"/>
      <c r="MLR145" s="7"/>
      <c r="MLS145" s="7"/>
      <c r="MLT145" s="7"/>
      <c r="MLU145" s="7"/>
      <c r="MLV145" s="7"/>
      <c r="MLW145" s="7"/>
      <c r="MLX145" s="7"/>
      <c r="MLY145" s="7"/>
      <c r="MLZ145" s="7"/>
      <c r="MMA145" s="7"/>
      <c r="MMB145" s="7"/>
      <c r="MMC145" s="7"/>
      <c r="MMD145" s="7"/>
      <c r="MME145" s="7"/>
      <c r="MMF145" s="7"/>
      <c r="MMG145" s="7"/>
      <c r="MMH145" s="7"/>
      <c r="MMI145" s="7"/>
      <c r="MMJ145" s="7"/>
      <c r="MMK145" s="7"/>
      <c r="MML145" s="7"/>
      <c r="MMM145" s="7"/>
      <c r="MMN145" s="7"/>
      <c r="MMO145" s="7"/>
      <c r="MMP145" s="7"/>
      <c r="MMQ145" s="7"/>
      <c r="MMR145" s="7"/>
      <c r="MMS145" s="7"/>
      <c r="MMT145" s="7"/>
      <c r="MMU145" s="7"/>
      <c r="MMV145" s="7"/>
      <c r="MMW145" s="7"/>
      <c r="MMX145" s="7"/>
      <c r="MMY145" s="7"/>
      <c r="MMZ145" s="7"/>
      <c r="MNA145" s="7"/>
      <c r="MNB145" s="7"/>
      <c r="MNC145" s="7"/>
      <c r="MND145" s="7"/>
      <c r="MNE145" s="7"/>
      <c r="MNF145" s="7"/>
      <c r="MNG145" s="7"/>
      <c r="MNH145" s="7"/>
      <c r="MNI145" s="7"/>
      <c r="MNJ145" s="7"/>
      <c r="MNK145" s="7"/>
      <c r="MNL145" s="7"/>
      <c r="MNM145" s="7"/>
      <c r="MNN145" s="7"/>
      <c r="MNO145" s="7"/>
      <c r="MNP145" s="7"/>
      <c r="MNQ145" s="7"/>
      <c r="MNR145" s="7"/>
      <c r="MNS145" s="7"/>
      <c r="MNT145" s="7"/>
      <c r="MNU145" s="7"/>
      <c r="MNV145" s="7"/>
      <c r="MNW145" s="7"/>
      <c r="MNX145" s="7"/>
      <c r="MNY145" s="7"/>
      <c r="MNZ145" s="7"/>
      <c r="MOA145" s="7"/>
      <c r="MOB145" s="7"/>
      <c r="MOC145" s="7"/>
      <c r="MOD145" s="7"/>
      <c r="MOE145" s="7"/>
      <c r="MOF145" s="7"/>
      <c r="MOG145" s="7"/>
      <c r="MOH145" s="7"/>
      <c r="MOI145" s="7"/>
      <c r="MOJ145" s="7"/>
      <c r="MOK145" s="7"/>
      <c r="MOL145" s="7"/>
      <c r="MOM145" s="7"/>
      <c r="MON145" s="7"/>
      <c r="MOO145" s="7"/>
      <c r="MOP145" s="7"/>
      <c r="MOQ145" s="7"/>
      <c r="MOR145" s="7"/>
      <c r="MOS145" s="7"/>
      <c r="MOT145" s="7"/>
      <c r="MOU145" s="7"/>
      <c r="MOV145" s="7"/>
      <c r="MOW145" s="7"/>
      <c r="MOX145" s="7"/>
      <c r="MOY145" s="7"/>
      <c r="MOZ145" s="7"/>
      <c r="MPA145" s="7"/>
      <c r="MPB145" s="7"/>
      <c r="MPC145" s="7"/>
      <c r="MPD145" s="7"/>
      <c r="MPE145" s="7"/>
      <c r="MPF145" s="7"/>
      <c r="MPG145" s="7"/>
      <c r="MPH145" s="7"/>
      <c r="MPI145" s="7"/>
      <c r="MPJ145" s="7"/>
      <c r="MPK145" s="7"/>
      <c r="MPL145" s="7"/>
      <c r="MPM145" s="7"/>
      <c r="MPN145" s="7"/>
      <c r="MPO145" s="7"/>
      <c r="MPP145" s="7"/>
      <c r="MPQ145" s="7"/>
      <c r="MPR145" s="7"/>
      <c r="MPS145" s="7"/>
      <c r="MPT145" s="7"/>
      <c r="MPU145" s="7"/>
      <c r="MPV145" s="7"/>
      <c r="MPW145" s="7"/>
      <c r="MPX145" s="7"/>
      <c r="MPY145" s="7"/>
      <c r="MPZ145" s="7"/>
      <c r="MQA145" s="7"/>
      <c r="MQB145" s="7"/>
      <c r="MQC145" s="7"/>
      <c r="MQD145" s="7"/>
      <c r="MQE145" s="7"/>
      <c r="MQF145" s="7"/>
      <c r="MQG145" s="7"/>
      <c r="MQH145" s="7"/>
      <c r="MQI145" s="7"/>
      <c r="MQJ145" s="7"/>
      <c r="MQK145" s="7"/>
      <c r="MQL145" s="7"/>
      <c r="MQM145" s="7"/>
      <c r="MQN145" s="7"/>
      <c r="MQO145" s="7"/>
      <c r="MQP145" s="7"/>
      <c r="MQQ145" s="7"/>
      <c r="MQR145" s="7"/>
      <c r="MQS145" s="7"/>
      <c r="MQT145" s="7"/>
      <c r="MQU145" s="7"/>
      <c r="MQV145" s="7"/>
      <c r="MQW145" s="7"/>
      <c r="MQX145" s="7"/>
      <c r="MQY145" s="7"/>
      <c r="MQZ145" s="7"/>
      <c r="MRA145" s="7"/>
      <c r="MRB145" s="7"/>
      <c r="MRC145" s="7"/>
      <c r="MRD145" s="7"/>
      <c r="MRE145" s="7"/>
      <c r="MRF145" s="7"/>
      <c r="MRG145" s="7"/>
      <c r="MRH145" s="7"/>
      <c r="MRI145" s="7"/>
      <c r="MRJ145" s="7"/>
      <c r="MRK145" s="7"/>
      <c r="MRL145" s="7"/>
      <c r="MRM145" s="7"/>
      <c r="MRN145" s="7"/>
      <c r="MRO145" s="7"/>
      <c r="MRP145" s="7"/>
      <c r="MRQ145" s="7"/>
      <c r="MRR145" s="7"/>
      <c r="MRS145" s="7"/>
      <c r="MRT145" s="7"/>
      <c r="MRU145" s="7"/>
      <c r="MRV145" s="7"/>
      <c r="MRW145" s="7"/>
      <c r="MRX145" s="7"/>
      <c r="MRY145" s="7"/>
      <c r="MRZ145" s="7"/>
      <c r="MSA145" s="7"/>
      <c r="MSB145" s="7"/>
      <c r="MSC145" s="7"/>
      <c r="MSD145" s="7"/>
      <c r="MSE145" s="7"/>
      <c r="MSF145" s="7"/>
      <c r="MSG145" s="7"/>
      <c r="MSH145" s="7"/>
      <c r="MSI145" s="7"/>
      <c r="MSJ145" s="7"/>
      <c r="MSK145" s="7"/>
      <c r="MSL145" s="7"/>
      <c r="MSM145" s="7"/>
      <c r="MSN145" s="7"/>
      <c r="MSO145" s="7"/>
      <c r="MSP145" s="7"/>
      <c r="MSQ145" s="7"/>
      <c r="MSR145" s="7"/>
      <c r="MSS145" s="7"/>
      <c r="MST145" s="7"/>
      <c r="MSU145" s="7"/>
      <c r="MSV145" s="7"/>
      <c r="MSW145" s="7"/>
      <c r="MSX145" s="7"/>
      <c r="MSY145" s="7"/>
      <c r="MSZ145" s="7"/>
      <c r="MTA145" s="7"/>
      <c r="MTB145" s="7"/>
      <c r="MTC145" s="7"/>
      <c r="MTD145" s="7"/>
      <c r="MTE145" s="7"/>
      <c r="MTF145" s="7"/>
      <c r="MTG145" s="7"/>
      <c r="MTH145" s="7"/>
      <c r="MTI145" s="7"/>
      <c r="MTJ145" s="7"/>
      <c r="MTK145" s="7"/>
      <c r="MTL145" s="7"/>
      <c r="MTM145" s="7"/>
      <c r="MTN145" s="7"/>
      <c r="MTO145" s="7"/>
      <c r="MTP145" s="7"/>
      <c r="MTQ145" s="7"/>
      <c r="MTR145" s="7"/>
      <c r="MTS145" s="7"/>
      <c r="MTT145" s="7"/>
      <c r="MTU145" s="7"/>
      <c r="MTV145" s="7"/>
      <c r="MTW145" s="7"/>
      <c r="MTX145" s="7"/>
      <c r="MTY145" s="7"/>
      <c r="MTZ145" s="7"/>
      <c r="MUA145" s="7"/>
      <c r="MUB145" s="7"/>
      <c r="MUC145" s="7"/>
      <c r="MUD145" s="7"/>
      <c r="MUE145" s="7"/>
      <c r="MUF145" s="7"/>
      <c r="MUG145" s="7"/>
      <c r="MUH145" s="7"/>
      <c r="MUI145" s="7"/>
      <c r="MUJ145" s="7"/>
      <c r="MUK145" s="7"/>
      <c r="MUL145" s="7"/>
      <c r="MUM145" s="7"/>
      <c r="MUN145" s="7"/>
      <c r="MUO145" s="7"/>
      <c r="MUP145" s="7"/>
      <c r="MUQ145" s="7"/>
      <c r="MUR145" s="7"/>
      <c r="MUS145" s="7"/>
      <c r="MUT145" s="7"/>
      <c r="MUU145" s="7"/>
      <c r="MUV145" s="7"/>
      <c r="MUW145" s="7"/>
      <c r="MUX145" s="7"/>
      <c r="MUY145" s="7"/>
      <c r="MUZ145" s="7"/>
      <c r="MVA145" s="7"/>
      <c r="MVB145" s="7"/>
      <c r="MVC145" s="7"/>
      <c r="MVD145" s="7"/>
      <c r="MVE145" s="7"/>
      <c r="MVF145" s="7"/>
      <c r="MVG145" s="7"/>
      <c r="MVH145" s="7"/>
      <c r="MVI145" s="7"/>
      <c r="MVJ145" s="7"/>
      <c r="MVK145" s="7"/>
      <c r="MVL145" s="7"/>
      <c r="MVM145" s="7"/>
      <c r="MVN145" s="7"/>
      <c r="MVO145" s="7"/>
      <c r="MVP145" s="7"/>
      <c r="MVQ145" s="7"/>
      <c r="MVR145" s="7"/>
      <c r="MVS145" s="7"/>
      <c r="MVT145" s="7"/>
      <c r="MVU145" s="7"/>
      <c r="MVV145" s="7"/>
      <c r="MVW145" s="7"/>
      <c r="MVX145" s="7"/>
      <c r="MVY145" s="7"/>
      <c r="MVZ145" s="7"/>
      <c r="MWA145" s="7"/>
      <c r="MWB145" s="7"/>
      <c r="MWC145" s="7"/>
      <c r="MWD145" s="7"/>
      <c r="MWE145" s="7"/>
      <c r="MWF145" s="7"/>
      <c r="MWG145" s="7"/>
      <c r="MWH145" s="7"/>
      <c r="MWI145" s="7"/>
      <c r="MWJ145" s="7"/>
      <c r="MWK145" s="7"/>
      <c r="MWL145" s="7"/>
      <c r="MWM145" s="7"/>
      <c r="MWN145" s="7"/>
      <c r="MWO145" s="7"/>
      <c r="MWP145" s="7"/>
      <c r="MWQ145" s="7"/>
      <c r="MWR145" s="7"/>
      <c r="MWS145" s="7"/>
      <c r="MWT145" s="7"/>
      <c r="MWU145" s="7"/>
      <c r="MWV145" s="7"/>
      <c r="MWW145" s="7"/>
      <c r="MWX145" s="7"/>
      <c r="MWY145" s="7"/>
      <c r="MWZ145" s="7"/>
      <c r="MXA145" s="7"/>
      <c r="MXB145" s="7"/>
      <c r="MXC145" s="7"/>
      <c r="MXD145" s="7"/>
      <c r="MXE145" s="7"/>
      <c r="MXF145" s="7"/>
      <c r="MXG145" s="7"/>
      <c r="MXH145" s="7"/>
      <c r="MXI145" s="7"/>
      <c r="MXJ145" s="7"/>
      <c r="MXK145" s="7"/>
      <c r="MXL145" s="7"/>
      <c r="MXM145" s="7"/>
      <c r="MXN145" s="7"/>
      <c r="MXO145" s="7"/>
      <c r="MXP145" s="7"/>
      <c r="MXQ145" s="7"/>
      <c r="MXR145" s="7"/>
      <c r="MXS145" s="7"/>
      <c r="MXT145" s="7"/>
      <c r="MXU145" s="7"/>
      <c r="MXV145" s="7"/>
      <c r="MXW145" s="7"/>
      <c r="MXX145" s="7"/>
      <c r="MXY145" s="7"/>
      <c r="MXZ145" s="7"/>
      <c r="MYA145" s="7"/>
      <c r="MYB145" s="7"/>
      <c r="MYC145" s="7"/>
      <c r="MYD145" s="7"/>
      <c r="MYE145" s="7"/>
      <c r="MYF145" s="7"/>
      <c r="MYG145" s="7"/>
      <c r="MYH145" s="7"/>
      <c r="MYI145" s="7"/>
      <c r="MYJ145" s="7"/>
      <c r="MYK145" s="7"/>
      <c r="MYL145" s="7"/>
      <c r="MYM145" s="7"/>
      <c r="MYN145" s="7"/>
      <c r="MYO145" s="7"/>
      <c r="MYP145" s="7"/>
      <c r="MYQ145" s="7"/>
      <c r="MYR145" s="7"/>
      <c r="MYS145" s="7"/>
      <c r="MYT145" s="7"/>
      <c r="MYU145" s="7"/>
      <c r="MYV145" s="7"/>
      <c r="MYW145" s="7"/>
      <c r="MYX145" s="7"/>
      <c r="MYY145" s="7"/>
      <c r="MYZ145" s="7"/>
      <c r="MZA145" s="7"/>
      <c r="MZB145" s="7"/>
      <c r="MZC145" s="7"/>
      <c r="MZD145" s="7"/>
      <c r="MZE145" s="7"/>
      <c r="MZF145" s="7"/>
      <c r="MZG145" s="7"/>
      <c r="MZH145" s="7"/>
      <c r="MZI145" s="7"/>
      <c r="MZJ145" s="7"/>
      <c r="MZK145" s="7"/>
      <c r="MZL145" s="7"/>
      <c r="MZM145" s="7"/>
      <c r="MZN145" s="7"/>
      <c r="MZO145" s="7"/>
      <c r="MZP145" s="7"/>
      <c r="MZQ145" s="7"/>
      <c r="MZR145" s="7"/>
      <c r="MZS145" s="7"/>
      <c r="MZT145" s="7"/>
      <c r="MZU145" s="7"/>
      <c r="MZV145" s="7"/>
      <c r="MZW145" s="7"/>
      <c r="MZX145" s="7"/>
      <c r="MZY145" s="7"/>
      <c r="MZZ145" s="7"/>
      <c r="NAA145" s="7"/>
      <c r="NAB145" s="7"/>
      <c r="NAC145" s="7"/>
      <c r="NAD145" s="7"/>
      <c r="NAE145" s="7"/>
      <c r="NAF145" s="7"/>
      <c r="NAG145" s="7"/>
      <c r="NAH145" s="7"/>
      <c r="NAI145" s="7"/>
      <c r="NAJ145" s="7"/>
      <c r="NAK145" s="7"/>
      <c r="NAL145" s="7"/>
      <c r="NAM145" s="7"/>
      <c r="NAN145" s="7"/>
      <c r="NAO145" s="7"/>
      <c r="NAP145" s="7"/>
      <c r="NAQ145" s="7"/>
      <c r="NAR145" s="7"/>
      <c r="NAS145" s="7"/>
      <c r="NAT145" s="7"/>
      <c r="NAU145" s="7"/>
      <c r="NAV145" s="7"/>
      <c r="NAW145" s="7"/>
      <c r="NAX145" s="7"/>
      <c r="NAY145" s="7"/>
      <c r="NAZ145" s="7"/>
      <c r="NBA145" s="7"/>
      <c r="NBB145" s="7"/>
      <c r="NBC145" s="7"/>
      <c r="NBD145" s="7"/>
      <c r="NBE145" s="7"/>
      <c r="NBF145" s="7"/>
      <c r="NBG145" s="7"/>
      <c r="NBH145" s="7"/>
      <c r="NBI145" s="7"/>
      <c r="NBJ145" s="7"/>
      <c r="NBK145" s="7"/>
      <c r="NBL145" s="7"/>
      <c r="NBM145" s="7"/>
      <c r="NBN145" s="7"/>
      <c r="NBO145" s="7"/>
      <c r="NBP145" s="7"/>
      <c r="NBQ145" s="7"/>
      <c r="NBR145" s="7"/>
      <c r="NBS145" s="7"/>
      <c r="NBT145" s="7"/>
      <c r="NBU145" s="7"/>
      <c r="NBV145" s="7"/>
      <c r="NBW145" s="7"/>
      <c r="NBX145" s="7"/>
      <c r="NBY145" s="7"/>
      <c r="NBZ145" s="7"/>
      <c r="NCA145" s="7"/>
      <c r="NCB145" s="7"/>
      <c r="NCC145" s="7"/>
      <c r="NCD145" s="7"/>
      <c r="NCE145" s="7"/>
      <c r="NCF145" s="7"/>
      <c r="NCG145" s="7"/>
      <c r="NCH145" s="7"/>
      <c r="NCI145" s="7"/>
      <c r="NCJ145" s="7"/>
      <c r="NCK145" s="7"/>
      <c r="NCL145" s="7"/>
      <c r="NCM145" s="7"/>
      <c r="NCN145" s="7"/>
      <c r="NCO145" s="7"/>
      <c r="NCP145" s="7"/>
      <c r="NCQ145" s="7"/>
      <c r="NCR145" s="7"/>
      <c r="NCS145" s="7"/>
      <c r="NCT145" s="7"/>
      <c r="NCU145" s="7"/>
      <c r="NCV145" s="7"/>
      <c r="NCW145" s="7"/>
      <c r="NCX145" s="7"/>
      <c r="NCY145" s="7"/>
      <c r="NCZ145" s="7"/>
      <c r="NDA145" s="7"/>
      <c r="NDB145" s="7"/>
      <c r="NDC145" s="7"/>
      <c r="NDD145" s="7"/>
      <c r="NDE145" s="7"/>
      <c r="NDF145" s="7"/>
      <c r="NDG145" s="7"/>
      <c r="NDH145" s="7"/>
      <c r="NDI145" s="7"/>
      <c r="NDJ145" s="7"/>
      <c r="NDK145" s="7"/>
      <c r="NDL145" s="7"/>
      <c r="NDM145" s="7"/>
      <c r="NDN145" s="7"/>
      <c r="NDO145" s="7"/>
      <c r="NDP145" s="7"/>
      <c r="NDQ145" s="7"/>
      <c r="NDR145" s="7"/>
      <c r="NDS145" s="7"/>
      <c r="NDT145" s="7"/>
      <c r="NDU145" s="7"/>
      <c r="NDV145" s="7"/>
      <c r="NDW145" s="7"/>
      <c r="NDX145" s="7"/>
      <c r="NDY145" s="7"/>
      <c r="NDZ145" s="7"/>
      <c r="NEA145" s="7"/>
      <c r="NEB145" s="7"/>
      <c r="NEC145" s="7"/>
      <c r="NED145" s="7"/>
      <c r="NEE145" s="7"/>
      <c r="NEF145" s="7"/>
      <c r="NEG145" s="7"/>
      <c r="NEH145" s="7"/>
      <c r="NEI145" s="7"/>
      <c r="NEJ145" s="7"/>
      <c r="NEK145" s="7"/>
      <c r="NEL145" s="7"/>
      <c r="NEM145" s="7"/>
      <c r="NEN145" s="7"/>
      <c r="NEO145" s="7"/>
      <c r="NEP145" s="7"/>
      <c r="NEQ145" s="7"/>
      <c r="NER145" s="7"/>
      <c r="NES145" s="7"/>
      <c r="NET145" s="7"/>
      <c r="NEU145" s="7"/>
      <c r="NEV145" s="7"/>
      <c r="NEW145" s="7"/>
      <c r="NEX145" s="7"/>
      <c r="NEY145" s="7"/>
      <c r="NEZ145" s="7"/>
      <c r="NFA145" s="7"/>
      <c r="NFB145" s="7"/>
      <c r="NFC145" s="7"/>
      <c r="NFD145" s="7"/>
      <c r="NFE145" s="7"/>
      <c r="NFF145" s="7"/>
      <c r="NFG145" s="7"/>
      <c r="NFH145" s="7"/>
      <c r="NFI145" s="7"/>
      <c r="NFJ145" s="7"/>
      <c r="NFK145" s="7"/>
      <c r="NFL145" s="7"/>
      <c r="NFM145" s="7"/>
      <c r="NFN145" s="7"/>
      <c r="NFO145" s="7"/>
      <c r="NFP145" s="7"/>
      <c r="NFQ145" s="7"/>
      <c r="NFR145" s="7"/>
      <c r="NFS145" s="7"/>
      <c r="NFT145" s="7"/>
      <c r="NFU145" s="7"/>
      <c r="NFV145" s="7"/>
      <c r="NFW145" s="7"/>
      <c r="NFX145" s="7"/>
      <c r="NFY145" s="7"/>
      <c r="NFZ145" s="7"/>
      <c r="NGA145" s="7"/>
      <c r="NGB145" s="7"/>
      <c r="NGC145" s="7"/>
      <c r="NGD145" s="7"/>
      <c r="NGE145" s="7"/>
      <c r="NGF145" s="7"/>
      <c r="NGG145" s="7"/>
      <c r="NGH145" s="7"/>
      <c r="NGI145" s="7"/>
      <c r="NGJ145" s="7"/>
      <c r="NGK145" s="7"/>
      <c r="NGL145" s="7"/>
      <c r="NGM145" s="7"/>
      <c r="NGN145" s="7"/>
      <c r="NGO145" s="7"/>
      <c r="NGP145" s="7"/>
      <c r="NGQ145" s="7"/>
      <c r="NGR145" s="7"/>
      <c r="NGS145" s="7"/>
      <c r="NGT145" s="7"/>
      <c r="NGU145" s="7"/>
      <c r="NGV145" s="7"/>
      <c r="NGW145" s="7"/>
      <c r="NGX145" s="7"/>
      <c r="NGY145" s="7"/>
      <c r="NGZ145" s="7"/>
      <c r="NHA145" s="7"/>
      <c r="NHB145" s="7"/>
      <c r="NHC145" s="7"/>
      <c r="NHD145" s="7"/>
      <c r="NHE145" s="7"/>
      <c r="NHF145" s="7"/>
      <c r="NHG145" s="7"/>
      <c r="NHH145" s="7"/>
      <c r="NHI145" s="7"/>
      <c r="NHJ145" s="7"/>
      <c r="NHK145" s="7"/>
      <c r="NHL145" s="7"/>
      <c r="NHM145" s="7"/>
      <c r="NHN145" s="7"/>
      <c r="NHO145" s="7"/>
      <c r="NHP145" s="7"/>
      <c r="NHQ145" s="7"/>
      <c r="NHR145" s="7"/>
      <c r="NHS145" s="7"/>
      <c r="NHT145" s="7"/>
      <c r="NHU145" s="7"/>
      <c r="NHV145" s="7"/>
      <c r="NHW145" s="7"/>
      <c r="NHX145" s="7"/>
      <c r="NHY145" s="7"/>
      <c r="NHZ145" s="7"/>
      <c r="NIA145" s="7"/>
      <c r="NIB145" s="7"/>
      <c r="NIC145" s="7"/>
      <c r="NID145" s="7"/>
      <c r="NIE145" s="7"/>
      <c r="NIF145" s="7"/>
      <c r="NIG145" s="7"/>
      <c r="NIH145" s="7"/>
      <c r="NII145" s="7"/>
      <c r="NIJ145" s="7"/>
      <c r="NIK145" s="7"/>
      <c r="NIL145" s="7"/>
      <c r="NIM145" s="7"/>
      <c r="NIN145" s="7"/>
      <c r="NIO145" s="7"/>
      <c r="NIP145" s="7"/>
      <c r="NIQ145" s="7"/>
      <c r="NIR145" s="7"/>
      <c r="NIS145" s="7"/>
      <c r="NIT145" s="7"/>
      <c r="NIU145" s="7"/>
      <c r="NIV145" s="7"/>
      <c r="NIW145" s="7"/>
      <c r="NIX145" s="7"/>
      <c r="NIY145" s="7"/>
      <c r="NIZ145" s="7"/>
      <c r="NJA145" s="7"/>
      <c r="NJB145" s="7"/>
      <c r="NJC145" s="7"/>
      <c r="NJD145" s="7"/>
      <c r="NJE145" s="7"/>
      <c r="NJF145" s="7"/>
      <c r="NJG145" s="7"/>
      <c r="NJH145" s="7"/>
      <c r="NJI145" s="7"/>
      <c r="NJJ145" s="7"/>
      <c r="NJK145" s="7"/>
      <c r="NJL145" s="7"/>
      <c r="NJM145" s="7"/>
      <c r="NJN145" s="7"/>
      <c r="NJO145" s="7"/>
      <c r="NJP145" s="7"/>
      <c r="NJQ145" s="7"/>
      <c r="NJR145" s="7"/>
      <c r="NJS145" s="7"/>
      <c r="NJT145" s="7"/>
      <c r="NJU145" s="7"/>
      <c r="NJV145" s="7"/>
      <c r="NJW145" s="7"/>
      <c r="NJX145" s="7"/>
      <c r="NJY145" s="7"/>
      <c r="NJZ145" s="7"/>
      <c r="NKA145" s="7"/>
      <c r="NKB145" s="7"/>
      <c r="NKC145" s="7"/>
      <c r="NKD145" s="7"/>
      <c r="NKE145" s="7"/>
      <c r="NKF145" s="7"/>
      <c r="NKG145" s="7"/>
      <c r="NKH145" s="7"/>
      <c r="NKI145" s="7"/>
      <c r="NKJ145" s="7"/>
      <c r="NKK145" s="7"/>
      <c r="NKL145" s="7"/>
      <c r="NKM145" s="7"/>
      <c r="NKN145" s="7"/>
      <c r="NKO145" s="7"/>
      <c r="NKP145" s="7"/>
      <c r="NKQ145" s="7"/>
      <c r="NKR145" s="7"/>
      <c r="NKS145" s="7"/>
      <c r="NKT145" s="7"/>
      <c r="NKU145" s="7"/>
      <c r="NKV145" s="7"/>
      <c r="NKW145" s="7"/>
      <c r="NKX145" s="7"/>
      <c r="NKY145" s="7"/>
      <c r="NKZ145" s="7"/>
      <c r="NLA145" s="7"/>
      <c r="NLB145" s="7"/>
      <c r="NLC145" s="7"/>
      <c r="NLD145" s="7"/>
      <c r="NLE145" s="7"/>
      <c r="NLF145" s="7"/>
      <c r="NLG145" s="7"/>
      <c r="NLH145" s="7"/>
      <c r="NLI145" s="7"/>
      <c r="NLJ145" s="7"/>
      <c r="NLK145" s="7"/>
      <c r="NLL145" s="7"/>
      <c r="NLM145" s="7"/>
      <c r="NLN145" s="7"/>
      <c r="NLO145" s="7"/>
      <c r="NLP145" s="7"/>
      <c r="NLQ145" s="7"/>
      <c r="NLR145" s="7"/>
      <c r="NLS145" s="7"/>
      <c r="NLT145" s="7"/>
      <c r="NLU145" s="7"/>
      <c r="NLV145" s="7"/>
      <c r="NLW145" s="7"/>
      <c r="NLX145" s="7"/>
      <c r="NLY145" s="7"/>
      <c r="NLZ145" s="7"/>
      <c r="NMA145" s="7"/>
      <c r="NMB145" s="7"/>
      <c r="NMC145" s="7"/>
      <c r="NMD145" s="7"/>
      <c r="NME145" s="7"/>
      <c r="NMF145" s="7"/>
      <c r="NMG145" s="7"/>
      <c r="NMH145" s="7"/>
      <c r="NMI145" s="7"/>
      <c r="NMJ145" s="7"/>
      <c r="NMK145" s="7"/>
      <c r="NML145" s="7"/>
      <c r="NMM145" s="7"/>
      <c r="NMN145" s="7"/>
      <c r="NMO145" s="7"/>
      <c r="NMP145" s="7"/>
      <c r="NMQ145" s="7"/>
      <c r="NMR145" s="7"/>
      <c r="NMS145" s="7"/>
      <c r="NMT145" s="7"/>
      <c r="NMU145" s="7"/>
      <c r="NMV145" s="7"/>
      <c r="NMW145" s="7"/>
      <c r="NMX145" s="7"/>
      <c r="NMY145" s="7"/>
      <c r="NMZ145" s="7"/>
      <c r="NNA145" s="7"/>
      <c r="NNB145" s="7"/>
      <c r="NNC145" s="7"/>
      <c r="NND145" s="7"/>
      <c r="NNE145" s="7"/>
      <c r="NNF145" s="7"/>
      <c r="NNG145" s="7"/>
      <c r="NNH145" s="7"/>
      <c r="NNI145" s="7"/>
      <c r="NNJ145" s="7"/>
      <c r="NNK145" s="7"/>
      <c r="NNL145" s="7"/>
      <c r="NNM145" s="7"/>
      <c r="NNN145" s="7"/>
      <c r="NNO145" s="7"/>
      <c r="NNP145" s="7"/>
      <c r="NNQ145" s="7"/>
      <c r="NNR145" s="7"/>
      <c r="NNS145" s="7"/>
      <c r="NNT145" s="7"/>
      <c r="NNU145" s="7"/>
      <c r="NNV145" s="7"/>
      <c r="NNW145" s="7"/>
      <c r="NNX145" s="7"/>
      <c r="NNY145" s="7"/>
      <c r="NNZ145" s="7"/>
      <c r="NOA145" s="7"/>
      <c r="NOB145" s="7"/>
      <c r="NOC145" s="7"/>
      <c r="NOD145" s="7"/>
      <c r="NOE145" s="7"/>
      <c r="NOF145" s="7"/>
      <c r="NOG145" s="7"/>
      <c r="NOH145" s="7"/>
      <c r="NOI145" s="7"/>
      <c r="NOJ145" s="7"/>
      <c r="NOK145" s="7"/>
      <c r="NOL145" s="7"/>
      <c r="NOM145" s="7"/>
      <c r="NON145" s="7"/>
      <c r="NOO145" s="7"/>
      <c r="NOP145" s="7"/>
      <c r="NOQ145" s="7"/>
      <c r="NOR145" s="7"/>
      <c r="NOS145" s="7"/>
      <c r="NOT145" s="7"/>
      <c r="NOU145" s="7"/>
      <c r="NOV145" s="7"/>
      <c r="NOW145" s="7"/>
      <c r="NOX145" s="7"/>
      <c r="NOY145" s="7"/>
      <c r="NOZ145" s="7"/>
      <c r="NPA145" s="7"/>
      <c r="NPB145" s="7"/>
      <c r="NPC145" s="7"/>
      <c r="NPD145" s="7"/>
      <c r="NPE145" s="7"/>
      <c r="NPF145" s="7"/>
      <c r="NPG145" s="7"/>
      <c r="NPH145" s="7"/>
      <c r="NPI145" s="7"/>
      <c r="NPJ145" s="7"/>
      <c r="NPK145" s="7"/>
      <c r="NPL145" s="7"/>
      <c r="NPM145" s="7"/>
      <c r="NPN145" s="7"/>
      <c r="NPO145" s="7"/>
      <c r="NPP145" s="7"/>
      <c r="NPQ145" s="7"/>
      <c r="NPR145" s="7"/>
      <c r="NPS145" s="7"/>
      <c r="NPT145" s="7"/>
      <c r="NPU145" s="7"/>
      <c r="NPV145" s="7"/>
      <c r="NPW145" s="7"/>
      <c r="NPX145" s="7"/>
      <c r="NPY145" s="7"/>
      <c r="NPZ145" s="7"/>
      <c r="NQA145" s="7"/>
      <c r="NQB145" s="7"/>
      <c r="NQC145" s="7"/>
      <c r="NQD145" s="7"/>
      <c r="NQE145" s="7"/>
      <c r="NQF145" s="7"/>
      <c r="NQG145" s="7"/>
      <c r="NQH145" s="7"/>
      <c r="NQI145" s="7"/>
      <c r="NQJ145" s="7"/>
      <c r="NQK145" s="7"/>
      <c r="NQL145" s="7"/>
      <c r="NQM145" s="7"/>
      <c r="NQN145" s="7"/>
      <c r="NQO145" s="7"/>
      <c r="NQP145" s="7"/>
      <c r="NQQ145" s="7"/>
      <c r="NQR145" s="7"/>
      <c r="NQS145" s="7"/>
      <c r="NQT145" s="7"/>
      <c r="NQU145" s="7"/>
      <c r="NQV145" s="7"/>
      <c r="NQW145" s="7"/>
      <c r="NQX145" s="7"/>
      <c r="NQY145" s="7"/>
      <c r="NQZ145" s="7"/>
      <c r="NRA145" s="7"/>
      <c r="NRB145" s="7"/>
      <c r="NRC145" s="7"/>
      <c r="NRD145" s="7"/>
      <c r="NRE145" s="7"/>
      <c r="NRF145" s="7"/>
      <c r="NRG145" s="7"/>
      <c r="NRH145" s="7"/>
      <c r="NRI145" s="7"/>
      <c r="NRJ145" s="7"/>
      <c r="NRK145" s="7"/>
      <c r="NRL145" s="7"/>
      <c r="NRM145" s="7"/>
      <c r="NRN145" s="7"/>
      <c r="NRO145" s="7"/>
      <c r="NRP145" s="7"/>
      <c r="NRQ145" s="7"/>
      <c r="NRR145" s="7"/>
      <c r="NRS145" s="7"/>
      <c r="NRT145" s="7"/>
      <c r="NRU145" s="7"/>
      <c r="NRV145" s="7"/>
      <c r="NRW145" s="7"/>
      <c r="NRX145" s="7"/>
      <c r="NRY145" s="7"/>
      <c r="NRZ145" s="7"/>
      <c r="NSA145" s="7"/>
      <c r="NSB145" s="7"/>
      <c r="NSC145" s="7"/>
      <c r="NSD145" s="7"/>
      <c r="NSE145" s="7"/>
      <c r="NSF145" s="7"/>
      <c r="NSG145" s="7"/>
      <c r="NSH145" s="7"/>
      <c r="NSI145" s="7"/>
      <c r="NSJ145" s="7"/>
      <c r="NSK145" s="7"/>
      <c r="NSL145" s="7"/>
      <c r="NSM145" s="7"/>
      <c r="NSN145" s="7"/>
      <c r="NSO145" s="7"/>
      <c r="NSP145" s="7"/>
      <c r="NSQ145" s="7"/>
      <c r="NSR145" s="7"/>
      <c r="NSS145" s="7"/>
      <c r="NST145" s="7"/>
      <c r="NSU145" s="7"/>
      <c r="NSV145" s="7"/>
      <c r="NSW145" s="7"/>
      <c r="NSX145" s="7"/>
      <c r="NSY145" s="7"/>
      <c r="NSZ145" s="7"/>
      <c r="NTA145" s="7"/>
      <c r="NTB145" s="7"/>
      <c r="NTC145" s="7"/>
      <c r="NTD145" s="7"/>
      <c r="NTE145" s="7"/>
      <c r="NTF145" s="7"/>
      <c r="NTG145" s="7"/>
      <c r="NTH145" s="7"/>
      <c r="NTI145" s="7"/>
      <c r="NTJ145" s="7"/>
      <c r="NTK145" s="7"/>
      <c r="NTL145" s="7"/>
      <c r="NTM145" s="7"/>
      <c r="NTN145" s="7"/>
      <c r="NTO145" s="7"/>
      <c r="NTP145" s="7"/>
      <c r="NTQ145" s="7"/>
      <c r="NTR145" s="7"/>
      <c r="NTS145" s="7"/>
      <c r="NTT145" s="7"/>
      <c r="NTU145" s="7"/>
      <c r="NTV145" s="7"/>
      <c r="NTW145" s="7"/>
      <c r="NTX145" s="7"/>
      <c r="NTY145" s="7"/>
      <c r="NTZ145" s="7"/>
      <c r="NUA145" s="7"/>
      <c r="NUB145" s="7"/>
      <c r="NUC145" s="7"/>
      <c r="NUD145" s="7"/>
      <c r="NUE145" s="7"/>
      <c r="NUF145" s="7"/>
      <c r="NUG145" s="7"/>
      <c r="NUH145" s="7"/>
      <c r="NUI145" s="7"/>
      <c r="NUJ145" s="7"/>
      <c r="NUK145" s="7"/>
      <c r="NUL145" s="7"/>
      <c r="NUM145" s="7"/>
      <c r="NUN145" s="7"/>
      <c r="NUO145" s="7"/>
      <c r="NUP145" s="7"/>
      <c r="NUQ145" s="7"/>
      <c r="NUR145" s="7"/>
      <c r="NUS145" s="7"/>
      <c r="NUT145" s="7"/>
      <c r="NUU145" s="7"/>
      <c r="NUV145" s="7"/>
      <c r="NUW145" s="7"/>
      <c r="NUX145" s="7"/>
      <c r="NUY145" s="7"/>
      <c r="NUZ145" s="7"/>
      <c r="NVA145" s="7"/>
      <c r="NVB145" s="7"/>
      <c r="NVC145" s="7"/>
      <c r="NVD145" s="7"/>
      <c r="NVE145" s="7"/>
      <c r="NVF145" s="7"/>
      <c r="NVG145" s="7"/>
      <c r="NVH145" s="7"/>
      <c r="NVI145" s="7"/>
      <c r="NVJ145" s="7"/>
      <c r="NVK145" s="7"/>
      <c r="NVL145" s="7"/>
      <c r="NVM145" s="7"/>
      <c r="NVN145" s="7"/>
      <c r="NVO145" s="7"/>
      <c r="NVP145" s="7"/>
      <c r="NVQ145" s="7"/>
      <c r="NVR145" s="7"/>
      <c r="NVS145" s="7"/>
      <c r="NVT145" s="7"/>
      <c r="NVU145" s="7"/>
      <c r="NVV145" s="7"/>
      <c r="NVW145" s="7"/>
      <c r="NVX145" s="7"/>
      <c r="NVY145" s="7"/>
      <c r="NVZ145" s="7"/>
      <c r="NWA145" s="7"/>
      <c r="NWB145" s="7"/>
      <c r="NWC145" s="7"/>
      <c r="NWD145" s="7"/>
      <c r="NWE145" s="7"/>
      <c r="NWF145" s="7"/>
      <c r="NWG145" s="7"/>
      <c r="NWH145" s="7"/>
      <c r="NWI145" s="7"/>
      <c r="NWJ145" s="7"/>
      <c r="NWK145" s="7"/>
      <c r="NWL145" s="7"/>
      <c r="NWM145" s="7"/>
      <c r="NWN145" s="7"/>
      <c r="NWO145" s="7"/>
      <c r="NWP145" s="7"/>
      <c r="NWQ145" s="7"/>
      <c r="NWR145" s="7"/>
      <c r="NWS145" s="7"/>
      <c r="NWT145" s="7"/>
      <c r="NWU145" s="7"/>
      <c r="NWV145" s="7"/>
      <c r="NWW145" s="7"/>
      <c r="NWX145" s="7"/>
      <c r="NWY145" s="7"/>
      <c r="NWZ145" s="7"/>
      <c r="NXA145" s="7"/>
      <c r="NXB145" s="7"/>
      <c r="NXC145" s="7"/>
      <c r="NXD145" s="7"/>
      <c r="NXE145" s="7"/>
      <c r="NXF145" s="7"/>
      <c r="NXG145" s="7"/>
      <c r="NXH145" s="7"/>
      <c r="NXI145" s="7"/>
      <c r="NXJ145" s="7"/>
      <c r="NXK145" s="7"/>
      <c r="NXL145" s="7"/>
      <c r="NXM145" s="7"/>
      <c r="NXN145" s="7"/>
      <c r="NXO145" s="7"/>
      <c r="NXP145" s="7"/>
      <c r="NXQ145" s="7"/>
      <c r="NXR145" s="7"/>
      <c r="NXS145" s="7"/>
      <c r="NXT145" s="7"/>
      <c r="NXU145" s="7"/>
      <c r="NXV145" s="7"/>
      <c r="NXW145" s="7"/>
      <c r="NXX145" s="7"/>
      <c r="NXY145" s="7"/>
      <c r="NXZ145" s="7"/>
      <c r="NYA145" s="7"/>
      <c r="NYB145" s="7"/>
      <c r="NYC145" s="7"/>
      <c r="NYD145" s="7"/>
      <c r="NYE145" s="7"/>
      <c r="NYF145" s="7"/>
      <c r="NYG145" s="7"/>
      <c r="NYH145" s="7"/>
      <c r="NYI145" s="7"/>
      <c r="NYJ145" s="7"/>
      <c r="NYK145" s="7"/>
      <c r="NYL145" s="7"/>
      <c r="NYM145" s="7"/>
      <c r="NYN145" s="7"/>
      <c r="NYO145" s="7"/>
      <c r="NYP145" s="7"/>
      <c r="NYQ145" s="7"/>
      <c r="NYR145" s="7"/>
      <c r="NYS145" s="7"/>
      <c r="NYT145" s="7"/>
      <c r="NYU145" s="7"/>
      <c r="NYV145" s="7"/>
      <c r="NYW145" s="7"/>
      <c r="NYX145" s="7"/>
      <c r="NYY145" s="7"/>
      <c r="NYZ145" s="7"/>
      <c r="NZA145" s="7"/>
      <c r="NZB145" s="7"/>
      <c r="NZC145" s="7"/>
      <c r="NZD145" s="7"/>
      <c r="NZE145" s="7"/>
      <c r="NZF145" s="7"/>
      <c r="NZG145" s="7"/>
      <c r="NZH145" s="7"/>
      <c r="NZI145" s="7"/>
      <c r="NZJ145" s="7"/>
      <c r="NZK145" s="7"/>
      <c r="NZL145" s="7"/>
      <c r="NZM145" s="7"/>
      <c r="NZN145" s="7"/>
      <c r="NZO145" s="7"/>
      <c r="NZP145" s="7"/>
      <c r="NZQ145" s="7"/>
      <c r="NZR145" s="7"/>
      <c r="NZS145" s="7"/>
      <c r="NZT145" s="7"/>
      <c r="NZU145" s="7"/>
      <c r="NZV145" s="7"/>
      <c r="NZW145" s="7"/>
      <c r="NZX145" s="7"/>
      <c r="NZY145" s="7"/>
      <c r="NZZ145" s="7"/>
      <c r="OAA145" s="7"/>
      <c r="OAB145" s="7"/>
      <c r="OAC145" s="7"/>
      <c r="OAD145" s="7"/>
      <c r="OAE145" s="7"/>
      <c r="OAF145" s="7"/>
      <c r="OAG145" s="7"/>
      <c r="OAH145" s="7"/>
      <c r="OAI145" s="7"/>
      <c r="OAJ145" s="7"/>
      <c r="OAK145" s="7"/>
      <c r="OAL145" s="7"/>
      <c r="OAM145" s="7"/>
      <c r="OAN145" s="7"/>
      <c r="OAO145" s="7"/>
      <c r="OAP145" s="7"/>
      <c r="OAQ145" s="7"/>
      <c r="OAR145" s="7"/>
      <c r="OAS145" s="7"/>
      <c r="OAT145" s="7"/>
      <c r="OAU145" s="7"/>
      <c r="OAV145" s="7"/>
      <c r="OAW145" s="7"/>
      <c r="OAX145" s="7"/>
      <c r="OAY145" s="7"/>
      <c r="OAZ145" s="7"/>
      <c r="OBA145" s="7"/>
      <c r="OBB145" s="7"/>
      <c r="OBC145" s="7"/>
      <c r="OBD145" s="7"/>
      <c r="OBE145" s="7"/>
      <c r="OBF145" s="7"/>
      <c r="OBG145" s="7"/>
      <c r="OBH145" s="7"/>
      <c r="OBI145" s="7"/>
      <c r="OBJ145" s="7"/>
      <c r="OBK145" s="7"/>
      <c r="OBL145" s="7"/>
      <c r="OBM145" s="7"/>
      <c r="OBN145" s="7"/>
      <c r="OBO145" s="7"/>
      <c r="OBP145" s="7"/>
      <c r="OBQ145" s="7"/>
      <c r="OBR145" s="7"/>
      <c r="OBS145" s="7"/>
      <c r="OBT145" s="7"/>
      <c r="OBU145" s="7"/>
      <c r="OBV145" s="7"/>
      <c r="OBW145" s="7"/>
      <c r="OBX145" s="7"/>
      <c r="OBY145" s="7"/>
      <c r="OBZ145" s="7"/>
      <c r="OCA145" s="7"/>
      <c r="OCB145" s="7"/>
      <c r="OCC145" s="7"/>
      <c r="OCD145" s="7"/>
      <c r="OCE145" s="7"/>
      <c r="OCF145" s="7"/>
      <c r="OCG145" s="7"/>
      <c r="OCH145" s="7"/>
      <c r="OCI145" s="7"/>
      <c r="OCJ145" s="7"/>
      <c r="OCK145" s="7"/>
      <c r="OCL145" s="7"/>
      <c r="OCM145" s="7"/>
      <c r="OCN145" s="7"/>
      <c r="OCO145" s="7"/>
      <c r="OCP145" s="7"/>
      <c r="OCQ145" s="7"/>
      <c r="OCR145" s="7"/>
      <c r="OCS145" s="7"/>
      <c r="OCT145" s="7"/>
      <c r="OCU145" s="7"/>
      <c r="OCV145" s="7"/>
      <c r="OCW145" s="7"/>
      <c r="OCX145" s="7"/>
      <c r="OCY145" s="7"/>
      <c r="OCZ145" s="7"/>
      <c r="ODA145" s="7"/>
      <c r="ODB145" s="7"/>
      <c r="ODC145" s="7"/>
      <c r="ODD145" s="7"/>
      <c r="ODE145" s="7"/>
      <c r="ODF145" s="7"/>
      <c r="ODG145" s="7"/>
      <c r="ODH145" s="7"/>
      <c r="ODI145" s="7"/>
      <c r="ODJ145" s="7"/>
      <c r="ODK145" s="7"/>
      <c r="ODL145" s="7"/>
      <c r="ODM145" s="7"/>
      <c r="ODN145" s="7"/>
      <c r="ODO145" s="7"/>
      <c r="ODP145" s="7"/>
      <c r="ODQ145" s="7"/>
      <c r="ODR145" s="7"/>
      <c r="ODS145" s="7"/>
      <c r="ODT145" s="7"/>
      <c r="ODU145" s="7"/>
      <c r="ODV145" s="7"/>
      <c r="ODW145" s="7"/>
      <c r="ODX145" s="7"/>
      <c r="ODY145" s="7"/>
      <c r="ODZ145" s="7"/>
      <c r="OEA145" s="7"/>
      <c r="OEB145" s="7"/>
      <c r="OEC145" s="7"/>
      <c r="OED145" s="7"/>
      <c r="OEE145" s="7"/>
      <c r="OEF145" s="7"/>
      <c r="OEG145" s="7"/>
      <c r="OEH145" s="7"/>
      <c r="OEI145" s="7"/>
      <c r="OEJ145" s="7"/>
      <c r="OEK145" s="7"/>
      <c r="OEL145" s="7"/>
      <c r="OEM145" s="7"/>
      <c r="OEN145" s="7"/>
      <c r="OEO145" s="7"/>
      <c r="OEP145" s="7"/>
      <c r="OEQ145" s="7"/>
      <c r="OER145" s="7"/>
      <c r="OES145" s="7"/>
      <c r="OET145" s="7"/>
      <c r="OEU145" s="7"/>
      <c r="OEV145" s="7"/>
      <c r="OEW145" s="7"/>
      <c r="OEX145" s="7"/>
      <c r="OEY145" s="7"/>
      <c r="OEZ145" s="7"/>
      <c r="OFA145" s="7"/>
      <c r="OFB145" s="7"/>
      <c r="OFC145" s="7"/>
      <c r="OFD145" s="7"/>
      <c r="OFE145" s="7"/>
      <c r="OFF145" s="7"/>
      <c r="OFG145" s="7"/>
      <c r="OFH145" s="7"/>
      <c r="OFI145" s="7"/>
      <c r="OFJ145" s="7"/>
      <c r="OFK145" s="7"/>
      <c r="OFL145" s="7"/>
      <c r="OFM145" s="7"/>
      <c r="OFN145" s="7"/>
      <c r="OFO145" s="7"/>
      <c r="OFP145" s="7"/>
      <c r="OFQ145" s="7"/>
      <c r="OFR145" s="7"/>
      <c r="OFS145" s="7"/>
      <c r="OFT145" s="7"/>
      <c r="OFU145" s="7"/>
      <c r="OFV145" s="7"/>
      <c r="OFW145" s="7"/>
      <c r="OFX145" s="7"/>
      <c r="OFY145" s="7"/>
      <c r="OFZ145" s="7"/>
      <c r="OGA145" s="7"/>
      <c r="OGB145" s="7"/>
      <c r="OGC145" s="7"/>
      <c r="OGD145" s="7"/>
      <c r="OGE145" s="7"/>
      <c r="OGF145" s="7"/>
      <c r="OGG145" s="7"/>
      <c r="OGH145" s="7"/>
      <c r="OGI145" s="7"/>
      <c r="OGJ145" s="7"/>
      <c r="OGK145" s="7"/>
      <c r="OGL145" s="7"/>
      <c r="OGM145" s="7"/>
      <c r="OGN145" s="7"/>
      <c r="OGO145" s="7"/>
      <c r="OGP145" s="7"/>
      <c r="OGQ145" s="7"/>
      <c r="OGR145" s="7"/>
      <c r="OGS145" s="7"/>
      <c r="OGT145" s="7"/>
      <c r="OGU145" s="7"/>
      <c r="OGV145" s="7"/>
      <c r="OGW145" s="7"/>
      <c r="OGX145" s="7"/>
      <c r="OGY145" s="7"/>
      <c r="OGZ145" s="7"/>
      <c r="OHA145" s="7"/>
      <c r="OHB145" s="7"/>
      <c r="OHC145" s="7"/>
      <c r="OHD145" s="7"/>
      <c r="OHE145" s="7"/>
      <c r="OHF145" s="7"/>
      <c r="OHG145" s="7"/>
      <c r="OHH145" s="7"/>
      <c r="OHI145" s="7"/>
      <c r="OHJ145" s="7"/>
      <c r="OHK145" s="7"/>
      <c r="OHL145" s="7"/>
      <c r="OHM145" s="7"/>
      <c r="OHN145" s="7"/>
      <c r="OHO145" s="7"/>
      <c r="OHP145" s="7"/>
      <c r="OHQ145" s="7"/>
      <c r="OHR145" s="7"/>
      <c r="OHS145" s="7"/>
      <c r="OHT145" s="7"/>
      <c r="OHU145" s="7"/>
      <c r="OHV145" s="7"/>
      <c r="OHW145" s="7"/>
      <c r="OHX145" s="7"/>
      <c r="OHY145" s="7"/>
      <c r="OHZ145" s="7"/>
      <c r="OIA145" s="7"/>
      <c r="OIB145" s="7"/>
      <c r="OIC145" s="7"/>
      <c r="OID145" s="7"/>
      <c r="OIE145" s="7"/>
      <c r="OIF145" s="7"/>
      <c r="OIG145" s="7"/>
      <c r="OIH145" s="7"/>
      <c r="OII145" s="7"/>
      <c r="OIJ145" s="7"/>
      <c r="OIK145" s="7"/>
      <c r="OIL145" s="7"/>
      <c r="OIM145" s="7"/>
      <c r="OIN145" s="7"/>
      <c r="OIO145" s="7"/>
      <c r="OIP145" s="7"/>
      <c r="OIQ145" s="7"/>
      <c r="OIR145" s="7"/>
      <c r="OIS145" s="7"/>
      <c r="OIT145" s="7"/>
      <c r="OIU145" s="7"/>
      <c r="OIV145" s="7"/>
      <c r="OIW145" s="7"/>
      <c r="OIX145" s="7"/>
      <c r="OIY145" s="7"/>
      <c r="OIZ145" s="7"/>
      <c r="OJA145" s="7"/>
      <c r="OJB145" s="7"/>
      <c r="OJC145" s="7"/>
      <c r="OJD145" s="7"/>
      <c r="OJE145" s="7"/>
      <c r="OJF145" s="7"/>
      <c r="OJG145" s="7"/>
      <c r="OJH145" s="7"/>
      <c r="OJI145" s="7"/>
      <c r="OJJ145" s="7"/>
      <c r="OJK145" s="7"/>
      <c r="OJL145" s="7"/>
      <c r="OJM145" s="7"/>
      <c r="OJN145" s="7"/>
      <c r="OJO145" s="7"/>
      <c r="OJP145" s="7"/>
      <c r="OJQ145" s="7"/>
      <c r="OJR145" s="7"/>
      <c r="OJS145" s="7"/>
      <c r="OJT145" s="7"/>
      <c r="OJU145" s="7"/>
      <c r="OJV145" s="7"/>
      <c r="OJW145" s="7"/>
      <c r="OJX145" s="7"/>
      <c r="OJY145" s="7"/>
      <c r="OJZ145" s="7"/>
      <c r="OKA145" s="7"/>
      <c r="OKB145" s="7"/>
      <c r="OKC145" s="7"/>
      <c r="OKD145" s="7"/>
      <c r="OKE145" s="7"/>
      <c r="OKF145" s="7"/>
      <c r="OKG145" s="7"/>
      <c r="OKH145" s="7"/>
      <c r="OKI145" s="7"/>
      <c r="OKJ145" s="7"/>
      <c r="OKK145" s="7"/>
      <c r="OKL145" s="7"/>
      <c r="OKM145" s="7"/>
      <c r="OKN145" s="7"/>
      <c r="OKO145" s="7"/>
      <c r="OKP145" s="7"/>
      <c r="OKQ145" s="7"/>
      <c r="OKR145" s="7"/>
      <c r="OKS145" s="7"/>
      <c r="OKT145" s="7"/>
      <c r="OKU145" s="7"/>
      <c r="OKV145" s="7"/>
      <c r="OKW145" s="7"/>
      <c r="OKX145" s="7"/>
      <c r="OKY145" s="7"/>
      <c r="OKZ145" s="7"/>
      <c r="OLA145" s="7"/>
      <c r="OLB145" s="7"/>
      <c r="OLC145" s="7"/>
      <c r="OLD145" s="7"/>
      <c r="OLE145" s="7"/>
      <c r="OLF145" s="7"/>
      <c r="OLG145" s="7"/>
      <c r="OLH145" s="7"/>
      <c r="OLI145" s="7"/>
      <c r="OLJ145" s="7"/>
      <c r="OLK145" s="7"/>
      <c r="OLL145" s="7"/>
      <c r="OLM145" s="7"/>
      <c r="OLN145" s="7"/>
      <c r="OLO145" s="7"/>
      <c r="OLP145" s="7"/>
      <c r="OLQ145" s="7"/>
      <c r="OLR145" s="7"/>
      <c r="OLS145" s="7"/>
      <c r="OLT145" s="7"/>
      <c r="OLU145" s="7"/>
      <c r="OLV145" s="7"/>
      <c r="OLW145" s="7"/>
      <c r="OLX145" s="7"/>
      <c r="OLY145" s="7"/>
      <c r="OLZ145" s="7"/>
      <c r="OMA145" s="7"/>
      <c r="OMB145" s="7"/>
      <c r="OMC145" s="7"/>
      <c r="OMD145" s="7"/>
      <c r="OME145" s="7"/>
      <c r="OMF145" s="7"/>
      <c r="OMG145" s="7"/>
      <c r="OMH145" s="7"/>
      <c r="OMI145" s="7"/>
      <c r="OMJ145" s="7"/>
      <c r="OMK145" s="7"/>
      <c r="OML145" s="7"/>
      <c r="OMM145" s="7"/>
      <c r="OMN145" s="7"/>
      <c r="OMO145" s="7"/>
      <c r="OMP145" s="7"/>
      <c r="OMQ145" s="7"/>
      <c r="OMR145" s="7"/>
      <c r="OMS145" s="7"/>
      <c r="OMT145" s="7"/>
      <c r="OMU145" s="7"/>
      <c r="OMV145" s="7"/>
      <c r="OMW145" s="7"/>
      <c r="OMX145" s="7"/>
      <c r="OMY145" s="7"/>
      <c r="OMZ145" s="7"/>
      <c r="ONA145" s="7"/>
      <c r="ONB145" s="7"/>
      <c r="ONC145" s="7"/>
      <c r="OND145" s="7"/>
      <c r="ONE145" s="7"/>
      <c r="ONF145" s="7"/>
      <c r="ONG145" s="7"/>
      <c r="ONH145" s="7"/>
      <c r="ONI145" s="7"/>
      <c r="ONJ145" s="7"/>
      <c r="ONK145" s="7"/>
      <c r="ONL145" s="7"/>
      <c r="ONM145" s="7"/>
      <c r="ONN145" s="7"/>
      <c r="ONO145" s="7"/>
      <c r="ONP145" s="7"/>
      <c r="ONQ145" s="7"/>
      <c r="ONR145" s="7"/>
      <c r="ONS145" s="7"/>
      <c r="ONT145" s="7"/>
      <c r="ONU145" s="7"/>
      <c r="ONV145" s="7"/>
      <c r="ONW145" s="7"/>
      <c r="ONX145" s="7"/>
      <c r="ONY145" s="7"/>
      <c r="ONZ145" s="7"/>
      <c r="OOA145" s="7"/>
      <c r="OOB145" s="7"/>
      <c r="OOC145" s="7"/>
      <c r="OOD145" s="7"/>
      <c r="OOE145" s="7"/>
      <c r="OOF145" s="7"/>
      <c r="OOG145" s="7"/>
      <c r="OOH145" s="7"/>
      <c r="OOI145" s="7"/>
      <c r="OOJ145" s="7"/>
      <c r="OOK145" s="7"/>
      <c r="OOL145" s="7"/>
      <c r="OOM145" s="7"/>
      <c r="OON145" s="7"/>
      <c r="OOO145" s="7"/>
      <c r="OOP145" s="7"/>
      <c r="OOQ145" s="7"/>
      <c r="OOR145" s="7"/>
      <c r="OOS145" s="7"/>
      <c r="OOT145" s="7"/>
      <c r="OOU145" s="7"/>
      <c r="OOV145" s="7"/>
      <c r="OOW145" s="7"/>
      <c r="OOX145" s="7"/>
      <c r="OOY145" s="7"/>
      <c r="OOZ145" s="7"/>
      <c r="OPA145" s="7"/>
      <c r="OPB145" s="7"/>
      <c r="OPC145" s="7"/>
      <c r="OPD145" s="7"/>
      <c r="OPE145" s="7"/>
      <c r="OPF145" s="7"/>
      <c r="OPG145" s="7"/>
      <c r="OPH145" s="7"/>
      <c r="OPI145" s="7"/>
      <c r="OPJ145" s="7"/>
      <c r="OPK145" s="7"/>
      <c r="OPL145" s="7"/>
      <c r="OPM145" s="7"/>
      <c r="OPN145" s="7"/>
      <c r="OPO145" s="7"/>
      <c r="OPP145" s="7"/>
      <c r="OPQ145" s="7"/>
      <c r="OPR145" s="7"/>
      <c r="OPS145" s="7"/>
      <c r="OPT145" s="7"/>
      <c r="OPU145" s="7"/>
      <c r="OPV145" s="7"/>
      <c r="OPW145" s="7"/>
      <c r="OPX145" s="7"/>
      <c r="OPY145" s="7"/>
      <c r="OPZ145" s="7"/>
      <c r="OQA145" s="7"/>
      <c r="OQB145" s="7"/>
      <c r="OQC145" s="7"/>
      <c r="OQD145" s="7"/>
      <c r="OQE145" s="7"/>
      <c r="OQF145" s="7"/>
      <c r="OQG145" s="7"/>
      <c r="OQH145" s="7"/>
      <c r="OQI145" s="7"/>
      <c r="OQJ145" s="7"/>
      <c r="OQK145" s="7"/>
      <c r="OQL145" s="7"/>
      <c r="OQM145" s="7"/>
      <c r="OQN145" s="7"/>
      <c r="OQO145" s="7"/>
      <c r="OQP145" s="7"/>
      <c r="OQQ145" s="7"/>
      <c r="OQR145" s="7"/>
      <c r="OQS145" s="7"/>
      <c r="OQT145" s="7"/>
      <c r="OQU145" s="7"/>
      <c r="OQV145" s="7"/>
      <c r="OQW145" s="7"/>
      <c r="OQX145" s="7"/>
      <c r="OQY145" s="7"/>
      <c r="OQZ145" s="7"/>
      <c r="ORA145" s="7"/>
      <c r="ORB145" s="7"/>
      <c r="ORC145" s="7"/>
      <c r="ORD145" s="7"/>
      <c r="ORE145" s="7"/>
      <c r="ORF145" s="7"/>
      <c r="ORG145" s="7"/>
      <c r="ORH145" s="7"/>
      <c r="ORI145" s="7"/>
      <c r="ORJ145" s="7"/>
      <c r="ORK145" s="7"/>
      <c r="ORL145" s="7"/>
      <c r="ORM145" s="7"/>
      <c r="ORN145" s="7"/>
      <c r="ORO145" s="7"/>
      <c r="ORP145" s="7"/>
      <c r="ORQ145" s="7"/>
      <c r="ORR145" s="7"/>
      <c r="ORS145" s="7"/>
      <c r="ORT145" s="7"/>
      <c r="ORU145" s="7"/>
      <c r="ORV145" s="7"/>
      <c r="ORW145" s="7"/>
      <c r="ORX145" s="7"/>
      <c r="ORY145" s="7"/>
      <c r="ORZ145" s="7"/>
      <c r="OSA145" s="7"/>
      <c r="OSB145" s="7"/>
      <c r="OSC145" s="7"/>
      <c r="OSD145" s="7"/>
      <c r="OSE145" s="7"/>
      <c r="OSF145" s="7"/>
      <c r="OSG145" s="7"/>
      <c r="OSH145" s="7"/>
      <c r="OSI145" s="7"/>
      <c r="OSJ145" s="7"/>
      <c r="OSK145" s="7"/>
      <c r="OSL145" s="7"/>
      <c r="OSM145" s="7"/>
      <c r="OSN145" s="7"/>
      <c r="OSO145" s="7"/>
      <c r="OSP145" s="7"/>
      <c r="OSQ145" s="7"/>
      <c r="OSR145" s="7"/>
      <c r="OSS145" s="7"/>
      <c r="OST145" s="7"/>
      <c r="OSU145" s="7"/>
      <c r="OSV145" s="7"/>
      <c r="OSW145" s="7"/>
      <c r="OSX145" s="7"/>
      <c r="OSY145" s="7"/>
      <c r="OSZ145" s="7"/>
      <c r="OTA145" s="7"/>
      <c r="OTB145" s="7"/>
      <c r="OTC145" s="7"/>
      <c r="OTD145" s="7"/>
      <c r="OTE145" s="7"/>
      <c r="OTF145" s="7"/>
      <c r="OTG145" s="7"/>
      <c r="OTH145" s="7"/>
      <c r="OTI145" s="7"/>
      <c r="OTJ145" s="7"/>
      <c r="OTK145" s="7"/>
      <c r="OTL145" s="7"/>
      <c r="OTM145" s="7"/>
      <c r="OTN145" s="7"/>
      <c r="OTO145" s="7"/>
      <c r="OTP145" s="7"/>
      <c r="OTQ145" s="7"/>
      <c r="OTR145" s="7"/>
      <c r="OTS145" s="7"/>
      <c r="OTT145" s="7"/>
      <c r="OTU145" s="7"/>
      <c r="OTV145" s="7"/>
      <c r="OTW145" s="7"/>
      <c r="OTX145" s="7"/>
      <c r="OTY145" s="7"/>
      <c r="OTZ145" s="7"/>
      <c r="OUA145" s="7"/>
      <c r="OUB145" s="7"/>
      <c r="OUC145" s="7"/>
      <c r="OUD145" s="7"/>
      <c r="OUE145" s="7"/>
      <c r="OUF145" s="7"/>
      <c r="OUG145" s="7"/>
      <c r="OUH145" s="7"/>
      <c r="OUI145" s="7"/>
      <c r="OUJ145" s="7"/>
      <c r="OUK145" s="7"/>
      <c r="OUL145" s="7"/>
      <c r="OUM145" s="7"/>
      <c r="OUN145" s="7"/>
      <c r="OUO145" s="7"/>
      <c r="OUP145" s="7"/>
      <c r="OUQ145" s="7"/>
      <c r="OUR145" s="7"/>
      <c r="OUS145" s="7"/>
      <c r="OUT145" s="7"/>
      <c r="OUU145" s="7"/>
      <c r="OUV145" s="7"/>
      <c r="OUW145" s="7"/>
      <c r="OUX145" s="7"/>
      <c r="OUY145" s="7"/>
      <c r="OUZ145" s="7"/>
      <c r="OVA145" s="7"/>
      <c r="OVB145" s="7"/>
      <c r="OVC145" s="7"/>
      <c r="OVD145" s="7"/>
      <c r="OVE145" s="7"/>
      <c r="OVF145" s="7"/>
      <c r="OVG145" s="7"/>
      <c r="OVH145" s="7"/>
      <c r="OVI145" s="7"/>
      <c r="OVJ145" s="7"/>
      <c r="OVK145" s="7"/>
      <c r="OVL145" s="7"/>
      <c r="OVM145" s="7"/>
      <c r="OVN145" s="7"/>
      <c r="OVO145" s="7"/>
      <c r="OVP145" s="7"/>
      <c r="OVQ145" s="7"/>
      <c r="OVR145" s="7"/>
      <c r="OVS145" s="7"/>
      <c r="OVT145" s="7"/>
      <c r="OVU145" s="7"/>
      <c r="OVV145" s="7"/>
      <c r="OVW145" s="7"/>
      <c r="OVX145" s="7"/>
      <c r="OVY145" s="7"/>
      <c r="OVZ145" s="7"/>
      <c r="OWA145" s="7"/>
      <c r="OWB145" s="7"/>
      <c r="OWC145" s="7"/>
      <c r="OWD145" s="7"/>
      <c r="OWE145" s="7"/>
      <c r="OWF145" s="7"/>
      <c r="OWG145" s="7"/>
      <c r="OWH145" s="7"/>
      <c r="OWI145" s="7"/>
      <c r="OWJ145" s="7"/>
      <c r="OWK145" s="7"/>
      <c r="OWL145" s="7"/>
      <c r="OWM145" s="7"/>
      <c r="OWN145" s="7"/>
      <c r="OWO145" s="7"/>
      <c r="OWP145" s="7"/>
      <c r="OWQ145" s="7"/>
      <c r="OWR145" s="7"/>
      <c r="OWS145" s="7"/>
      <c r="OWT145" s="7"/>
      <c r="OWU145" s="7"/>
      <c r="OWV145" s="7"/>
      <c r="OWW145" s="7"/>
      <c r="OWX145" s="7"/>
      <c r="OWY145" s="7"/>
      <c r="OWZ145" s="7"/>
      <c r="OXA145" s="7"/>
      <c r="OXB145" s="7"/>
      <c r="OXC145" s="7"/>
      <c r="OXD145" s="7"/>
      <c r="OXE145" s="7"/>
      <c r="OXF145" s="7"/>
      <c r="OXG145" s="7"/>
      <c r="OXH145" s="7"/>
      <c r="OXI145" s="7"/>
      <c r="OXJ145" s="7"/>
      <c r="OXK145" s="7"/>
      <c r="OXL145" s="7"/>
      <c r="OXM145" s="7"/>
      <c r="OXN145" s="7"/>
      <c r="OXO145" s="7"/>
      <c r="OXP145" s="7"/>
      <c r="OXQ145" s="7"/>
      <c r="OXR145" s="7"/>
      <c r="OXS145" s="7"/>
      <c r="OXT145" s="7"/>
      <c r="OXU145" s="7"/>
      <c r="OXV145" s="7"/>
      <c r="OXW145" s="7"/>
      <c r="OXX145" s="7"/>
      <c r="OXY145" s="7"/>
      <c r="OXZ145" s="7"/>
      <c r="OYA145" s="7"/>
      <c r="OYB145" s="7"/>
      <c r="OYC145" s="7"/>
      <c r="OYD145" s="7"/>
      <c r="OYE145" s="7"/>
      <c r="OYF145" s="7"/>
      <c r="OYG145" s="7"/>
      <c r="OYH145" s="7"/>
      <c r="OYI145" s="7"/>
      <c r="OYJ145" s="7"/>
      <c r="OYK145" s="7"/>
      <c r="OYL145" s="7"/>
      <c r="OYM145" s="7"/>
      <c r="OYN145" s="7"/>
      <c r="OYO145" s="7"/>
      <c r="OYP145" s="7"/>
      <c r="OYQ145" s="7"/>
      <c r="OYR145" s="7"/>
      <c r="OYS145" s="7"/>
      <c r="OYT145" s="7"/>
      <c r="OYU145" s="7"/>
      <c r="OYV145" s="7"/>
      <c r="OYW145" s="7"/>
      <c r="OYX145" s="7"/>
      <c r="OYY145" s="7"/>
      <c r="OYZ145" s="7"/>
      <c r="OZA145" s="7"/>
      <c r="OZB145" s="7"/>
      <c r="OZC145" s="7"/>
      <c r="OZD145" s="7"/>
      <c r="OZE145" s="7"/>
      <c r="OZF145" s="7"/>
      <c r="OZG145" s="7"/>
      <c r="OZH145" s="7"/>
      <c r="OZI145" s="7"/>
      <c r="OZJ145" s="7"/>
      <c r="OZK145" s="7"/>
      <c r="OZL145" s="7"/>
      <c r="OZM145" s="7"/>
      <c r="OZN145" s="7"/>
      <c r="OZO145" s="7"/>
      <c r="OZP145" s="7"/>
      <c r="OZQ145" s="7"/>
      <c r="OZR145" s="7"/>
      <c r="OZS145" s="7"/>
      <c r="OZT145" s="7"/>
      <c r="OZU145" s="7"/>
      <c r="OZV145" s="7"/>
      <c r="OZW145" s="7"/>
      <c r="OZX145" s="7"/>
      <c r="OZY145" s="7"/>
      <c r="OZZ145" s="7"/>
      <c r="PAA145" s="7"/>
      <c r="PAB145" s="7"/>
      <c r="PAC145" s="7"/>
      <c r="PAD145" s="7"/>
      <c r="PAE145" s="7"/>
      <c r="PAF145" s="7"/>
      <c r="PAG145" s="7"/>
      <c r="PAH145" s="7"/>
      <c r="PAI145" s="7"/>
      <c r="PAJ145" s="7"/>
      <c r="PAK145" s="7"/>
      <c r="PAL145" s="7"/>
      <c r="PAM145" s="7"/>
      <c r="PAN145" s="7"/>
      <c r="PAO145" s="7"/>
      <c r="PAP145" s="7"/>
      <c r="PAQ145" s="7"/>
      <c r="PAR145" s="7"/>
      <c r="PAS145" s="7"/>
      <c r="PAT145" s="7"/>
      <c r="PAU145" s="7"/>
      <c r="PAV145" s="7"/>
      <c r="PAW145" s="7"/>
      <c r="PAX145" s="7"/>
      <c r="PAY145" s="7"/>
      <c r="PAZ145" s="7"/>
      <c r="PBA145" s="7"/>
      <c r="PBB145" s="7"/>
      <c r="PBC145" s="7"/>
      <c r="PBD145" s="7"/>
      <c r="PBE145" s="7"/>
      <c r="PBF145" s="7"/>
      <c r="PBG145" s="7"/>
      <c r="PBH145" s="7"/>
      <c r="PBI145" s="7"/>
      <c r="PBJ145" s="7"/>
      <c r="PBK145" s="7"/>
      <c r="PBL145" s="7"/>
      <c r="PBM145" s="7"/>
      <c r="PBN145" s="7"/>
      <c r="PBO145" s="7"/>
      <c r="PBP145" s="7"/>
      <c r="PBQ145" s="7"/>
      <c r="PBR145" s="7"/>
      <c r="PBS145" s="7"/>
      <c r="PBT145" s="7"/>
      <c r="PBU145" s="7"/>
      <c r="PBV145" s="7"/>
      <c r="PBW145" s="7"/>
      <c r="PBX145" s="7"/>
      <c r="PBY145" s="7"/>
      <c r="PBZ145" s="7"/>
      <c r="PCA145" s="7"/>
      <c r="PCB145" s="7"/>
      <c r="PCC145" s="7"/>
      <c r="PCD145" s="7"/>
      <c r="PCE145" s="7"/>
      <c r="PCF145" s="7"/>
      <c r="PCG145" s="7"/>
      <c r="PCH145" s="7"/>
      <c r="PCI145" s="7"/>
      <c r="PCJ145" s="7"/>
      <c r="PCK145" s="7"/>
      <c r="PCL145" s="7"/>
      <c r="PCM145" s="7"/>
      <c r="PCN145" s="7"/>
      <c r="PCO145" s="7"/>
      <c r="PCP145" s="7"/>
      <c r="PCQ145" s="7"/>
      <c r="PCR145" s="7"/>
      <c r="PCS145" s="7"/>
      <c r="PCT145" s="7"/>
      <c r="PCU145" s="7"/>
      <c r="PCV145" s="7"/>
      <c r="PCW145" s="7"/>
      <c r="PCX145" s="7"/>
      <c r="PCY145" s="7"/>
      <c r="PCZ145" s="7"/>
      <c r="PDA145" s="7"/>
      <c r="PDB145" s="7"/>
      <c r="PDC145" s="7"/>
      <c r="PDD145" s="7"/>
      <c r="PDE145" s="7"/>
      <c r="PDF145" s="7"/>
      <c r="PDG145" s="7"/>
      <c r="PDH145" s="7"/>
      <c r="PDI145" s="7"/>
      <c r="PDJ145" s="7"/>
      <c r="PDK145" s="7"/>
      <c r="PDL145" s="7"/>
      <c r="PDM145" s="7"/>
      <c r="PDN145" s="7"/>
      <c r="PDO145" s="7"/>
      <c r="PDP145" s="7"/>
      <c r="PDQ145" s="7"/>
      <c r="PDR145" s="7"/>
      <c r="PDS145" s="7"/>
      <c r="PDT145" s="7"/>
      <c r="PDU145" s="7"/>
      <c r="PDV145" s="7"/>
      <c r="PDW145" s="7"/>
      <c r="PDX145" s="7"/>
      <c r="PDY145" s="7"/>
      <c r="PDZ145" s="7"/>
      <c r="PEA145" s="7"/>
      <c r="PEB145" s="7"/>
      <c r="PEC145" s="7"/>
      <c r="PED145" s="7"/>
      <c r="PEE145" s="7"/>
      <c r="PEF145" s="7"/>
      <c r="PEG145" s="7"/>
      <c r="PEH145" s="7"/>
      <c r="PEI145" s="7"/>
      <c r="PEJ145" s="7"/>
      <c r="PEK145" s="7"/>
      <c r="PEL145" s="7"/>
      <c r="PEM145" s="7"/>
      <c r="PEN145" s="7"/>
      <c r="PEO145" s="7"/>
      <c r="PEP145" s="7"/>
      <c r="PEQ145" s="7"/>
      <c r="PER145" s="7"/>
      <c r="PES145" s="7"/>
      <c r="PET145" s="7"/>
      <c r="PEU145" s="7"/>
      <c r="PEV145" s="7"/>
      <c r="PEW145" s="7"/>
      <c r="PEX145" s="7"/>
      <c r="PEY145" s="7"/>
      <c r="PEZ145" s="7"/>
      <c r="PFA145" s="7"/>
      <c r="PFB145" s="7"/>
      <c r="PFC145" s="7"/>
      <c r="PFD145" s="7"/>
      <c r="PFE145" s="7"/>
      <c r="PFF145" s="7"/>
      <c r="PFG145" s="7"/>
      <c r="PFH145" s="7"/>
      <c r="PFI145" s="7"/>
      <c r="PFJ145" s="7"/>
      <c r="PFK145" s="7"/>
      <c r="PFL145" s="7"/>
      <c r="PFM145" s="7"/>
      <c r="PFN145" s="7"/>
      <c r="PFO145" s="7"/>
      <c r="PFP145" s="7"/>
      <c r="PFQ145" s="7"/>
      <c r="PFR145" s="7"/>
      <c r="PFS145" s="7"/>
      <c r="PFT145" s="7"/>
      <c r="PFU145" s="7"/>
      <c r="PFV145" s="7"/>
      <c r="PFW145" s="7"/>
      <c r="PFX145" s="7"/>
      <c r="PFY145" s="7"/>
      <c r="PFZ145" s="7"/>
      <c r="PGA145" s="7"/>
      <c r="PGB145" s="7"/>
      <c r="PGC145" s="7"/>
      <c r="PGD145" s="7"/>
      <c r="PGE145" s="7"/>
      <c r="PGF145" s="7"/>
      <c r="PGG145" s="7"/>
      <c r="PGH145" s="7"/>
      <c r="PGI145" s="7"/>
      <c r="PGJ145" s="7"/>
      <c r="PGK145" s="7"/>
      <c r="PGL145" s="7"/>
      <c r="PGM145" s="7"/>
      <c r="PGN145" s="7"/>
      <c r="PGO145" s="7"/>
      <c r="PGP145" s="7"/>
      <c r="PGQ145" s="7"/>
      <c r="PGR145" s="7"/>
      <c r="PGS145" s="7"/>
      <c r="PGT145" s="7"/>
      <c r="PGU145" s="7"/>
      <c r="PGV145" s="7"/>
      <c r="PGW145" s="7"/>
      <c r="PGX145" s="7"/>
      <c r="PGY145" s="7"/>
      <c r="PGZ145" s="7"/>
      <c r="PHA145" s="7"/>
      <c r="PHB145" s="7"/>
      <c r="PHC145" s="7"/>
      <c r="PHD145" s="7"/>
      <c r="PHE145" s="7"/>
      <c r="PHF145" s="7"/>
      <c r="PHG145" s="7"/>
      <c r="PHH145" s="7"/>
      <c r="PHI145" s="7"/>
      <c r="PHJ145" s="7"/>
      <c r="PHK145" s="7"/>
      <c r="PHL145" s="7"/>
      <c r="PHM145" s="7"/>
      <c r="PHN145" s="7"/>
      <c r="PHO145" s="7"/>
      <c r="PHP145" s="7"/>
      <c r="PHQ145" s="7"/>
      <c r="PHR145" s="7"/>
      <c r="PHS145" s="7"/>
      <c r="PHT145" s="7"/>
      <c r="PHU145" s="7"/>
      <c r="PHV145" s="7"/>
      <c r="PHW145" s="7"/>
      <c r="PHX145" s="7"/>
      <c r="PHY145" s="7"/>
      <c r="PHZ145" s="7"/>
      <c r="PIA145" s="7"/>
      <c r="PIB145" s="7"/>
      <c r="PIC145" s="7"/>
      <c r="PID145" s="7"/>
      <c r="PIE145" s="7"/>
      <c r="PIF145" s="7"/>
      <c r="PIG145" s="7"/>
      <c r="PIH145" s="7"/>
      <c r="PII145" s="7"/>
      <c r="PIJ145" s="7"/>
      <c r="PIK145" s="7"/>
      <c r="PIL145" s="7"/>
      <c r="PIM145" s="7"/>
      <c r="PIN145" s="7"/>
      <c r="PIO145" s="7"/>
      <c r="PIP145" s="7"/>
      <c r="PIQ145" s="7"/>
      <c r="PIR145" s="7"/>
      <c r="PIS145" s="7"/>
      <c r="PIT145" s="7"/>
      <c r="PIU145" s="7"/>
      <c r="PIV145" s="7"/>
      <c r="PIW145" s="7"/>
      <c r="PIX145" s="7"/>
      <c r="PIY145" s="7"/>
      <c r="PIZ145" s="7"/>
      <c r="PJA145" s="7"/>
      <c r="PJB145" s="7"/>
      <c r="PJC145" s="7"/>
      <c r="PJD145" s="7"/>
      <c r="PJE145" s="7"/>
      <c r="PJF145" s="7"/>
      <c r="PJG145" s="7"/>
      <c r="PJH145" s="7"/>
      <c r="PJI145" s="7"/>
      <c r="PJJ145" s="7"/>
      <c r="PJK145" s="7"/>
      <c r="PJL145" s="7"/>
      <c r="PJM145" s="7"/>
      <c r="PJN145" s="7"/>
      <c r="PJO145" s="7"/>
      <c r="PJP145" s="7"/>
      <c r="PJQ145" s="7"/>
      <c r="PJR145" s="7"/>
      <c r="PJS145" s="7"/>
      <c r="PJT145" s="7"/>
      <c r="PJU145" s="7"/>
      <c r="PJV145" s="7"/>
      <c r="PJW145" s="7"/>
      <c r="PJX145" s="7"/>
      <c r="PJY145" s="7"/>
      <c r="PJZ145" s="7"/>
      <c r="PKA145" s="7"/>
      <c r="PKB145" s="7"/>
      <c r="PKC145" s="7"/>
      <c r="PKD145" s="7"/>
      <c r="PKE145" s="7"/>
      <c r="PKF145" s="7"/>
      <c r="PKG145" s="7"/>
      <c r="PKH145" s="7"/>
      <c r="PKI145" s="7"/>
      <c r="PKJ145" s="7"/>
      <c r="PKK145" s="7"/>
      <c r="PKL145" s="7"/>
      <c r="PKM145" s="7"/>
      <c r="PKN145" s="7"/>
      <c r="PKO145" s="7"/>
      <c r="PKP145" s="7"/>
      <c r="PKQ145" s="7"/>
      <c r="PKR145" s="7"/>
      <c r="PKS145" s="7"/>
      <c r="PKT145" s="7"/>
      <c r="PKU145" s="7"/>
      <c r="PKV145" s="7"/>
      <c r="PKW145" s="7"/>
      <c r="PKX145" s="7"/>
      <c r="PKY145" s="7"/>
      <c r="PKZ145" s="7"/>
      <c r="PLA145" s="7"/>
      <c r="PLB145" s="7"/>
      <c r="PLC145" s="7"/>
      <c r="PLD145" s="7"/>
      <c r="PLE145" s="7"/>
      <c r="PLF145" s="7"/>
      <c r="PLG145" s="7"/>
      <c r="PLH145" s="7"/>
      <c r="PLI145" s="7"/>
      <c r="PLJ145" s="7"/>
      <c r="PLK145" s="7"/>
      <c r="PLL145" s="7"/>
      <c r="PLM145" s="7"/>
      <c r="PLN145" s="7"/>
      <c r="PLO145" s="7"/>
      <c r="PLP145" s="7"/>
      <c r="PLQ145" s="7"/>
      <c r="PLR145" s="7"/>
      <c r="PLS145" s="7"/>
      <c r="PLT145" s="7"/>
      <c r="PLU145" s="7"/>
      <c r="PLV145" s="7"/>
      <c r="PLW145" s="7"/>
      <c r="PLX145" s="7"/>
      <c r="PLY145" s="7"/>
      <c r="PLZ145" s="7"/>
      <c r="PMA145" s="7"/>
      <c r="PMB145" s="7"/>
      <c r="PMC145" s="7"/>
      <c r="PMD145" s="7"/>
      <c r="PME145" s="7"/>
      <c r="PMF145" s="7"/>
      <c r="PMG145" s="7"/>
      <c r="PMH145" s="7"/>
      <c r="PMI145" s="7"/>
      <c r="PMJ145" s="7"/>
      <c r="PMK145" s="7"/>
      <c r="PML145" s="7"/>
      <c r="PMM145" s="7"/>
      <c r="PMN145" s="7"/>
      <c r="PMO145" s="7"/>
      <c r="PMP145" s="7"/>
      <c r="PMQ145" s="7"/>
      <c r="PMR145" s="7"/>
      <c r="PMS145" s="7"/>
      <c r="PMT145" s="7"/>
      <c r="PMU145" s="7"/>
      <c r="PMV145" s="7"/>
      <c r="PMW145" s="7"/>
      <c r="PMX145" s="7"/>
      <c r="PMY145" s="7"/>
      <c r="PMZ145" s="7"/>
      <c r="PNA145" s="7"/>
      <c r="PNB145" s="7"/>
      <c r="PNC145" s="7"/>
      <c r="PND145" s="7"/>
      <c r="PNE145" s="7"/>
      <c r="PNF145" s="7"/>
      <c r="PNG145" s="7"/>
      <c r="PNH145" s="7"/>
      <c r="PNI145" s="7"/>
      <c r="PNJ145" s="7"/>
      <c r="PNK145" s="7"/>
      <c r="PNL145" s="7"/>
      <c r="PNM145" s="7"/>
      <c r="PNN145" s="7"/>
      <c r="PNO145" s="7"/>
      <c r="PNP145" s="7"/>
      <c r="PNQ145" s="7"/>
      <c r="PNR145" s="7"/>
      <c r="PNS145" s="7"/>
      <c r="PNT145" s="7"/>
      <c r="PNU145" s="7"/>
      <c r="PNV145" s="7"/>
      <c r="PNW145" s="7"/>
      <c r="PNX145" s="7"/>
      <c r="PNY145" s="7"/>
      <c r="PNZ145" s="7"/>
      <c r="POA145" s="7"/>
      <c r="POB145" s="7"/>
      <c r="POC145" s="7"/>
      <c r="POD145" s="7"/>
      <c r="POE145" s="7"/>
      <c r="POF145" s="7"/>
      <c r="POG145" s="7"/>
      <c r="POH145" s="7"/>
      <c r="POI145" s="7"/>
      <c r="POJ145" s="7"/>
      <c r="POK145" s="7"/>
      <c r="POL145" s="7"/>
      <c r="POM145" s="7"/>
      <c r="PON145" s="7"/>
      <c r="POO145" s="7"/>
      <c r="POP145" s="7"/>
      <c r="POQ145" s="7"/>
      <c r="POR145" s="7"/>
      <c r="POS145" s="7"/>
      <c r="POT145" s="7"/>
      <c r="POU145" s="7"/>
      <c r="POV145" s="7"/>
      <c r="POW145" s="7"/>
      <c r="POX145" s="7"/>
      <c r="POY145" s="7"/>
      <c r="POZ145" s="7"/>
      <c r="PPA145" s="7"/>
      <c r="PPB145" s="7"/>
      <c r="PPC145" s="7"/>
      <c r="PPD145" s="7"/>
      <c r="PPE145" s="7"/>
      <c r="PPF145" s="7"/>
      <c r="PPG145" s="7"/>
      <c r="PPH145" s="7"/>
      <c r="PPI145" s="7"/>
      <c r="PPJ145" s="7"/>
      <c r="PPK145" s="7"/>
      <c r="PPL145" s="7"/>
      <c r="PPM145" s="7"/>
      <c r="PPN145" s="7"/>
      <c r="PPO145" s="7"/>
      <c r="PPP145" s="7"/>
      <c r="PPQ145" s="7"/>
      <c r="PPR145" s="7"/>
      <c r="PPS145" s="7"/>
      <c r="PPT145" s="7"/>
      <c r="PPU145" s="7"/>
      <c r="PPV145" s="7"/>
      <c r="PPW145" s="7"/>
      <c r="PPX145" s="7"/>
      <c r="PPY145" s="7"/>
      <c r="PPZ145" s="7"/>
      <c r="PQA145" s="7"/>
      <c r="PQB145" s="7"/>
      <c r="PQC145" s="7"/>
      <c r="PQD145" s="7"/>
      <c r="PQE145" s="7"/>
      <c r="PQF145" s="7"/>
      <c r="PQG145" s="7"/>
      <c r="PQH145" s="7"/>
      <c r="PQI145" s="7"/>
      <c r="PQJ145" s="7"/>
      <c r="PQK145" s="7"/>
      <c r="PQL145" s="7"/>
      <c r="PQM145" s="7"/>
      <c r="PQN145" s="7"/>
      <c r="PQO145" s="7"/>
      <c r="PQP145" s="7"/>
      <c r="PQQ145" s="7"/>
      <c r="PQR145" s="7"/>
      <c r="PQS145" s="7"/>
      <c r="PQT145" s="7"/>
      <c r="PQU145" s="7"/>
      <c r="PQV145" s="7"/>
      <c r="PQW145" s="7"/>
      <c r="PQX145" s="7"/>
      <c r="PQY145" s="7"/>
      <c r="PQZ145" s="7"/>
      <c r="PRA145" s="7"/>
      <c r="PRB145" s="7"/>
      <c r="PRC145" s="7"/>
      <c r="PRD145" s="7"/>
      <c r="PRE145" s="7"/>
      <c r="PRF145" s="7"/>
      <c r="PRG145" s="7"/>
      <c r="PRH145" s="7"/>
      <c r="PRI145" s="7"/>
      <c r="PRJ145" s="7"/>
      <c r="PRK145" s="7"/>
      <c r="PRL145" s="7"/>
      <c r="PRM145" s="7"/>
      <c r="PRN145" s="7"/>
      <c r="PRO145" s="7"/>
      <c r="PRP145" s="7"/>
      <c r="PRQ145" s="7"/>
      <c r="PRR145" s="7"/>
      <c r="PRS145" s="7"/>
      <c r="PRT145" s="7"/>
      <c r="PRU145" s="7"/>
      <c r="PRV145" s="7"/>
      <c r="PRW145" s="7"/>
      <c r="PRX145" s="7"/>
      <c r="PRY145" s="7"/>
      <c r="PRZ145" s="7"/>
      <c r="PSA145" s="7"/>
      <c r="PSB145" s="7"/>
      <c r="PSC145" s="7"/>
      <c r="PSD145" s="7"/>
      <c r="PSE145" s="7"/>
      <c r="PSF145" s="7"/>
      <c r="PSG145" s="7"/>
      <c r="PSH145" s="7"/>
      <c r="PSI145" s="7"/>
      <c r="PSJ145" s="7"/>
      <c r="PSK145" s="7"/>
      <c r="PSL145" s="7"/>
      <c r="PSM145" s="7"/>
      <c r="PSN145" s="7"/>
      <c r="PSO145" s="7"/>
      <c r="PSP145" s="7"/>
      <c r="PSQ145" s="7"/>
      <c r="PSR145" s="7"/>
      <c r="PSS145" s="7"/>
      <c r="PST145" s="7"/>
      <c r="PSU145" s="7"/>
      <c r="PSV145" s="7"/>
      <c r="PSW145" s="7"/>
      <c r="PSX145" s="7"/>
      <c r="PSY145" s="7"/>
      <c r="PSZ145" s="7"/>
      <c r="PTA145" s="7"/>
      <c r="PTB145" s="7"/>
      <c r="PTC145" s="7"/>
      <c r="PTD145" s="7"/>
      <c r="PTE145" s="7"/>
      <c r="PTF145" s="7"/>
      <c r="PTG145" s="7"/>
      <c r="PTH145" s="7"/>
      <c r="PTI145" s="7"/>
      <c r="PTJ145" s="7"/>
      <c r="PTK145" s="7"/>
      <c r="PTL145" s="7"/>
      <c r="PTM145" s="7"/>
      <c r="PTN145" s="7"/>
      <c r="PTO145" s="7"/>
      <c r="PTP145" s="7"/>
      <c r="PTQ145" s="7"/>
      <c r="PTR145" s="7"/>
      <c r="PTS145" s="7"/>
      <c r="PTT145" s="7"/>
      <c r="PTU145" s="7"/>
      <c r="PTV145" s="7"/>
      <c r="PTW145" s="7"/>
      <c r="PTX145" s="7"/>
      <c r="PTY145" s="7"/>
      <c r="PTZ145" s="7"/>
      <c r="PUA145" s="7"/>
      <c r="PUB145" s="7"/>
      <c r="PUC145" s="7"/>
      <c r="PUD145" s="7"/>
      <c r="PUE145" s="7"/>
      <c r="PUF145" s="7"/>
      <c r="PUG145" s="7"/>
      <c r="PUH145" s="7"/>
      <c r="PUI145" s="7"/>
      <c r="PUJ145" s="7"/>
      <c r="PUK145" s="7"/>
      <c r="PUL145" s="7"/>
      <c r="PUM145" s="7"/>
      <c r="PUN145" s="7"/>
      <c r="PUO145" s="7"/>
      <c r="PUP145" s="7"/>
      <c r="PUQ145" s="7"/>
      <c r="PUR145" s="7"/>
      <c r="PUS145" s="7"/>
      <c r="PUT145" s="7"/>
      <c r="PUU145" s="7"/>
      <c r="PUV145" s="7"/>
      <c r="PUW145" s="7"/>
      <c r="PUX145" s="7"/>
      <c r="PUY145" s="7"/>
      <c r="PUZ145" s="7"/>
      <c r="PVA145" s="7"/>
      <c r="PVB145" s="7"/>
      <c r="PVC145" s="7"/>
      <c r="PVD145" s="7"/>
      <c r="PVE145" s="7"/>
      <c r="PVF145" s="7"/>
      <c r="PVG145" s="7"/>
      <c r="PVH145" s="7"/>
      <c r="PVI145" s="7"/>
      <c r="PVJ145" s="7"/>
      <c r="PVK145" s="7"/>
      <c r="PVL145" s="7"/>
      <c r="PVM145" s="7"/>
      <c r="PVN145" s="7"/>
      <c r="PVO145" s="7"/>
      <c r="PVP145" s="7"/>
      <c r="PVQ145" s="7"/>
      <c r="PVR145" s="7"/>
      <c r="PVS145" s="7"/>
      <c r="PVT145" s="7"/>
      <c r="PVU145" s="7"/>
      <c r="PVV145" s="7"/>
      <c r="PVW145" s="7"/>
      <c r="PVX145" s="7"/>
      <c r="PVY145" s="7"/>
      <c r="PVZ145" s="7"/>
      <c r="PWA145" s="7"/>
      <c r="PWB145" s="7"/>
      <c r="PWC145" s="7"/>
      <c r="PWD145" s="7"/>
      <c r="PWE145" s="7"/>
      <c r="PWF145" s="7"/>
      <c r="PWG145" s="7"/>
      <c r="PWH145" s="7"/>
      <c r="PWI145" s="7"/>
      <c r="PWJ145" s="7"/>
      <c r="PWK145" s="7"/>
      <c r="PWL145" s="7"/>
      <c r="PWM145" s="7"/>
      <c r="PWN145" s="7"/>
      <c r="PWO145" s="7"/>
      <c r="PWP145" s="7"/>
      <c r="PWQ145" s="7"/>
      <c r="PWR145" s="7"/>
      <c r="PWS145" s="7"/>
      <c r="PWT145" s="7"/>
      <c r="PWU145" s="7"/>
      <c r="PWV145" s="7"/>
      <c r="PWW145" s="7"/>
      <c r="PWX145" s="7"/>
      <c r="PWY145" s="7"/>
      <c r="PWZ145" s="7"/>
      <c r="PXA145" s="7"/>
      <c r="PXB145" s="7"/>
      <c r="PXC145" s="7"/>
      <c r="PXD145" s="7"/>
      <c r="PXE145" s="7"/>
      <c r="PXF145" s="7"/>
      <c r="PXG145" s="7"/>
      <c r="PXH145" s="7"/>
      <c r="PXI145" s="7"/>
      <c r="PXJ145" s="7"/>
      <c r="PXK145" s="7"/>
      <c r="PXL145" s="7"/>
      <c r="PXM145" s="7"/>
      <c r="PXN145" s="7"/>
      <c r="PXO145" s="7"/>
      <c r="PXP145" s="7"/>
      <c r="PXQ145" s="7"/>
      <c r="PXR145" s="7"/>
      <c r="PXS145" s="7"/>
      <c r="PXT145" s="7"/>
      <c r="PXU145" s="7"/>
      <c r="PXV145" s="7"/>
      <c r="PXW145" s="7"/>
      <c r="PXX145" s="7"/>
      <c r="PXY145" s="7"/>
      <c r="PXZ145" s="7"/>
      <c r="PYA145" s="7"/>
      <c r="PYB145" s="7"/>
      <c r="PYC145" s="7"/>
      <c r="PYD145" s="7"/>
      <c r="PYE145" s="7"/>
      <c r="PYF145" s="7"/>
      <c r="PYG145" s="7"/>
      <c r="PYH145" s="7"/>
      <c r="PYI145" s="7"/>
      <c r="PYJ145" s="7"/>
      <c r="PYK145" s="7"/>
      <c r="PYL145" s="7"/>
      <c r="PYM145" s="7"/>
      <c r="PYN145" s="7"/>
      <c r="PYO145" s="7"/>
      <c r="PYP145" s="7"/>
      <c r="PYQ145" s="7"/>
      <c r="PYR145" s="7"/>
      <c r="PYS145" s="7"/>
      <c r="PYT145" s="7"/>
      <c r="PYU145" s="7"/>
      <c r="PYV145" s="7"/>
      <c r="PYW145" s="7"/>
      <c r="PYX145" s="7"/>
      <c r="PYY145" s="7"/>
      <c r="PYZ145" s="7"/>
      <c r="PZA145" s="7"/>
      <c r="PZB145" s="7"/>
      <c r="PZC145" s="7"/>
      <c r="PZD145" s="7"/>
      <c r="PZE145" s="7"/>
      <c r="PZF145" s="7"/>
      <c r="PZG145" s="7"/>
      <c r="PZH145" s="7"/>
      <c r="PZI145" s="7"/>
      <c r="PZJ145" s="7"/>
      <c r="PZK145" s="7"/>
      <c r="PZL145" s="7"/>
      <c r="PZM145" s="7"/>
      <c r="PZN145" s="7"/>
      <c r="PZO145" s="7"/>
      <c r="PZP145" s="7"/>
      <c r="PZQ145" s="7"/>
      <c r="PZR145" s="7"/>
      <c r="PZS145" s="7"/>
      <c r="PZT145" s="7"/>
      <c r="PZU145" s="7"/>
      <c r="PZV145" s="7"/>
      <c r="PZW145" s="7"/>
      <c r="PZX145" s="7"/>
      <c r="PZY145" s="7"/>
      <c r="PZZ145" s="7"/>
      <c r="QAA145" s="7"/>
      <c r="QAB145" s="7"/>
      <c r="QAC145" s="7"/>
      <c r="QAD145" s="7"/>
      <c r="QAE145" s="7"/>
      <c r="QAF145" s="7"/>
      <c r="QAG145" s="7"/>
      <c r="QAH145" s="7"/>
      <c r="QAI145" s="7"/>
      <c r="QAJ145" s="7"/>
      <c r="QAK145" s="7"/>
      <c r="QAL145" s="7"/>
      <c r="QAM145" s="7"/>
      <c r="QAN145" s="7"/>
      <c r="QAO145" s="7"/>
      <c r="QAP145" s="7"/>
      <c r="QAQ145" s="7"/>
      <c r="QAR145" s="7"/>
      <c r="QAS145" s="7"/>
      <c r="QAT145" s="7"/>
      <c r="QAU145" s="7"/>
      <c r="QAV145" s="7"/>
      <c r="QAW145" s="7"/>
      <c r="QAX145" s="7"/>
      <c r="QAY145" s="7"/>
      <c r="QAZ145" s="7"/>
      <c r="QBA145" s="7"/>
      <c r="QBB145" s="7"/>
      <c r="QBC145" s="7"/>
      <c r="QBD145" s="7"/>
      <c r="QBE145" s="7"/>
      <c r="QBF145" s="7"/>
      <c r="QBG145" s="7"/>
      <c r="QBH145" s="7"/>
      <c r="QBI145" s="7"/>
      <c r="QBJ145" s="7"/>
      <c r="QBK145" s="7"/>
      <c r="QBL145" s="7"/>
      <c r="QBM145" s="7"/>
      <c r="QBN145" s="7"/>
      <c r="QBO145" s="7"/>
      <c r="QBP145" s="7"/>
      <c r="QBQ145" s="7"/>
      <c r="QBR145" s="7"/>
      <c r="QBS145" s="7"/>
      <c r="QBT145" s="7"/>
      <c r="QBU145" s="7"/>
      <c r="QBV145" s="7"/>
      <c r="QBW145" s="7"/>
      <c r="QBX145" s="7"/>
      <c r="QBY145" s="7"/>
      <c r="QBZ145" s="7"/>
      <c r="QCA145" s="7"/>
      <c r="QCB145" s="7"/>
      <c r="QCC145" s="7"/>
      <c r="QCD145" s="7"/>
      <c r="QCE145" s="7"/>
      <c r="QCF145" s="7"/>
      <c r="QCG145" s="7"/>
      <c r="QCH145" s="7"/>
      <c r="QCI145" s="7"/>
      <c r="QCJ145" s="7"/>
      <c r="QCK145" s="7"/>
      <c r="QCL145" s="7"/>
      <c r="QCM145" s="7"/>
      <c r="QCN145" s="7"/>
      <c r="QCO145" s="7"/>
      <c r="QCP145" s="7"/>
      <c r="QCQ145" s="7"/>
      <c r="QCR145" s="7"/>
      <c r="QCS145" s="7"/>
      <c r="QCT145" s="7"/>
      <c r="QCU145" s="7"/>
      <c r="QCV145" s="7"/>
      <c r="QCW145" s="7"/>
      <c r="QCX145" s="7"/>
      <c r="QCY145" s="7"/>
      <c r="QCZ145" s="7"/>
      <c r="QDA145" s="7"/>
      <c r="QDB145" s="7"/>
      <c r="QDC145" s="7"/>
      <c r="QDD145" s="7"/>
      <c r="QDE145" s="7"/>
      <c r="QDF145" s="7"/>
      <c r="QDG145" s="7"/>
      <c r="QDH145" s="7"/>
      <c r="QDI145" s="7"/>
      <c r="QDJ145" s="7"/>
      <c r="QDK145" s="7"/>
      <c r="QDL145" s="7"/>
      <c r="QDM145" s="7"/>
      <c r="QDN145" s="7"/>
      <c r="QDO145" s="7"/>
      <c r="QDP145" s="7"/>
      <c r="QDQ145" s="7"/>
      <c r="QDR145" s="7"/>
      <c r="QDS145" s="7"/>
      <c r="QDT145" s="7"/>
      <c r="QDU145" s="7"/>
      <c r="QDV145" s="7"/>
      <c r="QDW145" s="7"/>
      <c r="QDX145" s="7"/>
      <c r="QDY145" s="7"/>
      <c r="QDZ145" s="7"/>
      <c r="QEA145" s="7"/>
      <c r="QEB145" s="7"/>
      <c r="QEC145" s="7"/>
      <c r="QED145" s="7"/>
      <c r="QEE145" s="7"/>
      <c r="QEF145" s="7"/>
      <c r="QEG145" s="7"/>
      <c r="QEH145" s="7"/>
      <c r="QEI145" s="7"/>
      <c r="QEJ145" s="7"/>
      <c r="QEK145" s="7"/>
      <c r="QEL145" s="7"/>
      <c r="QEM145" s="7"/>
      <c r="QEN145" s="7"/>
      <c r="QEO145" s="7"/>
      <c r="QEP145" s="7"/>
      <c r="QEQ145" s="7"/>
      <c r="QER145" s="7"/>
      <c r="QES145" s="7"/>
      <c r="QET145" s="7"/>
      <c r="QEU145" s="7"/>
      <c r="QEV145" s="7"/>
      <c r="QEW145" s="7"/>
      <c r="QEX145" s="7"/>
      <c r="QEY145" s="7"/>
      <c r="QEZ145" s="7"/>
      <c r="QFA145" s="7"/>
      <c r="QFB145" s="7"/>
      <c r="QFC145" s="7"/>
      <c r="QFD145" s="7"/>
      <c r="QFE145" s="7"/>
      <c r="QFF145" s="7"/>
      <c r="QFG145" s="7"/>
      <c r="QFH145" s="7"/>
      <c r="QFI145" s="7"/>
      <c r="QFJ145" s="7"/>
      <c r="QFK145" s="7"/>
      <c r="QFL145" s="7"/>
      <c r="QFM145" s="7"/>
      <c r="QFN145" s="7"/>
      <c r="QFO145" s="7"/>
      <c r="QFP145" s="7"/>
      <c r="QFQ145" s="7"/>
      <c r="QFR145" s="7"/>
      <c r="QFS145" s="7"/>
      <c r="QFT145" s="7"/>
      <c r="QFU145" s="7"/>
      <c r="QFV145" s="7"/>
      <c r="QFW145" s="7"/>
      <c r="QFX145" s="7"/>
      <c r="QFY145" s="7"/>
      <c r="QFZ145" s="7"/>
      <c r="QGA145" s="7"/>
      <c r="QGB145" s="7"/>
      <c r="QGC145" s="7"/>
      <c r="QGD145" s="7"/>
      <c r="QGE145" s="7"/>
      <c r="QGF145" s="7"/>
      <c r="QGG145" s="7"/>
      <c r="QGH145" s="7"/>
      <c r="QGI145" s="7"/>
      <c r="QGJ145" s="7"/>
      <c r="QGK145" s="7"/>
      <c r="QGL145" s="7"/>
      <c r="QGM145" s="7"/>
      <c r="QGN145" s="7"/>
      <c r="QGO145" s="7"/>
      <c r="QGP145" s="7"/>
      <c r="QGQ145" s="7"/>
      <c r="QGR145" s="7"/>
      <c r="QGS145" s="7"/>
      <c r="QGT145" s="7"/>
      <c r="QGU145" s="7"/>
      <c r="QGV145" s="7"/>
      <c r="QGW145" s="7"/>
      <c r="QGX145" s="7"/>
      <c r="QGY145" s="7"/>
      <c r="QGZ145" s="7"/>
      <c r="QHA145" s="7"/>
      <c r="QHB145" s="7"/>
      <c r="QHC145" s="7"/>
      <c r="QHD145" s="7"/>
      <c r="QHE145" s="7"/>
      <c r="QHF145" s="7"/>
      <c r="QHG145" s="7"/>
      <c r="QHH145" s="7"/>
      <c r="QHI145" s="7"/>
      <c r="QHJ145" s="7"/>
      <c r="QHK145" s="7"/>
      <c r="QHL145" s="7"/>
      <c r="QHM145" s="7"/>
      <c r="QHN145" s="7"/>
      <c r="QHO145" s="7"/>
      <c r="QHP145" s="7"/>
      <c r="QHQ145" s="7"/>
      <c r="QHR145" s="7"/>
      <c r="QHS145" s="7"/>
      <c r="QHT145" s="7"/>
      <c r="QHU145" s="7"/>
      <c r="QHV145" s="7"/>
      <c r="QHW145" s="7"/>
      <c r="QHX145" s="7"/>
      <c r="QHY145" s="7"/>
      <c r="QHZ145" s="7"/>
      <c r="QIA145" s="7"/>
      <c r="QIB145" s="7"/>
      <c r="QIC145" s="7"/>
      <c r="QID145" s="7"/>
      <c r="QIE145" s="7"/>
      <c r="QIF145" s="7"/>
      <c r="QIG145" s="7"/>
      <c r="QIH145" s="7"/>
      <c r="QII145" s="7"/>
      <c r="QIJ145" s="7"/>
      <c r="QIK145" s="7"/>
      <c r="QIL145" s="7"/>
      <c r="QIM145" s="7"/>
      <c r="QIN145" s="7"/>
      <c r="QIO145" s="7"/>
      <c r="QIP145" s="7"/>
      <c r="QIQ145" s="7"/>
      <c r="QIR145" s="7"/>
      <c r="QIS145" s="7"/>
      <c r="QIT145" s="7"/>
      <c r="QIU145" s="7"/>
      <c r="QIV145" s="7"/>
      <c r="QIW145" s="7"/>
      <c r="QIX145" s="7"/>
      <c r="QIY145" s="7"/>
      <c r="QIZ145" s="7"/>
      <c r="QJA145" s="7"/>
      <c r="QJB145" s="7"/>
      <c r="QJC145" s="7"/>
      <c r="QJD145" s="7"/>
      <c r="QJE145" s="7"/>
      <c r="QJF145" s="7"/>
      <c r="QJG145" s="7"/>
      <c r="QJH145" s="7"/>
      <c r="QJI145" s="7"/>
      <c r="QJJ145" s="7"/>
      <c r="QJK145" s="7"/>
      <c r="QJL145" s="7"/>
      <c r="QJM145" s="7"/>
      <c r="QJN145" s="7"/>
      <c r="QJO145" s="7"/>
      <c r="QJP145" s="7"/>
      <c r="QJQ145" s="7"/>
      <c r="QJR145" s="7"/>
      <c r="QJS145" s="7"/>
      <c r="QJT145" s="7"/>
      <c r="QJU145" s="7"/>
      <c r="QJV145" s="7"/>
      <c r="QJW145" s="7"/>
      <c r="QJX145" s="7"/>
      <c r="QJY145" s="7"/>
      <c r="QJZ145" s="7"/>
      <c r="QKA145" s="7"/>
      <c r="QKB145" s="7"/>
      <c r="QKC145" s="7"/>
      <c r="QKD145" s="7"/>
      <c r="QKE145" s="7"/>
      <c r="QKF145" s="7"/>
      <c r="QKG145" s="7"/>
      <c r="QKH145" s="7"/>
      <c r="QKI145" s="7"/>
      <c r="QKJ145" s="7"/>
      <c r="QKK145" s="7"/>
      <c r="QKL145" s="7"/>
      <c r="QKM145" s="7"/>
      <c r="QKN145" s="7"/>
      <c r="QKO145" s="7"/>
      <c r="QKP145" s="7"/>
      <c r="QKQ145" s="7"/>
      <c r="QKR145" s="7"/>
      <c r="QKS145" s="7"/>
      <c r="QKT145" s="7"/>
      <c r="QKU145" s="7"/>
      <c r="QKV145" s="7"/>
      <c r="QKW145" s="7"/>
      <c r="QKX145" s="7"/>
      <c r="QKY145" s="7"/>
      <c r="QKZ145" s="7"/>
      <c r="QLA145" s="7"/>
      <c r="QLB145" s="7"/>
      <c r="QLC145" s="7"/>
      <c r="QLD145" s="7"/>
      <c r="QLE145" s="7"/>
      <c r="QLF145" s="7"/>
      <c r="QLG145" s="7"/>
      <c r="QLH145" s="7"/>
      <c r="QLI145" s="7"/>
      <c r="QLJ145" s="7"/>
      <c r="QLK145" s="7"/>
      <c r="QLL145" s="7"/>
      <c r="QLM145" s="7"/>
      <c r="QLN145" s="7"/>
      <c r="QLO145" s="7"/>
      <c r="QLP145" s="7"/>
      <c r="QLQ145" s="7"/>
      <c r="QLR145" s="7"/>
      <c r="QLS145" s="7"/>
      <c r="QLT145" s="7"/>
      <c r="QLU145" s="7"/>
      <c r="QLV145" s="7"/>
      <c r="QLW145" s="7"/>
      <c r="QLX145" s="7"/>
      <c r="QLY145" s="7"/>
      <c r="QLZ145" s="7"/>
      <c r="QMA145" s="7"/>
      <c r="QMB145" s="7"/>
      <c r="QMC145" s="7"/>
      <c r="QMD145" s="7"/>
      <c r="QME145" s="7"/>
      <c r="QMF145" s="7"/>
      <c r="QMG145" s="7"/>
      <c r="QMH145" s="7"/>
      <c r="QMI145" s="7"/>
      <c r="QMJ145" s="7"/>
      <c r="QMK145" s="7"/>
      <c r="QML145" s="7"/>
      <c r="QMM145" s="7"/>
      <c r="QMN145" s="7"/>
      <c r="QMO145" s="7"/>
      <c r="QMP145" s="7"/>
      <c r="QMQ145" s="7"/>
      <c r="QMR145" s="7"/>
      <c r="QMS145" s="7"/>
      <c r="QMT145" s="7"/>
      <c r="QMU145" s="7"/>
      <c r="QMV145" s="7"/>
      <c r="QMW145" s="7"/>
      <c r="QMX145" s="7"/>
      <c r="QMY145" s="7"/>
      <c r="QMZ145" s="7"/>
      <c r="QNA145" s="7"/>
      <c r="QNB145" s="7"/>
      <c r="QNC145" s="7"/>
      <c r="QND145" s="7"/>
      <c r="QNE145" s="7"/>
      <c r="QNF145" s="7"/>
      <c r="QNG145" s="7"/>
      <c r="QNH145" s="7"/>
      <c r="QNI145" s="7"/>
      <c r="QNJ145" s="7"/>
      <c r="QNK145" s="7"/>
      <c r="QNL145" s="7"/>
      <c r="QNM145" s="7"/>
      <c r="QNN145" s="7"/>
      <c r="QNO145" s="7"/>
      <c r="QNP145" s="7"/>
      <c r="QNQ145" s="7"/>
      <c r="QNR145" s="7"/>
      <c r="QNS145" s="7"/>
      <c r="QNT145" s="7"/>
      <c r="QNU145" s="7"/>
      <c r="QNV145" s="7"/>
      <c r="QNW145" s="7"/>
      <c r="QNX145" s="7"/>
      <c r="QNY145" s="7"/>
      <c r="QNZ145" s="7"/>
      <c r="QOA145" s="7"/>
      <c r="QOB145" s="7"/>
      <c r="QOC145" s="7"/>
      <c r="QOD145" s="7"/>
      <c r="QOE145" s="7"/>
      <c r="QOF145" s="7"/>
      <c r="QOG145" s="7"/>
      <c r="QOH145" s="7"/>
      <c r="QOI145" s="7"/>
      <c r="QOJ145" s="7"/>
      <c r="QOK145" s="7"/>
      <c r="QOL145" s="7"/>
      <c r="QOM145" s="7"/>
      <c r="QON145" s="7"/>
      <c r="QOO145" s="7"/>
      <c r="QOP145" s="7"/>
      <c r="QOQ145" s="7"/>
      <c r="QOR145" s="7"/>
      <c r="QOS145" s="7"/>
      <c r="QOT145" s="7"/>
      <c r="QOU145" s="7"/>
      <c r="QOV145" s="7"/>
      <c r="QOW145" s="7"/>
      <c r="QOX145" s="7"/>
      <c r="QOY145" s="7"/>
      <c r="QOZ145" s="7"/>
      <c r="QPA145" s="7"/>
      <c r="QPB145" s="7"/>
      <c r="QPC145" s="7"/>
      <c r="QPD145" s="7"/>
      <c r="QPE145" s="7"/>
      <c r="QPF145" s="7"/>
      <c r="QPG145" s="7"/>
      <c r="QPH145" s="7"/>
      <c r="QPI145" s="7"/>
      <c r="QPJ145" s="7"/>
      <c r="QPK145" s="7"/>
      <c r="QPL145" s="7"/>
      <c r="QPM145" s="7"/>
      <c r="QPN145" s="7"/>
      <c r="QPO145" s="7"/>
      <c r="QPP145" s="7"/>
      <c r="QPQ145" s="7"/>
      <c r="QPR145" s="7"/>
      <c r="QPS145" s="7"/>
      <c r="QPT145" s="7"/>
      <c r="QPU145" s="7"/>
      <c r="QPV145" s="7"/>
      <c r="QPW145" s="7"/>
      <c r="QPX145" s="7"/>
      <c r="QPY145" s="7"/>
      <c r="QPZ145" s="7"/>
      <c r="QQA145" s="7"/>
      <c r="QQB145" s="7"/>
      <c r="QQC145" s="7"/>
      <c r="QQD145" s="7"/>
      <c r="QQE145" s="7"/>
      <c r="QQF145" s="7"/>
      <c r="QQG145" s="7"/>
      <c r="QQH145" s="7"/>
      <c r="QQI145" s="7"/>
      <c r="QQJ145" s="7"/>
      <c r="QQK145" s="7"/>
      <c r="QQL145" s="7"/>
      <c r="QQM145" s="7"/>
      <c r="QQN145" s="7"/>
      <c r="QQO145" s="7"/>
      <c r="QQP145" s="7"/>
      <c r="QQQ145" s="7"/>
      <c r="QQR145" s="7"/>
      <c r="QQS145" s="7"/>
      <c r="QQT145" s="7"/>
      <c r="QQU145" s="7"/>
      <c r="QQV145" s="7"/>
      <c r="QQW145" s="7"/>
      <c r="QQX145" s="7"/>
      <c r="QQY145" s="7"/>
      <c r="QQZ145" s="7"/>
      <c r="QRA145" s="7"/>
      <c r="QRB145" s="7"/>
      <c r="QRC145" s="7"/>
      <c r="QRD145" s="7"/>
      <c r="QRE145" s="7"/>
      <c r="QRF145" s="7"/>
      <c r="QRG145" s="7"/>
      <c r="QRH145" s="7"/>
      <c r="QRI145" s="7"/>
      <c r="QRJ145" s="7"/>
      <c r="QRK145" s="7"/>
      <c r="QRL145" s="7"/>
      <c r="QRM145" s="7"/>
      <c r="QRN145" s="7"/>
      <c r="QRO145" s="7"/>
      <c r="QRP145" s="7"/>
      <c r="QRQ145" s="7"/>
      <c r="QRR145" s="7"/>
      <c r="QRS145" s="7"/>
      <c r="QRT145" s="7"/>
      <c r="QRU145" s="7"/>
      <c r="QRV145" s="7"/>
      <c r="QRW145" s="7"/>
      <c r="QRX145" s="7"/>
      <c r="QRY145" s="7"/>
      <c r="QRZ145" s="7"/>
      <c r="QSA145" s="7"/>
      <c r="QSB145" s="7"/>
      <c r="QSC145" s="7"/>
      <c r="QSD145" s="7"/>
      <c r="QSE145" s="7"/>
      <c r="QSF145" s="7"/>
      <c r="QSG145" s="7"/>
      <c r="QSH145" s="7"/>
      <c r="QSI145" s="7"/>
      <c r="QSJ145" s="7"/>
      <c r="QSK145" s="7"/>
      <c r="QSL145" s="7"/>
      <c r="QSM145" s="7"/>
      <c r="QSN145" s="7"/>
      <c r="QSO145" s="7"/>
      <c r="QSP145" s="7"/>
      <c r="QSQ145" s="7"/>
      <c r="QSR145" s="7"/>
      <c r="QSS145" s="7"/>
      <c r="QST145" s="7"/>
      <c r="QSU145" s="7"/>
      <c r="QSV145" s="7"/>
      <c r="QSW145" s="7"/>
      <c r="QSX145" s="7"/>
      <c r="QSY145" s="7"/>
      <c r="QSZ145" s="7"/>
      <c r="QTA145" s="7"/>
      <c r="QTB145" s="7"/>
      <c r="QTC145" s="7"/>
      <c r="QTD145" s="7"/>
      <c r="QTE145" s="7"/>
      <c r="QTF145" s="7"/>
      <c r="QTG145" s="7"/>
      <c r="QTH145" s="7"/>
      <c r="QTI145" s="7"/>
      <c r="QTJ145" s="7"/>
      <c r="QTK145" s="7"/>
      <c r="QTL145" s="7"/>
      <c r="QTM145" s="7"/>
      <c r="QTN145" s="7"/>
      <c r="QTO145" s="7"/>
      <c r="QTP145" s="7"/>
      <c r="QTQ145" s="7"/>
      <c r="QTR145" s="7"/>
      <c r="QTS145" s="7"/>
      <c r="QTT145" s="7"/>
      <c r="QTU145" s="7"/>
      <c r="QTV145" s="7"/>
      <c r="QTW145" s="7"/>
      <c r="QTX145" s="7"/>
      <c r="QTY145" s="7"/>
      <c r="QTZ145" s="7"/>
      <c r="QUA145" s="7"/>
      <c r="QUB145" s="7"/>
      <c r="QUC145" s="7"/>
      <c r="QUD145" s="7"/>
      <c r="QUE145" s="7"/>
      <c r="QUF145" s="7"/>
      <c r="QUG145" s="7"/>
      <c r="QUH145" s="7"/>
      <c r="QUI145" s="7"/>
      <c r="QUJ145" s="7"/>
      <c r="QUK145" s="7"/>
      <c r="QUL145" s="7"/>
      <c r="QUM145" s="7"/>
      <c r="QUN145" s="7"/>
      <c r="QUO145" s="7"/>
      <c r="QUP145" s="7"/>
      <c r="QUQ145" s="7"/>
      <c r="QUR145" s="7"/>
      <c r="QUS145" s="7"/>
      <c r="QUT145" s="7"/>
      <c r="QUU145" s="7"/>
      <c r="QUV145" s="7"/>
      <c r="QUW145" s="7"/>
      <c r="QUX145" s="7"/>
      <c r="QUY145" s="7"/>
      <c r="QUZ145" s="7"/>
      <c r="QVA145" s="7"/>
      <c r="QVB145" s="7"/>
      <c r="QVC145" s="7"/>
      <c r="QVD145" s="7"/>
      <c r="QVE145" s="7"/>
      <c r="QVF145" s="7"/>
      <c r="QVG145" s="7"/>
      <c r="QVH145" s="7"/>
      <c r="QVI145" s="7"/>
      <c r="QVJ145" s="7"/>
      <c r="QVK145" s="7"/>
      <c r="QVL145" s="7"/>
      <c r="QVM145" s="7"/>
      <c r="QVN145" s="7"/>
      <c r="QVO145" s="7"/>
      <c r="QVP145" s="7"/>
      <c r="QVQ145" s="7"/>
      <c r="QVR145" s="7"/>
      <c r="QVS145" s="7"/>
      <c r="QVT145" s="7"/>
      <c r="QVU145" s="7"/>
      <c r="QVV145" s="7"/>
      <c r="QVW145" s="7"/>
      <c r="QVX145" s="7"/>
      <c r="QVY145" s="7"/>
      <c r="QVZ145" s="7"/>
      <c r="QWA145" s="7"/>
      <c r="QWB145" s="7"/>
      <c r="QWC145" s="7"/>
      <c r="QWD145" s="7"/>
      <c r="QWE145" s="7"/>
      <c r="QWF145" s="7"/>
      <c r="QWG145" s="7"/>
      <c r="QWH145" s="7"/>
      <c r="QWI145" s="7"/>
      <c r="QWJ145" s="7"/>
      <c r="QWK145" s="7"/>
      <c r="QWL145" s="7"/>
      <c r="QWM145" s="7"/>
      <c r="QWN145" s="7"/>
      <c r="QWO145" s="7"/>
      <c r="QWP145" s="7"/>
      <c r="QWQ145" s="7"/>
      <c r="QWR145" s="7"/>
      <c r="QWS145" s="7"/>
      <c r="QWT145" s="7"/>
      <c r="QWU145" s="7"/>
      <c r="QWV145" s="7"/>
      <c r="QWW145" s="7"/>
      <c r="QWX145" s="7"/>
      <c r="QWY145" s="7"/>
      <c r="QWZ145" s="7"/>
      <c r="QXA145" s="7"/>
      <c r="QXB145" s="7"/>
      <c r="QXC145" s="7"/>
      <c r="QXD145" s="7"/>
      <c r="QXE145" s="7"/>
      <c r="QXF145" s="7"/>
      <c r="QXG145" s="7"/>
      <c r="QXH145" s="7"/>
      <c r="QXI145" s="7"/>
      <c r="QXJ145" s="7"/>
      <c r="QXK145" s="7"/>
      <c r="QXL145" s="7"/>
      <c r="QXM145" s="7"/>
      <c r="QXN145" s="7"/>
      <c r="QXO145" s="7"/>
      <c r="QXP145" s="7"/>
      <c r="QXQ145" s="7"/>
      <c r="QXR145" s="7"/>
      <c r="QXS145" s="7"/>
      <c r="QXT145" s="7"/>
      <c r="QXU145" s="7"/>
      <c r="QXV145" s="7"/>
      <c r="QXW145" s="7"/>
      <c r="QXX145" s="7"/>
      <c r="QXY145" s="7"/>
      <c r="QXZ145" s="7"/>
      <c r="QYA145" s="7"/>
      <c r="QYB145" s="7"/>
      <c r="QYC145" s="7"/>
      <c r="QYD145" s="7"/>
      <c r="QYE145" s="7"/>
      <c r="QYF145" s="7"/>
      <c r="QYG145" s="7"/>
      <c r="QYH145" s="7"/>
      <c r="QYI145" s="7"/>
      <c r="QYJ145" s="7"/>
      <c r="QYK145" s="7"/>
      <c r="QYL145" s="7"/>
      <c r="QYM145" s="7"/>
      <c r="QYN145" s="7"/>
      <c r="QYO145" s="7"/>
      <c r="QYP145" s="7"/>
      <c r="QYQ145" s="7"/>
      <c r="QYR145" s="7"/>
      <c r="QYS145" s="7"/>
      <c r="QYT145" s="7"/>
      <c r="QYU145" s="7"/>
      <c r="QYV145" s="7"/>
      <c r="QYW145" s="7"/>
      <c r="QYX145" s="7"/>
      <c r="QYY145" s="7"/>
      <c r="QYZ145" s="7"/>
      <c r="QZA145" s="7"/>
      <c r="QZB145" s="7"/>
      <c r="QZC145" s="7"/>
      <c r="QZD145" s="7"/>
      <c r="QZE145" s="7"/>
      <c r="QZF145" s="7"/>
      <c r="QZG145" s="7"/>
      <c r="QZH145" s="7"/>
      <c r="QZI145" s="7"/>
      <c r="QZJ145" s="7"/>
      <c r="QZK145" s="7"/>
      <c r="QZL145" s="7"/>
      <c r="QZM145" s="7"/>
      <c r="QZN145" s="7"/>
      <c r="QZO145" s="7"/>
      <c r="QZP145" s="7"/>
      <c r="QZQ145" s="7"/>
      <c r="QZR145" s="7"/>
      <c r="QZS145" s="7"/>
      <c r="QZT145" s="7"/>
      <c r="QZU145" s="7"/>
      <c r="QZV145" s="7"/>
      <c r="QZW145" s="7"/>
      <c r="QZX145" s="7"/>
      <c r="QZY145" s="7"/>
      <c r="QZZ145" s="7"/>
      <c r="RAA145" s="7"/>
      <c r="RAB145" s="7"/>
      <c r="RAC145" s="7"/>
      <c r="RAD145" s="7"/>
      <c r="RAE145" s="7"/>
      <c r="RAF145" s="7"/>
      <c r="RAG145" s="7"/>
      <c r="RAH145" s="7"/>
      <c r="RAI145" s="7"/>
      <c r="RAJ145" s="7"/>
      <c r="RAK145" s="7"/>
      <c r="RAL145" s="7"/>
      <c r="RAM145" s="7"/>
      <c r="RAN145" s="7"/>
      <c r="RAO145" s="7"/>
      <c r="RAP145" s="7"/>
      <c r="RAQ145" s="7"/>
      <c r="RAR145" s="7"/>
      <c r="RAS145" s="7"/>
      <c r="RAT145" s="7"/>
      <c r="RAU145" s="7"/>
      <c r="RAV145" s="7"/>
      <c r="RAW145" s="7"/>
      <c r="RAX145" s="7"/>
      <c r="RAY145" s="7"/>
      <c r="RAZ145" s="7"/>
      <c r="RBA145" s="7"/>
      <c r="RBB145" s="7"/>
      <c r="RBC145" s="7"/>
      <c r="RBD145" s="7"/>
      <c r="RBE145" s="7"/>
      <c r="RBF145" s="7"/>
      <c r="RBG145" s="7"/>
      <c r="RBH145" s="7"/>
      <c r="RBI145" s="7"/>
      <c r="RBJ145" s="7"/>
      <c r="RBK145" s="7"/>
      <c r="RBL145" s="7"/>
      <c r="RBM145" s="7"/>
      <c r="RBN145" s="7"/>
      <c r="RBO145" s="7"/>
      <c r="RBP145" s="7"/>
      <c r="RBQ145" s="7"/>
      <c r="RBR145" s="7"/>
      <c r="RBS145" s="7"/>
      <c r="RBT145" s="7"/>
      <c r="RBU145" s="7"/>
      <c r="RBV145" s="7"/>
      <c r="RBW145" s="7"/>
      <c r="RBX145" s="7"/>
      <c r="RBY145" s="7"/>
      <c r="RBZ145" s="7"/>
      <c r="RCA145" s="7"/>
      <c r="RCB145" s="7"/>
      <c r="RCC145" s="7"/>
      <c r="RCD145" s="7"/>
      <c r="RCE145" s="7"/>
      <c r="RCF145" s="7"/>
      <c r="RCG145" s="7"/>
      <c r="RCH145" s="7"/>
      <c r="RCI145" s="7"/>
      <c r="RCJ145" s="7"/>
      <c r="RCK145" s="7"/>
      <c r="RCL145" s="7"/>
      <c r="RCM145" s="7"/>
      <c r="RCN145" s="7"/>
      <c r="RCO145" s="7"/>
      <c r="RCP145" s="7"/>
      <c r="RCQ145" s="7"/>
      <c r="RCR145" s="7"/>
      <c r="RCS145" s="7"/>
      <c r="RCT145" s="7"/>
      <c r="RCU145" s="7"/>
      <c r="RCV145" s="7"/>
      <c r="RCW145" s="7"/>
      <c r="RCX145" s="7"/>
      <c r="RCY145" s="7"/>
      <c r="RCZ145" s="7"/>
      <c r="RDA145" s="7"/>
      <c r="RDB145" s="7"/>
      <c r="RDC145" s="7"/>
      <c r="RDD145" s="7"/>
      <c r="RDE145" s="7"/>
      <c r="RDF145" s="7"/>
      <c r="RDG145" s="7"/>
      <c r="RDH145" s="7"/>
      <c r="RDI145" s="7"/>
      <c r="RDJ145" s="7"/>
      <c r="RDK145" s="7"/>
      <c r="RDL145" s="7"/>
      <c r="RDM145" s="7"/>
      <c r="RDN145" s="7"/>
      <c r="RDO145" s="7"/>
      <c r="RDP145" s="7"/>
      <c r="RDQ145" s="7"/>
      <c r="RDR145" s="7"/>
      <c r="RDS145" s="7"/>
      <c r="RDT145" s="7"/>
      <c r="RDU145" s="7"/>
      <c r="RDV145" s="7"/>
      <c r="RDW145" s="7"/>
      <c r="RDX145" s="7"/>
      <c r="RDY145" s="7"/>
      <c r="RDZ145" s="7"/>
      <c r="REA145" s="7"/>
      <c r="REB145" s="7"/>
      <c r="REC145" s="7"/>
      <c r="RED145" s="7"/>
      <c r="REE145" s="7"/>
      <c r="REF145" s="7"/>
      <c r="REG145" s="7"/>
      <c r="REH145" s="7"/>
      <c r="REI145" s="7"/>
      <c r="REJ145" s="7"/>
      <c r="REK145" s="7"/>
      <c r="REL145" s="7"/>
      <c r="REM145" s="7"/>
      <c r="REN145" s="7"/>
      <c r="REO145" s="7"/>
      <c r="REP145" s="7"/>
      <c r="REQ145" s="7"/>
      <c r="RER145" s="7"/>
      <c r="RES145" s="7"/>
      <c r="RET145" s="7"/>
      <c r="REU145" s="7"/>
      <c r="REV145" s="7"/>
      <c r="REW145" s="7"/>
      <c r="REX145" s="7"/>
      <c r="REY145" s="7"/>
      <c r="REZ145" s="7"/>
      <c r="RFA145" s="7"/>
      <c r="RFB145" s="7"/>
      <c r="RFC145" s="7"/>
      <c r="RFD145" s="7"/>
      <c r="RFE145" s="7"/>
      <c r="RFF145" s="7"/>
      <c r="RFG145" s="7"/>
      <c r="RFH145" s="7"/>
      <c r="RFI145" s="7"/>
      <c r="RFJ145" s="7"/>
      <c r="RFK145" s="7"/>
      <c r="RFL145" s="7"/>
      <c r="RFM145" s="7"/>
      <c r="RFN145" s="7"/>
      <c r="RFO145" s="7"/>
      <c r="RFP145" s="7"/>
      <c r="RFQ145" s="7"/>
      <c r="RFR145" s="7"/>
      <c r="RFS145" s="7"/>
      <c r="RFT145" s="7"/>
      <c r="RFU145" s="7"/>
      <c r="RFV145" s="7"/>
      <c r="RFW145" s="7"/>
      <c r="RFX145" s="7"/>
      <c r="RFY145" s="7"/>
      <c r="RFZ145" s="7"/>
      <c r="RGA145" s="7"/>
      <c r="RGB145" s="7"/>
      <c r="RGC145" s="7"/>
      <c r="RGD145" s="7"/>
      <c r="RGE145" s="7"/>
      <c r="RGF145" s="7"/>
      <c r="RGG145" s="7"/>
      <c r="RGH145" s="7"/>
      <c r="RGI145" s="7"/>
      <c r="RGJ145" s="7"/>
      <c r="RGK145" s="7"/>
      <c r="RGL145" s="7"/>
      <c r="RGM145" s="7"/>
      <c r="RGN145" s="7"/>
      <c r="RGO145" s="7"/>
      <c r="RGP145" s="7"/>
      <c r="RGQ145" s="7"/>
      <c r="RGR145" s="7"/>
      <c r="RGS145" s="7"/>
      <c r="RGT145" s="7"/>
      <c r="RGU145" s="7"/>
      <c r="RGV145" s="7"/>
      <c r="RGW145" s="7"/>
      <c r="RGX145" s="7"/>
      <c r="RGY145" s="7"/>
      <c r="RGZ145" s="7"/>
      <c r="RHA145" s="7"/>
      <c r="RHB145" s="7"/>
      <c r="RHC145" s="7"/>
      <c r="RHD145" s="7"/>
      <c r="RHE145" s="7"/>
      <c r="RHF145" s="7"/>
      <c r="RHG145" s="7"/>
      <c r="RHH145" s="7"/>
      <c r="RHI145" s="7"/>
      <c r="RHJ145" s="7"/>
      <c r="RHK145" s="7"/>
      <c r="RHL145" s="7"/>
      <c r="RHM145" s="7"/>
      <c r="RHN145" s="7"/>
      <c r="RHO145" s="7"/>
      <c r="RHP145" s="7"/>
      <c r="RHQ145" s="7"/>
      <c r="RHR145" s="7"/>
      <c r="RHS145" s="7"/>
      <c r="RHT145" s="7"/>
      <c r="RHU145" s="7"/>
      <c r="RHV145" s="7"/>
      <c r="RHW145" s="7"/>
      <c r="RHX145" s="7"/>
      <c r="RHY145" s="7"/>
      <c r="RHZ145" s="7"/>
      <c r="RIA145" s="7"/>
      <c r="RIB145" s="7"/>
      <c r="RIC145" s="7"/>
      <c r="RID145" s="7"/>
      <c r="RIE145" s="7"/>
      <c r="RIF145" s="7"/>
      <c r="RIG145" s="7"/>
      <c r="RIH145" s="7"/>
      <c r="RII145" s="7"/>
      <c r="RIJ145" s="7"/>
      <c r="RIK145" s="7"/>
      <c r="RIL145" s="7"/>
      <c r="RIM145" s="7"/>
      <c r="RIN145" s="7"/>
      <c r="RIO145" s="7"/>
      <c r="RIP145" s="7"/>
      <c r="RIQ145" s="7"/>
      <c r="RIR145" s="7"/>
      <c r="RIS145" s="7"/>
      <c r="RIT145" s="7"/>
      <c r="RIU145" s="7"/>
      <c r="RIV145" s="7"/>
      <c r="RIW145" s="7"/>
      <c r="RIX145" s="7"/>
      <c r="RIY145" s="7"/>
      <c r="RIZ145" s="7"/>
      <c r="RJA145" s="7"/>
      <c r="RJB145" s="7"/>
      <c r="RJC145" s="7"/>
      <c r="RJD145" s="7"/>
      <c r="RJE145" s="7"/>
      <c r="RJF145" s="7"/>
      <c r="RJG145" s="7"/>
      <c r="RJH145" s="7"/>
      <c r="RJI145" s="7"/>
      <c r="RJJ145" s="7"/>
      <c r="RJK145" s="7"/>
      <c r="RJL145" s="7"/>
      <c r="RJM145" s="7"/>
      <c r="RJN145" s="7"/>
      <c r="RJO145" s="7"/>
      <c r="RJP145" s="7"/>
      <c r="RJQ145" s="7"/>
      <c r="RJR145" s="7"/>
      <c r="RJS145" s="7"/>
      <c r="RJT145" s="7"/>
      <c r="RJU145" s="7"/>
      <c r="RJV145" s="7"/>
      <c r="RJW145" s="7"/>
      <c r="RJX145" s="7"/>
      <c r="RJY145" s="7"/>
      <c r="RJZ145" s="7"/>
      <c r="RKA145" s="7"/>
      <c r="RKB145" s="7"/>
      <c r="RKC145" s="7"/>
      <c r="RKD145" s="7"/>
      <c r="RKE145" s="7"/>
      <c r="RKF145" s="7"/>
      <c r="RKG145" s="7"/>
      <c r="RKH145" s="7"/>
      <c r="RKI145" s="7"/>
      <c r="RKJ145" s="7"/>
      <c r="RKK145" s="7"/>
      <c r="RKL145" s="7"/>
      <c r="RKM145" s="7"/>
      <c r="RKN145" s="7"/>
      <c r="RKO145" s="7"/>
      <c r="RKP145" s="7"/>
      <c r="RKQ145" s="7"/>
      <c r="RKR145" s="7"/>
      <c r="RKS145" s="7"/>
      <c r="RKT145" s="7"/>
      <c r="RKU145" s="7"/>
      <c r="RKV145" s="7"/>
      <c r="RKW145" s="7"/>
      <c r="RKX145" s="7"/>
      <c r="RKY145" s="7"/>
      <c r="RKZ145" s="7"/>
      <c r="RLA145" s="7"/>
      <c r="RLB145" s="7"/>
      <c r="RLC145" s="7"/>
      <c r="RLD145" s="7"/>
      <c r="RLE145" s="7"/>
      <c r="RLF145" s="7"/>
      <c r="RLG145" s="7"/>
      <c r="RLH145" s="7"/>
      <c r="RLI145" s="7"/>
      <c r="RLJ145" s="7"/>
      <c r="RLK145" s="7"/>
      <c r="RLL145" s="7"/>
      <c r="RLM145" s="7"/>
      <c r="RLN145" s="7"/>
      <c r="RLO145" s="7"/>
      <c r="RLP145" s="7"/>
      <c r="RLQ145" s="7"/>
      <c r="RLR145" s="7"/>
      <c r="RLS145" s="7"/>
      <c r="RLT145" s="7"/>
      <c r="RLU145" s="7"/>
      <c r="RLV145" s="7"/>
      <c r="RLW145" s="7"/>
      <c r="RLX145" s="7"/>
      <c r="RLY145" s="7"/>
      <c r="RLZ145" s="7"/>
      <c r="RMA145" s="7"/>
      <c r="RMB145" s="7"/>
      <c r="RMC145" s="7"/>
      <c r="RMD145" s="7"/>
      <c r="RME145" s="7"/>
      <c r="RMF145" s="7"/>
      <c r="RMG145" s="7"/>
      <c r="RMH145" s="7"/>
      <c r="RMI145" s="7"/>
      <c r="RMJ145" s="7"/>
      <c r="RMK145" s="7"/>
      <c r="RML145" s="7"/>
      <c r="RMM145" s="7"/>
      <c r="RMN145" s="7"/>
      <c r="RMO145" s="7"/>
      <c r="RMP145" s="7"/>
      <c r="RMQ145" s="7"/>
      <c r="RMR145" s="7"/>
      <c r="RMS145" s="7"/>
      <c r="RMT145" s="7"/>
      <c r="RMU145" s="7"/>
      <c r="RMV145" s="7"/>
      <c r="RMW145" s="7"/>
      <c r="RMX145" s="7"/>
      <c r="RMY145" s="7"/>
      <c r="RMZ145" s="7"/>
      <c r="RNA145" s="7"/>
      <c r="RNB145" s="7"/>
      <c r="RNC145" s="7"/>
      <c r="RND145" s="7"/>
      <c r="RNE145" s="7"/>
      <c r="RNF145" s="7"/>
      <c r="RNG145" s="7"/>
      <c r="RNH145" s="7"/>
      <c r="RNI145" s="7"/>
      <c r="RNJ145" s="7"/>
      <c r="RNK145" s="7"/>
      <c r="RNL145" s="7"/>
      <c r="RNM145" s="7"/>
      <c r="RNN145" s="7"/>
      <c r="RNO145" s="7"/>
      <c r="RNP145" s="7"/>
      <c r="RNQ145" s="7"/>
      <c r="RNR145" s="7"/>
      <c r="RNS145" s="7"/>
      <c r="RNT145" s="7"/>
      <c r="RNU145" s="7"/>
      <c r="RNV145" s="7"/>
      <c r="RNW145" s="7"/>
      <c r="RNX145" s="7"/>
      <c r="RNY145" s="7"/>
      <c r="RNZ145" s="7"/>
      <c r="ROA145" s="7"/>
      <c r="ROB145" s="7"/>
      <c r="ROC145" s="7"/>
      <c r="ROD145" s="7"/>
      <c r="ROE145" s="7"/>
      <c r="ROF145" s="7"/>
      <c r="ROG145" s="7"/>
      <c r="ROH145" s="7"/>
      <c r="ROI145" s="7"/>
      <c r="ROJ145" s="7"/>
      <c r="ROK145" s="7"/>
      <c r="ROL145" s="7"/>
      <c r="ROM145" s="7"/>
      <c r="RON145" s="7"/>
      <c r="ROO145" s="7"/>
      <c r="ROP145" s="7"/>
      <c r="ROQ145" s="7"/>
      <c r="ROR145" s="7"/>
      <c r="ROS145" s="7"/>
      <c r="ROT145" s="7"/>
      <c r="ROU145" s="7"/>
      <c r="ROV145" s="7"/>
      <c r="ROW145" s="7"/>
      <c r="ROX145" s="7"/>
      <c r="ROY145" s="7"/>
      <c r="ROZ145" s="7"/>
      <c r="RPA145" s="7"/>
      <c r="RPB145" s="7"/>
      <c r="RPC145" s="7"/>
      <c r="RPD145" s="7"/>
      <c r="RPE145" s="7"/>
      <c r="RPF145" s="7"/>
      <c r="RPG145" s="7"/>
      <c r="RPH145" s="7"/>
      <c r="RPI145" s="7"/>
      <c r="RPJ145" s="7"/>
      <c r="RPK145" s="7"/>
      <c r="RPL145" s="7"/>
      <c r="RPM145" s="7"/>
      <c r="RPN145" s="7"/>
      <c r="RPO145" s="7"/>
      <c r="RPP145" s="7"/>
      <c r="RPQ145" s="7"/>
      <c r="RPR145" s="7"/>
      <c r="RPS145" s="7"/>
      <c r="RPT145" s="7"/>
      <c r="RPU145" s="7"/>
      <c r="RPV145" s="7"/>
      <c r="RPW145" s="7"/>
      <c r="RPX145" s="7"/>
      <c r="RPY145" s="7"/>
      <c r="RPZ145" s="7"/>
      <c r="RQA145" s="7"/>
      <c r="RQB145" s="7"/>
      <c r="RQC145" s="7"/>
      <c r="RQD145" s="7"/>
      <c r="RQE145" s="7"/>
      <c r="RQF145" s="7"/>
      <c r="RQG145" s="7"/>
      <c r="RQH145" s="7"/>
      <c r="RQI145" s="7"/>
      <c r="RQJ145" s="7"/>
      <c r="RQK145" s="7"/>
      <c r="RQL145" s="7"/>
      <c r="RQM145" s="7"/>
      <c r="RQN145" s="7"/>
      <c r="RQO145" s="7"/>
      <c r="RQP145" s="7"/>
      <c r="RQQ145" s="7"/>
      <c r="RQR145" s="7"/>
      <c r="RQS145" s="7"/>
      <c r="RQT145" s="7"/>
      <c r="RQU145" s="7"/>
      <c r="RQV145" s="7"/>
      <c r="RQW145" s="7"/>
      <c r="RQX145" s="7"/>
      <c r="RQY145" s="7"/>
      <c r="RQZ145" s="7"/>
      <c r="RRA145" s="7"/>
      <c r="RRB145" s="7"/>
      <c r="RRC145" s="7"/>
      <c r="RRD145" s="7"/>
      <c r="RRE145" s="7"/>
      <c r="RRF145" s="7"/>
      <c r="RRG145" s="7"/>
      <c r="RRH145" s="7"/>
      <c r="RRI145" s="7"/>
      <c r="RRJ145" s="7"/>
      <c r="RRK145" s="7"/>
      <c r="RRL145" s="7"/>
      <c r="RRM145" s="7"/>
      <c r="RRN145" s="7"/>
      <c r="RRO145" s="7"/>
      <c r="RRP145" s="7"/>
      <c r="RRQ145" s="7"/>
      <c r="RRR145" s="7"/>
      <c r="RRS145" s="7"/>
      <c r="RRT145" s="7"/>
      <c r="RRU145" s="7"/>
      <c r="RRV145" s="7"/>
      <c r="RRW145" s="7"/>
      <c r="RRX145" s="7"/>
      <c r="RRY145" s="7"/>
      <c r="RRZ145" s="7"/>
      <c r="RSA145" s="7"/>
      <c r="RSB145" s="7"/>
      <c r="RSC145" s="7"/>
      <c r="RSD145" s="7"/>
      <c r="RSE145" s="7"/>
      <c r="RSF145" s="7"/>
      <c r="RSG145" s="7"/>
      <c r="RSH145" s="7"/>
      <c r="RSI145" s="7"/>
      <c r="RSJ145" s="7"/>
      <c r="RSK145" s="7"/>
      <c r="RSL145" s="7"/>
      <c r="RSM145" s="7"/>
      <c r="RSN145" s="7"/>
      <c r="RSO145" s="7"/>
      <c r="RSP145" s="7"/>
      <c r="RSQ145" s="7"/>
      <c r="RSR145" s="7"/>
      <c r="RSS145" s="7"/>
      <c r="RST145" s="7"/>
      <c r="RSU145" s="7"/>
      <c r="RSV145" s="7"/>
      <c r="RSW145" s="7"/>
      <c r="RSX145" s="7"/>
      <c r="RSY145" s="7"/>
      <c r="RSZ145" s="7"/>
      <c r="RTA145" s="7"/>
      <c r="RTB145" s="7"/>
      <c r="RTC145" s="7"/>
      <c r="RTD145" s="7"/>
      <c r="RTE145" s="7"/>
      <c r="RTF145" s="7"/>
      <c r="RTG145" s="7"/>
      <c r="RTH145" s="7"/>
      <c r="RTI145" s="7"/>
      <c r="RTJ145" s="7"/>
      <c r="RTK145" s="7"/>
      <c r="RTL145" s="7"/>
      <c r="RTM145" s="7"/>
      <c r="RTN145" s="7"/>
      <c r="RTO145" s="7"/>
      <c r="RTP145" s="7"/>
      <c r="RTQ145" s="7"/>
      <c r="RTR145" s="7"/>
      <c r="RTS145" s="7"/>
      <c r="RTT145" s="7"/>
      <c r="RTU145" s="7"/>
      <c r="RTV145" s="7"/>
      <c r="RTW145" s="7"/>
      <c r="RTX145" s="7"/>
      <c r="RTY145" s="7"/>
      <c r="RTZ145" s="7"/>
      <c r="RUA145" s="7"/>
      <c r="RUB145" s="7"/>
      <c r="RUC145" s="7"/>
      <c r="RUD145" s="7"/>
      <c r="RUE145" s="7"/>
      <c r="RUF145" s="7"/>
      <c r="RUG145" s="7"/>
      <c r="RUH145" s="7"/>
      <c r="RUI145" s="7"/>
      <c r="RUJ145" s="7"/>
      <c r="RUK145" s="7"/>
      <c r="RUL145" s="7"/>
      <c r="RUM145" s="7"/>
      <c r="RUN145" s="7"/>
      <c r="RUO145" s="7"/>
      <c r="RUP145" s="7"/>
      <c r="RUQ145" s="7"/>
      <c r="RUR145" s="7"/>
      <c r="RUS145" s="7"/>
      <c r="RUT145" s="7"/>
      <c r="RUU145" s="7"/>
      <c r="RUV145" s="7"/>
      <c r="RUW145" s="7"/>
      <c r="RUX145" s="7"/>
      <c r="RUY145" s="7"/>
      <c r="RUZ145" s="7"/>
      <c r="RVA145" s="7"/>
      <c r="RVB145" s="7"/>
      <c r="RVC145" s="7"/>
      <c r="RVD145" s="7"/>
      <c r="RVE145" s="7"/>
      <c r="RVF145" s="7"/>
      <c r="RVG145" s="7"/>
      <c r="RVH145" s="7"/>
      <c r="RVI145" s="7"/>
      <c r="RVJ145" s="7"/>
      <c r="RVK145" s="7"/>
      <c r="RVL145" s="7"/>
      <c r="RVM145" s="7"/>
      <c r="RVN145" s="7"/>
      <c r="RVO145" s="7"/>
      <c r="RVP145" s="7"/>
      <c r="RVQ145" s="7"/>
      <c r="RVR145" s="7"/>
      <c r="RVS145" s="7"/>
      <c r="RVT145" s="7"/>
      <c r="RVU145" s="7"/>
      <c r="RVV145" s="7"/>
      <c r="RVW145" s="7"/>
      <c r="RVX145" s="7"/>
      <c r="RVY145" s="7"/>
      <c r="RVZ145" s="7"/>
      <c r="RWA145" s="7"/>
      <c r="RWB145" s="7"/>
      <c r="RWC145" s="7"/>
      <c r="RWD145" s="7"/>
      <c r="RWE145" s="7"/>
      <c r="RWF145" s="7"/>
      <c r="RWG145" s="7"/>
      <c r="RWH145" s="7"/>
      <c r="RWI145" s="7"/>
      <c r="RWJ145" s="7"/>
      <c r="RWK145" s="7"/>
      <c r="RWL145" s="7"/>
      <c r="RWM145" s="7"/>
      <c r="RWN145" s="7"/>
      <c r="RWO145" s="7"/>
      <c r="RWP145" s="7"/>
      <c r="RWQ145" s="7"/>
      <c r="RWR145" s="7"/>
      <c r="RWS145" s="7"/>
      <c r="RWT145" s="7"/>
      <c r="RWU145" s="7"/>
      <c r="RWV145" s="7"/>
      <c r="RWW145" s="7"/>
      <c r="RWX145" s="7"/>
      <c r="RWY145" s="7"/>
      <c r="RWZ145" s="7"/>
      <c r="RXA145" s="7"/>
      <c r="RXB145" s="7"/>
      <c r="RXC145" s="7"/>
      <c r="RXD145" s="7"/>
      <c r="RXE145" s="7"/>
      <c r="RXF145" s="7"/>
      <c r="RXG145" s="7"/>
      <c r="RXH145" s="7"/>
      <c r="RXI145" s="7"/>
      <c r="RXJ145" s="7"/>
      <c r="RXK145" s="7"/>
      <c r="RXL145" s="7"/>
      <c r="RXM145" s="7"/>
      <c r="RXN145" s="7"/>
      <c r="RXO145" s="7"/>
      <c r="RXP145" s="7"/>
      <c r="RXQ145" s="7"/>
      <c r="RXR145" s="7"/>
      <c r="RXS145" s="7"/>
      <c r="RXT145" s="7"/>
      <c r="RXU145" s="7"/>
      <c r="RXV145" s="7"/>
      <c r="RXW145" s="7"/>
      <c r="RXX145" s="7"/>
      <c r="RXY145" s="7"/>
      <c r="RXZ145" s="7"/>
      <c r="RYA145" s="7"/>
      <c r="RYB145" s="7"/>
      <c r="RYC145" s="7"/>
      <c r="RYD145" s="7"/>
      <c r="RYE145" s="7"/>
      <c r="RYF145" s="7"/>
      <c r="RYG145" s="7"/>
      <c r="RYH145" s="7"/>
      <c r="RYI145" s="7"/>
      <c r="RYJ145" s="7"/>
      <c r="RYK145" s="7"/>
      <c r="RYL145" s="7"/>
      <c r="RYM145" s="7"/>
      <c r="RYN145" s="7"/>
      <c r="RYO145" s="7"/>
      <c r="RYP145" s="7"/>
      <c r="RYQ145" s="7"/>
      <c r="RYR145" s="7"/>
      <c r="RYS145" s="7"/>
      <c r="RYT145" s="7"/>
      <c r="RYU145" s="7"/>
      <c r="RYV145" s="7"/>
      <c r="RYW145" s="7"/>
      <c r="RYX145" s="7"/>
      <c r="RYY145" s="7"/>
      <c r="RYZ145" s="7"/>
      <c r="RZA145" s="7"/>
      <c r="RZB145" s="7"/>
      <c r="RZC145" s="7"/>
      <c r="RZD145" s="7"/>
      <c r="RZE145" s="7"/>
      <c r="RZF145" s="7"/>
      <c r="RZG145" s="7"/>
      <c r="RZH145" s="7"/>
      <c r="RZI145" s="7"/>
      <c r="RZJ145" s="7"/>
      <c r="RZK145" s="7"/>
      <c r="RZL145" s="7"/>
      <c r="RZM145" s="7"/>
      <c r="RZN145" s="7"/>
      <c r="RZO145" s="7"/>
      <c r="RZP145" s="7"/>
      <c r="RZQ145" s="7"/>
      <c r="RZR145" s="7"/>
      <c r="RZS145" s="7"/>
      <c r="RZT145" s="7"/>
      <c r="RZU145" s="7"/>
      <c r="RZV145" s="7"/>
      <c r="RZW145" s="7"/>
      <c r="RZX145" s="7"/>
      <c r="RZY145" s="7"/>
      <c r="RZZ145" s="7"/>
      <c r="SAA145" s="7"/>
      <c r="SAB145" s="7"/>
      <c r="SAC145" s="7"/>
      <c r="SAD145" s="7"/>
      <c r="SAE145" s="7"/>
      <c r="SAF145" s="7"/>
      <c r="SAG145" s="7"/>
      <c r="SAH145" s="7"/>
      <c r="SAI145" s="7"/>
      <c r="SAJ145" s="7"/>
      <c r="SAK145" s="7"/>
      <c r="SAL145" s="7"/>
      <c r="SAM145" s="7"/>
      <c r="SAN145" s="7"/>
      <c r="SAO145" s="7"/>
      <c r="SAP145" s="7"/>
      <c r="SAQ145" s="7"/>
      <c r="SAR145" s="7"/>
      <c r="SAS145" s="7"/>
      <c r="SAT145" s="7"/>
      <c r="SAU145" s="7"/>
      <c r="SAV145" s="7"/>
      <c r="SAW145" s="7"/>
      <c r="SAX145" s="7"/>
      <c r="SAY145" s="7"/>
      <c r="SAZ145" s="7"/>
      <c r="SBA145" s="7"/>
      <c r="SBB145" s="7"/>
      <c r="SBC145" s="7"/>
      <c r="SBD145" s="7"/>
      <c r="SBE145" s="7"/>
      <c r="SBF145" s="7"/>
      <c r="SBG145" s="7"/>
      <c r="SBH145" s="7"/>
      <c r="SBI145" s="7"/>
      <c r="SBJ145" s="7"/>
      <c r="SBK145" s="7"/>
      <c r="SBL145" s="7"/>
      <c r="SBM145" s="7"/>
      <c r="SBN145" s="7"/>
      <c r="SBO145" s="7"/>
      <c r="SBP145" s="7"/>
      <c r="SBQ145" s="7"/>
      <c r="SBR145" s="7"/>
      <c r="SBS145" s="7"/>
      <c r="SBT145" s="7"/>
      <c r="SBU145" s="7"/>
      <c r="SBV145" s="7"/>
      <c r="SBW145" s="7"/>
      <c r="SBX145" s="7"/>
      <c r="SBY145" s="7"/>
      <c r="SBZ145" s="7"/>
      <c r="SCA145" s="7"/>
      <c r="SCB145" s="7"/>
      <c r="SCC145" s="7"/>
      <c r="SCD145" s="7"/>
      <c r="SCE145" s="7"/>
      <c r="SCF145" s="7"/>
      <c r="SCG145" s="7"/>
      <c r="SCH145" s="7"/>
      <c r="SCI145" s="7"/>
      <c r="SCJ145" s="7"/>
      <c r="SCK145" s="7"/>
      <c r="SCL145" s="7"/>
      <c r="SCM145" s="7"/>
      <c r="SCN145" s="7"/>
      <c r="SCO145" s="7"/>
      <c r="SCP145" s="7"/>
      <c r="SCQ145" s="7"/>
      <c r="SCR145" s="7"/>
      <c r="SCS145" s="7"/>
      <c r="SCT145" s="7"/>
      <c r="SCU145" s="7"/>
      <c r="SCV145" s="7"/>
      <c r="SCW145" s="7"/>
      <c r="SCX145" s="7"/>
      <c r="SCY145" s="7"/>
      <c r="SCZ145" s="7"/>
      <c r="SDA145" s="7"/>
      <c r="SDB145" s="7"/>
      <c r="SDC145" s="7"/>
      <c r="SDD145" s="7"/>
      <c r="SDE145" s="7"/>
      <c r="SDF145" s="7"/>
      <c r="SDG145" s="7"/>
      <c r="SDH145" s="7"/>
      <c r="SDI145" s="7"/>
      <c r="SDJ145" s="7"/>
      <c r="SDK145" s="7"/>
      <c r="SDL145" s="7"/>
      <c r="SDM145" s="7"/>
      <c r="SDN145" s="7"/>
      <c r="SDO145" s="7"/>
      <c r="SDP145" s="7"/>
      <c r="SDQ145" s="7"/>
      <c r="SDR145" s="7"/>
      <c r="SDS145" s="7"/>
      <c r="SDT145" s="7"/>
      <c r="SDU145" s="7"/>
      <c r="SDV145" s="7"/>
      <c r="SDW145" s="7"/>
      <c r="SDX145" s="7"/>
      <c r="SDY145" s="7"/>
      <c r="SDZ145" s="7"/>
      <c r="SEA145" s="7"/>
      <c r="SEB145" s="7"/>
      <c r="SEC145" s="7"/>
      <c r="SED145" s="7"/>
      <c r="SEE145" s="7"/>
      <c r="SEF145" s="7"/>
      <c r="SEG145" s="7"/>
      <c r="SEH145" s="7"/>
      <c r="SEI145" s="7"/>
      <c r="SEJ145" s="7"/>
      <c r="SEK145" s="7"/>
      <c r="SEL145" s="7"/>
      <c r="SEM145" s="7"/>
      <c r="SEN145" s="7"/>
      <c r="SEO145" s="7"/>
      <c r="SEP145" s="7"/>
      <c r="SEQ145" s="7"/>
      <c r="SER145" s="7"/>
      <c r="SES145" s="7"/>
      <c r="SET145" s="7"/>
      <c r="SEU145" s="7"/>
      <c r="SEV145" s="7"/>
      <c r="SEW145" s="7"/>
      <c r="SEX145" s="7"/>
      <c r="SEY145" s="7"/>
      <c r="SEZ145" s="7"/>
      <c r="SFA145" s="7"/>
      <c r="SFB145" s="7"/>
      <c r="SFC145" s="7"/>
      <c r="SFD145" s="7"/>
      <c r="SFE145" s="7"/>
      <c r="SFF145" s="7"/>
      <c r="SFG145" s="7"/>
      <c r="SFH145" s="7"/>
      <c r="SFI145" s="7"/>
      <c r="SFJ145" s="7"/>
      <c r="SFK145" s="7"/>
      <c r="SFL145" s="7"/>
      <c r="SFM145" s="7"/>
      <c r="SFN145" s="7"/>
      <c r="SFO145" s="7"/>
      <c r="SFP145" s="7"/>
      <c r="SFQ145" s="7"/>
      <c r="SFR145" s="7"/>
      <c r="SFS145" s="7"/>
      <c r="SFT145" s="7"/>
      <c r="SFU145" s="7"/>
      <c r="SFV145" s="7"/>
      <c r="SFW145" s="7"/>
      <c r="SFX145" s="7"/>
      <c r="SFY145" s="7"/>
      <c r="SFZ145" s="7"/>
      <c r="SGA145" s="7"/>
      <c r="SGB145" s="7"/>
      <c r="SGC145" s="7"/>
      <c r="SGD145" s="7"/>
      <c r="SGE145" s="7"/>
      <c r="SGF145" s="7"/>
      <c r="SGG145" s="7"/>
      <c r="SGH145" s="7"/>
      <c r="SGI145" s="7"/>
      <c r="SGJ145" s="7"/>
      <c r="SGK145" s="7"/>
      <c r="SGL145" s="7"/>
      <c r="SGM145" s="7"/>
      <c r="SGN145" s="7"/>
      <c r="SGO145" s="7"/>
      <c r="SGP145" s="7"/>
      <c r="SGQ145" s="7"/>
      <c r="SGR145" s="7"/>
      <c r="SGS145" s="7"/>
      <c r="SGT145" s="7"/>
      <c r="SGU145" s="7"/>
      <c r="SGV145" s="7"/>
      <c r="SGW145" s="7"/>
      <c r="SGX145" s="7"/>
      <c r="SGY145" s="7"/>
      <c r="SGZ145" s="7"/>
      <c r="SHA145" s="7"/>
      <c r="SHB145" s="7"/>
      <c r="SHC145" s="7"/>
      <c r="SHD145" s="7"/>
      <c r="SHE145" s="7"/>
      <c r="SHF145" s="7"/>
      <c r="SHG145" s="7"/>
      <c r="SHH145" s="7"/>
      <c r="SHI145" s="7"/>
      <c r="SHJ145" s="7"/>
      <c r="SHK145" s="7"/>
      <c r="SHL145" s="7"/>
      <c r="SHM145" s="7"/>
      <c r="SHN145" s="7"/>
      <c r="SHO145" s="7"/>
      <c r="SHP145" s="7"/>
      <c r="SHQ145" s="7"/>
      <c r="SHR145" s="7"/>
      <c r="SHS145" s="7"/>
      <c r="SHT145" s="7"/>
      <c r="SHU145" s="7"/>
      <c r="SHV145" s="7"/>
      <c r="SHW145" s="7"/>
      <c r="SHX145" s="7"/>
      <c r="SHY145" s="7"/>
      <c r="SHZ145" s="7"/>
      <c r="SIA145" s="7"/>
      <c r="SIB145" s="7"/>
      <c r="SIC145" s="7"/>
      <c r="SID145" s="7"/>
      <c r="SIE145" s="7"/>
      <c r="SIF145" s="7"/>
      <c r="SIG145" s="7"/>
      <c r="SIH145" s="7"/>
      <c r="SII145" s="7"/>
      <c r="SIJ145" s="7"/>
      <c r="SIK145" s="7"/>
      <c r="SIL145" s="7"/>
      <c r="SIM145" s="7"/>
      <c r="SIN145" s="7"/>
      <c r="SIO145" s="7"/>
      <c r="SIP145" s="7"/>
      <c r="SIQ145" s="7"/>
      <c r="SIR145" s="7"/>
      <c r="SIS145" s="7"/>
      <c r="SIT145" s="7"/>
      <c r="SIU145" s="7"/>
      <c r="SIV145" s="7"/>
      <c r="SIW145" s="7"/>
      <c r="SIX145" s="7"/>
      <c r="SIY145" s="7"/>
      <c r="SIZ145" s="7"/>
      <c r="SJA145" s="7"/>
      <c r="SJB145" s="7"/>
      <c r="SJC145" s="7"/>
      <c r="SJD145" s="7"/>
      <c r="SJE145" s="7"/>
      <c r="SJF145" s="7"/>
      <c r="SJG145" s="7"/>
      <c r="SJH145" s="7"/>
      <c r="SJI145" s="7"/>
      <c r="SJJ145" s="7"/>
      <c r="SJK145" s="7"/>
      <c r="SJL145" s="7"/>
      <c r="SJM145" s="7"/>
      <c r="SJN145" s="7"/>
      <c r="SJO145" s="7"/>
      <c r="SJP145" s="7"/>
      <c r="SJQ145" s="7"/>
      <c r="SJR145" s="7"/>
      <c r="SJS145" s="7"/>
      <c r="SJT145" s="7"/>
      <c r="SJU145" s="7"/>
      <c r="SJV145" s="7"/>
      <c r="SJW145" s="7"/>
      <c r="SJX145" s="7"/>
      <c r="SJY145" s="7"/>
      <c r="SJZ145" s="7"/>
      <c r="SKA145" s="7"/>
      <c r="SKB145" s="7"/>
      <c r="SKC145" s="7"/>
      <c r="SKD145" s="7"/>
      <c r="SKE145" s="7"/>
      <c r="SKF145" s="7"/>
      <c r="SKG145" s="7"/>
      <c r="SKH145" s="7"/>
      <c r="SKI145" s="7"/>
      <c r="SKJ145" s="7"/>
      <c r="SKK145" s="7"/>
      <c r="SKL145" s="7"/>
      <c r="SKM145" s="7"/>
      <c r="SKN145" s="7"/>
      <c r="SKO145" s="7"/>
      <c r="SKP145" s="7"/>
      <c r="SKQ145" s="7"/>
      <c r="SKR145" s="7"/>
      <c r="SKS145" s="7"/>
      <c r="SKT145" s="7"/>
      <c r="SKU145" s="7"/>
      <c r="SKV145" s="7"/>
      <c r="SKW145" s="7"/>
      <c r="SKX145" s="7"/>
      <c r="SKY145" s="7"/>
      <c r="SKZ145" s="7"/>
      <c r="SLA145" s="7"/>
      <c r="SLB145" s="7"/>
      <c r="SLC145" s="7"/>
      <c r="SLD145" s="7"/>
      <c r="SLE145" s="7"/>
      <c r="SLF145" s="7"/>
      <c r="SLG145" s="7"/>
      <c r="SLH145" s="7"/>
      <c r="SLI145" s="7"/>
      <c r="SLJ145" s="7"/>
      <c r="SLK145" s="7"/>
      <c r="SLL145" s="7"/>
      <c r="SLM145" s="7"/>
      <c r="SLN145" s="7"/>
      <c r="SLO145" s="7"/>
      <c r="SLP145" s="7"/>
      <c r="SLQ145" s="7"/>
      <c r="SLR145" s="7"/>
      <c r="SLS145" s="7"/>
      <c r="SLT145" s="7"/>
      <c r="SLU145" s="7"/>
      <c r="SLV145" s="7"/>
      <c r="SLW145" s="7"/>
      <c r="SLX145" s="7"/>
      <c r="SLY145" s="7"/>
      <c r="SLZ145" s="7"/>
      <c r="SMA145" s="7"/>
      <c r="SMB145" s="7"/>
      <c r="SMC145" s="7"/>
      <c r="SMD145" s="7"/>
      <c r="SME145" s="7"/>
      <c r="SMF145" s="7"/>
      <c r="SMG145" s="7"/>
      <c r="SMH145" s="7"/>
      <c r="SMI145" s="7"/>
      <c r="SMJ145" s="7"/>
      <c r="SMK145" s="7"/>
      <c r="SML145" s="7"/>
      <c r="SMM145" s="7"/>
      <c r="SMN145" s="7"/>
      <c r="SMO145" s="7"/>
      <c r="SMP145" s="7"/>
      <c r="SMQ145" s="7"/>
      <c r="SMR145" s="7"/>
      <c r="SMS145" s="7"/>
      <c r="SMT145" s="7"/>
      <c r="SMU145" s="7"/>
      <c r="SMV145" s="7"/>
      <c r="SMW145" s="7"/>
      <c r="SMX145" s="7"/>
      <c r="SMY145" s="7"/>
      <c r="SMZ145" s="7"/>
      <c r="SNA145" s="7"/>
      <c r="SNB145" s="7"/>
      <c r="SNC145" s="7"/>
      <c r="SND145" s="7"/>
      <c r="SNE145" s="7"/>
      <c r="SNF145" s="7"/>
      <c r="SNG145" s="7"/>
      <c r="SNH145" s="7"/>
      <c r="SNI145" s="7"/>
      <c r="SNJ145" s="7"/>
      <c r="SNK145" s="7"/>
      <c r="SNL145" s="7"/>
      <c r="SNM145" s="7"/>
      <c r="SNN145" s="7"/>
      <c r="SNO145" s="7"/>
      <c r="SNP145" s="7"/>
      <c r="SNQ145" s="7"/>
      <c r="SNR145" s="7"/>
      <c r="SNS145" s="7"/>
      <c r="SNT145" s="7"/>
      <c r="SNU145" s="7"/>
      <c r="SNV145" s="7"/>
      <c r="SNW145" s="7"/>
      <c r="SNX145" s="7"/>
      <c r="SNY145" s="7"/>
      <c r="SNZ145" s="7"/>
      <c r="SOA145" s="7"/>
      <c r="SOB145" s="7"/>
      <c r="SOC145" s="7"/>
      <c r="SOD145" s="7"/>
      <c r="SOE145" s="7"/>
      <c r="SOF145" s="7"/>
      <c r="SOG145" s="7"/>
      <c r="SOH145" s="7"/>
      <c r="SOI145" s="7"/>
      <c r="SOJ145" s="7"/>
      <c r="SOK145" s="7"/>
      <c r="SOL145" s="7"/>
      <c r="SOM145" s="7"/>
      <c r="SON145" s="7"/>
      <c r="SOO145" s="7"/>
      <c r="SOP145" s="7"/>
      <c r="SOQ145" s="7"/>
      <c r="SOR145" s="7"/>
      <c r="SOS145" s="7"/>
      <c r="SOT145" s="7"/>
      <c r="SOU145" s="7"/>
      <c r="SOV145" s="7"/>
      <c r="SOW145" s="7"/>
      <c r="SOX145" s="7"/>
      <c r="SOY145" s="7"/>
      <c r="SOZ145" s="7"/>
      <c r="SPA145" s="7"/>
      <c r="SPB145" s="7"/>
      <c r="SPC145" s="7"/>
      <c r="SPD145" s="7"/>
      <c r="SPE145" s="7"/>
      <c r="SPF145" s="7"/>
      <c r="SPG145" s="7"/>
      <c r="SPH145" s="7"/>
      <c r="SPI145" s="7"/>
      <c r="SPJ145" s="7"/>
      <c r="SPK145" s="7"/>
      <c r="SPL145" s="7"/>
      <c r="SPM145" s="7"/>
      <c r="SPN145" s="7"/>
      <c r="SPO145" s="7"/>
      <c r="SPP145" s="7"/>
      <c r="SPQ145" s="7"/>
      <c r="SPR145" s="7"/>
      <c r="SPS145" s="7"/>
      <c r="SPT145" s="7"/>
      <c r="SPU145" s="7"/>
      <c r="SPV145" s="7"/>
      <c r="SPW145" s="7"/>
      <c r="SPX145" s="7"/>
      <c r="SPY145" s="7"/>
      <c r="SPZ145" s="7"/>
      <c r="SQA145" s="7"/>
      <c r="SQB145" s="7"/>
      <c r="SQC145" s="7"/>
      <c r="SQD145" s="7"/>
      <c r="SQE145" s="7"/>
      <c r="SQF145" s="7"/>
      <c r="SQG145" s="7"/>
      <c r="SQH145" s="7"/>
      <c r="SQI145" s="7"/>
      <c r="SQJ145" s="7"/>
      <c r="SQK145" s="7"/>
      <c r="SQL145" s="7"/>
      <c r="SQM145" s="7"/>
      <c r="SQN145" s="7"/>
      <c r="SQO145" s="7"/>
      <c r="SQP145" s="7"/>
      <c r="SQQ145" s="7"/>
      <c r="SQR145" s="7"/>
      <c r="SQS145" s="7"/>
      <c r="SQT145" s="7"/>
      <c r="SQU145" s="7"/>
      <c r="SQV145" s="7"/>
      <c r="SQW145" s="7"/>
      <c r="SQX145" s="7"/>
      <c r="SQY145" s="7"/>
      <c r="SQZ145" s="7"/>
      <c r="SRA145" s="7"/>
      <c r="SRB145" s="7"/>
      <c r="SRC145" s="7"/>
      <c r="SRD145" s="7"/>
      <c r="SRE145" s="7"/>
      <c r="SRF145" s="7"/>
      <c r="SRG145" s="7"/>
      <c r="SRH145" s="7"/>
      <c r="SRI145" s="7"/>
      <c r="SRJ145" s="7"/>
      <c r="SRK145" s="7"/>
      <c r="SRL145" s="7"/>
      <c r="SRM145" s="7"/>
      <c r="SRN145" s="7"/>
      <c r="SRO145" s="7"/>
      <c r="SRP145" s="7"/>
      <c r="SRQ145" s="7"/>
      <c r="SRR145" s="7"/>
      <c r="SRS145" s="7"/>
      <c r="SRT145" s="7"/>
      <c r="SRU145" s="7"/>
      <c r="SRV145" s="7"/>
      <c r="SRW145" s="7"/>
      <c r="SRX145" s="7"/>
      <c r="SRY145" s="7"/>
      <c r="SRZ145" s="7"/>
      <c r="SSA145" s="7"/>
      <c r="SSB145" s="7"/>
      <c r="SSC145" s="7"/>
      <c r="SSD145" s="7"/>
      <c r="SSE145" s="7"/>
      <c r="SSF145" s="7"/>
      <c r="SSG145" s="7"/>
      <c r="SSH145" s="7"/>
      <c r="SSI145" s="7"/>
      <c r="SSJ145" s="7"/>
      <c r="SSK145" s="7"/>
      <c r="SSL145" s="7"/>
      <c r="SSM145" s="7"/>
      <c r="SSN145" s="7"/>
      <c r="SSO145" s="7"/>
      <c r="SSP145" s="7"/>
      <c r="SSQ145" s="7"/>
      <c r="SSR145" s="7"/>
      <c r="SSS145" s="7"/>
      <c r="SST145" s="7"/>
      <c r="SSU145" s="7"/>
      <c r="SSV145" s="7"/>
      <c r="SSW145" s="7"/>
      <c r="SSX145" s="7"/>
      <c r="SSY145" s="7"/>
      <c r="SSZ145" s="7"/>
      <c r="STA145" s="7"/>
      <c r="STB145" s="7"/>
      <c r="STC145" s="7"/>
      <c r="STD145" s="7"/>
      <c r="STE145" s="7"/>
      <c r="STF145" s="7"/>
      <c r="STG145" s="7"/>
      <c r="STH145" s="7"/>
      <c r="STI145" s="7"/>
      <c r="STJ145" s="7"/>
      <c r="STK145" s="7"/>
      <c r="STL145" s="7"/>
      <c r="STM145" s="7"/>
      <c r="STN145" s="7"/>
      <c r="STO145" s="7"/>
      <c r="STP145" s="7"/>
      <c r="STQ145" s="7"/>
      <c r="STR145" s="7"/>
      <c r="STS145" s="7"/>
      <c r="STT145" s="7"/>
      <c r="STU145" s="7"/>
      <c r="STV145" s="7"/>
      <c r="STW145" s="7"/>
      <c r="STX145" s="7"/>
      <c r="STY145" s="7"/>
      <c r="STZ145" s="7"/>
      <c r="SUA145" s="7"/>
      <c r="SUB145" s="7"/>
      <c r="SUC145" s="7"/>
      <c r="SUD145" s="7"/>
      <c r="SUE145" s="7"/>
      <c r="SUF145" s="7"/>
      <c r="SUG145" s="7"/>
      <c r="SUH145" s="7"/>
      <c r="SUI145" s="7"/>
      <c r="SUJ145" s="7"/>
      <c r="SUK145" s="7"/>
      <c r="SUL145" s="7"/>
      <c r="SUM145" s="7"/>
      <c r="SUN145" s="7"/>
      <c r="SUO145" s="7"/>
      <c r="SUP145" s="7"/>
      <c r="SUQ145" s="7"/>
      <c r="SUR145" s="7"/>
      <c r="SUS145" s="7"/>
      <c r="SUT145" s="7"/>
      <c r="SUU145" s="7"/>
      <c r="SUV145" s="7"/>
      <c r="SUW145" s="7"/>
      <c r="SUX145" s="7"/>
      <c r="SUY145" s="7"/>
      <c r="SUZ145" s="7"/>
      <c r="SVA145" s="7"/>
      <c r="SVB145" s="7"/>
      <c r="SVC145" s="7"/>
      <c r="SVD145" s="7"/>
      <c r="SVE145" s="7"/>
      <c r="SVF145" s="7"/>
      <c r="SVG145" s="7"/>
      <c r="SVH145" s="7"/>
      <c r="SVI145" s="7"/>
      <c r="SVJ145" s="7"/>
      <c r="SVK145" s="7"/>
      <c r="SVL145" s="7"/>
      <c r="SVM145" s="7"/>
      <c r="SVN145" s="7"/>
      <c r="SVO145" s="7"/>
      <c r="SVP145" s="7"/>
      <c r="SVQ145" s="7"/>
      <c r="SVR145" s="7"/>
      <c r="SVS145" s="7"/>
      <c r="SVT145" s="7"/>
      <c r="SVU145" s="7"/>
      <c r="SVV145" s="7"/>
      <c r="SVW145" s="7"/>
      <c r="SVX145" s="7"/>
      <c r="SVY145" s="7"/>
      <c r="SVZ145" s="7"/>
      <c r="SWA145" s="7"/>
      <c r="SWB145" s="7"/>
      <c r="SWC145" s="7"/>
      <c r="SWD145" s="7"/>
      <c r="SWE145" s="7"/>
      <c r="SWF145" s="7"/>
      <c r="SWG145" s="7"/>
      <c r="SWH145" s="7"/>
      <c r="SWI145" s="7"/>
      <c r="SWJ145" s="7"/>
      <c r="SWK145" s="7"/>
      <c r="SWL145" s="7"/>
      <c r="SWM145" s="7"/>
      <c r="SWN145" s="7"/>
      <c r="SWO145" s="7"/>
      <c r="SWP145" s="7"/>
      <c r="SWQ145" s="7"/>
      <c r="SWR145" s="7"/>
      <c r="SWS145" s="7"/>
      <c r="SWT145" s="7"/>
      <c r="SWU145" s="7"/>
      <c r="SWV145" s="7"/>
      <c r="SWW145" s="7"/>
      <c r="SWX145" s="7"/>
      <c r="SWY145" s="7"/>
      <c r="SWZ145" s="7"/>
      <c r="SXA145" s="7"/>
      <c r="SXB145" s="7"/>
      <c r="SXC145" s="7"/>
      <c r="SXD145" s="7"/>
      <c r="SXE145" s="7"/>
      <c r="SXF145" s="7"/>
      <c r="SXG145" s="7"/>
      <c r="SXH145" s="7"/>
      <c r="SXI145" s="7"/>
      <c r="SXJ145" s="7"/>
      <c r="SXK145" s="7"/>
      <c r="SXL145" s="7"/>
      <c r="SXM145" s="7"/>
      <c r="SXN145" s="7"/>
      <c r="SXO145" s="7"/>
      <c r="SXP145" s="7"/>
      <c r="SXQ145" s="7"/>
      <c r="SXR145" s="7"/>
      <c r="SXS145" s="7"/>
      <c r="SXT145" s="7"/>
      <c r="SXU145" s="7"/>
      <c r="SXV145" s="7"/>
      <c r="SXW145" s="7"/>
      <c r="SXX145" s="7"/>
      <c r="SXY145" s="7"/>
      <c r="SXZ145" s="7"/>
      <c r="SYA145" s="7"/>
      <c r="SYB145" s="7"/>
      <c r="SYC145" s="7"/>
      <c r="SYD145" s="7"/>
      <c r="SYE145" s="7"/>
      <c r="SYF145" s="7"/>
      <c r="SYG145" s="7"/>
      <c r="SYH145" s="7"/>
      <c r="SYI145" s="7"/>
      <c r="SYJ145" s="7"/>
      <c r="SYK145" s="7"/>
      <c r="SYL145" s="7"/>
      <c r="SYM145" s="7"/>
      <c r="SYN145" s="7"/>
      <c r="SYO145" s="7"/>
      <c r="SYP145" s="7"/>
      <c r="SYQ145" s="7"/>
      <c r="SYR145" s="7"/>
      <c r="SYS145" s="7"/>
      <c r="SYT145" s="7"/>
      <c r="SYU145" s="7"/>
      <c r="SYV145" s="7"/>
      <c r="SYW145" s="7"/>
      <c r="SYX145" s="7"/>
      <c r="SYY145" s="7"/>
      <c r="SYZ145" s="7"/>
      <c r="SZA145" s="7"/>
      <c r="SZB145" s="7"/>
      <c r="SZC145" s="7"/>
      <c r="SZD145" s="7"/>
      <c r="SZE145" s="7"/>
      <c r="SZF145" s="7"/>
      <c r="SZG145" s="7"/>
      <c r="SZH145" s="7"/>
      <c r="SZI145" s="7"/>
      <c r="SZJ145" s="7"/>
      <c r="SZK145" s="7"/>
      <c r="SZL145" s="7"/>
      <c r="SZM145" s="7"/>
      <c r="SZN145" s="7"/>
      <c r="SZO145" s="7"/>
      <c r="SZP145" s="7"/>
      <c r="SZQ145" s="7"/>
      <c r="SZR145" s="7"/>
      <c r="SZS145" s="7"/>
      <c r="SZT145" s="7"/>
      <c r="SZU145" s="7"/>
      <c r="SZV145" s="7"/>
      <c r="SZW145" s="7"/>
      <c r="SZX145" s="7"/>
      <c r="SZY145" s="7"/>
      <c r="SZZ145" s="7"/>
      <c r="TAA145" s="7"/>
      <c r="TAB145" s="7"/>
      <c r="TAC145" s="7"/>
      <c r="TAD145" s="7"/>
      <c r="TAE145" s="7"/>
      <c r="TAF145" s="7"/>
      <c r="TAG145" s="7"/>
      <c r="TAH145" s="7"/>
      <c r="TAI145" s="7"/>
      <c r="TAJ145" s="7"/>
      <c r="TAK145" s="7"/>
      <c r="TAL145" s="7"/>
      <c r="TAM145" s="7"/>
      <c r="TAN145" s="7"/>
      <c r="TAO145" s="7"/>
      <c r="TAP145" s="7"/>
      <c r="TAQ145" s="7"/>
      <c r="TAR145" s="7"/>
      <c r="TAS145" s="7"/>
      <c r="TAT145" s="7"/>
      <c r="TAU145" s="7"/>
      <c r="TAV145" s="7"/>
      <c r="TAW145" s="7"/>
      <c r="TAX145" s="7"/>
      <c r="TAY145" s="7"/>
      <c r="TAZ145" s="7"/>
      <c r="TBA145" s="7"/>
      <c r="TBB145" s="7"/>
      <c r="TBC145" s="7"/>
      <c r="TBD145" s="7"/>
      <c r="TBE145" s="7"/>
      <c r="TBF145" s="7"/>
      <c r="TBG145" s="7"/>
      <c r="TBH145" s="7"/>
      <c r="TBI145" s="7"/>
      <c r="TBJ145" s="7"/>
      <c r="TBK145" s="7"/>
      <c r="TBL145" s="7"/>
      <c r="TBM145" s="7"/>
      <c r="TBN145" s="7"/>
      <c r="TBO145" s="7"/>
      <c r="TBP145" s="7"/>
      <c r="TBQ145" s="7"/>
      <c r="TBR145" s="7"/>
      <c r="TBS145" s="7"/>
      <c r="TBT145" s="7"/>
      <c r="TBU145" s="7"/>
      <c r="TBV145" s="7"/>
      <c r="TBW145" s="7"/>
      <c r="TBX145" s="7"/>
      <c r="TBY145" s="7"/>
      <c r="TBZ145" s="7"/>
      <c r="TCA145" s="7"/>
      <c r="TCB145" s="7"/>
      <c r="TCC145" s="7"/>
      <c r="TCD145" s="7"/>
      <c r="TCE145" s="7"/>
      <c r="TCF145" s="7"/>
      <c r="TCG145" s="7"/>
      <c r="TCH145" s="7"/>
      <c r="TCI145" s="7"/>
      <c r="TCJ145" s="7"/>
      <c r="TCK145" s="7"/>
      <c r="TCL145" s="7"/>
      <c r="TCM145" s="7"/>
      <c r="TCN145" s="7"/>
      <c r="TCO145" s="7"/>
      <c r="TCP145" s="7"/>
      <c r="TCQ145" s="7"/>
      <c r="TCR145" s="7"/>
      <c r="TCS145" s="7"/>
      <c r="TCT145" s="7"/>
      <c r="TCU145" s="7"/>
      <c r="TCV145" s="7"/>
      <c r="TCW145" s="7"/>
      <c r="TCX145" s="7"/>
      <c r="TCY145" s="7"/>
      <c r="TCZ145" s="7"/>
      <c r="TDA145" s="7"/>
      <c r="TDB145" s="7"/>
      <c r="TDC145" s="7"/>
      <c r="TDD145" s="7"/>
      <c r="TDE145" s="7"/>
      <c r="TDF145" s="7"/>
      <c r="TDG145" s="7"/>
      <c r="TDH145" s="7"/>
      <c r="TDI145" s="7"/>
      <c r="TDJ145" s="7"/>
      <c r="TDK145" s="7"/>
      <c r="TDL145" s="7"/>
      <c r="TDM145" s="7"/>
      <c r="TDN145" s="7"/>
      <c r="TDO145" s="7"/>
      <c r="TDP145" s="7"/>
      <c r="TDQ145" s="7"/>
      <c r="TDR145" s="7"/>
      <c r="TDS145" s="7"/>
      <c r="TDT145" s="7"/>
      <c r="TDU145" s="7"/>
      <c r="TDV145" s="7"/>
      <c r="TDW145" s="7"/>
      <c r="TDX145" s="7"/>
      <c r="TDY145" s="7"/>
      <c r="TDZ145" s="7"/>
      <c r="TEA145" s="7"/>
      <c r="TEB145" s="7"/>
      <c r="TEC145" s="7"/>
      <c r="TED145" s="7"/>
      <c r="TEE145" s="7"/>
      <c r="TEF145" s="7"/>
      <c r="TEG145" s="7"/>
      <c r="TEH145" s="7"/>
      <c r="TEI145" s="7"/>
      <c r="TEJ145" s="7"/>
      <c r="TEK145" s="7"/>
      <c r="TEL145" s="7"/>
      <c r="TEM145" s="7"/>
      <c r="TEN145" s="7"/>
      <c r="TEO145" s="7"/>
      <c r="TEP145" s="7"/>
      <c r="TEQ145" s="7"/>
      <c r="TER145" s="7"/>
      <c r="TES145" s="7"/>
      <c r="TET145" s="7"/>
      <c r="TEU145" s="7"/>
      <c r="TEV145" s="7"/>
      <c r="TEW145" s="7"/>
      <c r="TEX145" s="7"/>
      <c r="TEY145" s="7"/>
      <c r="TEZ145" s="7"/>
      <c r="TFA145" s="7"/>
      <c r="TFB145" s="7"/>
      <c r="TFC145" s="7"/>
      <c r="TFD145" s="7"/>
      <c r="TFE145" s="7"/>
      <c r="TFF145" s="7"/>
      <c r="TFG145" s="7"/>
      <c r="TFH145" s="7"/>
      <c r="TFI145" s="7"/>
      <c r="TFJ145" s="7"/>
      <c r="TFK145" s="7"/>
      <c r="TFL145" s="7"/>
      <c r="TFM145" s="7"/>
      <c r="TFN145" s="7"/>
      <c r="TFO145" s="7"/>
      <c r="TFP145" s="7"/>
      <c r="TFQ145" s="7"/>
      <c r="TFR145" s="7"/>
      <c r="TFS145" s="7"/>
      <c r="TFT145" s="7"/>
      <c r="TFU145" s="7"/>
      <c r="TFV145" s="7"/>
      <c r="TFW145" s="7"/>
      <c r="TFX145" s="7"/>
      <c r="TFY145" s="7"/>
      <c r="TFZ145" s="7"/>
      <c r="TGA145" s="7"/>
      <c r="TGB145" s="7"/>
      <c r="TGC145" s="7"/>
      <c r="TGD145" s="7"/>
      <c r="TGE145" s="7"/>
      <c r="TGF145" s="7"/>
      <c r="TGG145" s="7"/>
      <c r="TGH145" s="7"/>
      <c r="TGI145" s="7"/>
      <c r="TGJ145" s="7"/>
      <c r="TGK145" s="7"/>
      <c r="TGL145" s="7"/>
      <c r="TGM145" s="7"/>
      <c r="TGN145" s="7"/>
      <c r="TGO145" s="7"/>
      <c r="TGP145" s="7"/>
      <c r="TGQ145" s="7"/>
      <c r="TGR145" s="7"/>
      <c r="TGS145" s="7"/>
      <c r="TGT145" s="7"/>
      <c r="TGU145" s="7"/>
      <c r="TGV145" s="7"/>
      <c r="TGW145" s="7"/>
      <c r="TGX145" s="7"/>
      <c r="TGY145" s="7"/>
      <c r="TGZ145" s="7"/>
      <c r="THA145" s="7"/>
      <c r="THB145" s="7"/>
      <c r="THC145" s="7"/>
      <c r="THD145" s="7"/>
      <c r="THE145" s="7"/>
      <c r="THF145" s="7"/>
      <c r="THG145" s="7"/>
      <c r="THH145" s="7"/>
      <c r="THI145" s="7"/>
      <c r="THJ145" s="7"/>
      <c r="THK145" s="7"/>
      <c r="THL145" s="7"/>
      <c r="THM145" s="7"/>
      <c r="THN145" s="7"/>
      <c r="THO145" s="7"/>
      <c r="THP145" s="7"/>
      <c r="THQ145" s="7"/>
      <c r="THR145" s="7"/>
      <c r="THS145" s="7"/>
      <c r="THT145" s="7"/>
      <c r="THU145" s="7"/>
      <c r="THV145" s="7"/>
      <c r="THW145" s="7"/>
      <c r="THX145" s="7"/>
      <c r="THY145" s="7"/>
      <c r="THZ145" s="7"/>
      <c r="TIA145" s="7"/>
      <c r="TIB145" s="7"/>
      <c r="TIC145" s="7"/>
      <c r="TID145" s="7"/>
      <c r="TIE145" s="7"/>
      <c r="TIF145" s="7"/>
      <c r="TIG145" s="7"/>
      <c r="TIH145" s="7"/>
      <c r="TII145" s="7"/>
      <c r="TIJ145" s="7"/>
      <c r="TIK145" s="7"/>
      <c r="TIL145" s="7"/>
      <c r="TIM145" s="7"/>
      <c r="TIN145" s="7"/>
      <c r="TIO145" s="7"/>
      <c r="TIP145" s="7"/>
      <c r="TIQ145" s="7"/>
      <c r="TIR145" s="7"/>
      <c r="TIS145" s="7"/>
      <c r="TIT145" s="7"/>
      <c r="TIU145" s="7"/>
      <c r="TIV145" s="7"/>
      <c r="TIW145" s="7"/>
      <c r="TIX145" s="7"/>
      <c r="TIY145" s="7"/>
      <c r="TIZ145" s="7"/>
      <c r="TJA145" s="7"/>
      <c r="TJB145" s="7"/>
      <c r="TJC145" s="7"/>
      <c r="TJD145" s="7"/>
      <c r="TJE145" s="7"/>
      <c r="TJF145" s="7"/>
      <c r="TJG145" s="7"/>
      <c r="TJH145" s="7"/>
      <c r="TJI145" s="7"/>
      <c r="TJJ145" s="7"/>
      <c r="TJK145" s="7"/>
      <c r="TJL145" s="7"/>
      <c r="TJM145" s="7"/>
      <c r="TJN145" s="7"/>
      <c r="TJO145" s="7"/>
      <c r="TJP145" s="7"/>
      <c r="TJQ145" s="7"/>
      <c r="TJR145" s="7"/>
      <c r="TJS145" s="7"/>
      <c r="TJT145" s="7"/>
      <c r="TJU145" s="7"/>
      <c r="TJV145" s="7"/>
      <c r="TJW145" s="7"/>
      <c r="TJX145" s="7"/>
      <c r="TJY145" s="7"/>
      <c r="TJZ145" s="7"/>
      <c r="TKA145" s="7"/>
      <c r="TKB145" s="7"/>
      <c r="TKC145" s="7"/>
      <c r="TKD145" s="7"/>
      <c r="TKE145" s="7"/>
      <c r="TKF145" s="7"/>
      <c r="TKG145" s="7"/>
      <c r="TKH145" s="7"/>
      <c r="TKI145" s="7"/>
      <c r="TKJ145" s="7"/>
      <c r="TKK145" s="7"/>
      <c r="TKL145" s="7"/>
      <c r="TKM145" s="7"/>
      <c r="TKN145" s="7"/>
      <c r="TKO145" s="7"/>
      <c r="TKP145" s="7"/>
      <c r="TKQ145" s="7"/>
      <c r="TKR145" s="7"/>
      <c r="TKS145" s="7"/>
      <c r="TKT145" s="7"/>
      <c r="TKU145" s="7"/>
      <c r="TKV145" s="7"/>
      <c r="TKW145" s="7"/>
      <c r="TKX145" s="7"/>
      <c r="TKY145" s="7"/>
      <c r="TKZ145" s="7"/>
      <c r="TLA145" s="7"/>
      <c r="TLB145" s="7"/>
      <c r="TLC145" s="7"/>
      <c r="TLD145" s="7"/>
      <c r="TLE145" s="7"/>
      <c r="TLF145" s="7"/>
      <c r="TLG145" s="7"/>
      <c r="TLH145" s="7"/>
      <c r="TLI145" s="7"/>
      <c r="TLJ145" s="7"/>
      <c r="TLK145" s="7"/>
      <c r="TLL145" s="7"/>
      <c r="TLM145" s="7"/>
      <c r="TLN145" s="7"/>
      <c r="TLO145" s="7"/>
      <c r="TLP145" s="7"/>
      <c r="TLQ145" s="7"/>
      <c r="TLR145" s="7"/>
      <c r="TLS145" s="7"/>
      <c r="TLT145" s="7"/>
      <c r="TLU145" s="7"/>
      <c r="TLV145" s="7"/>
      <c r="TLW145" s="7"/>
      <c r="TLX145" s="7"/>
      <c r="TLY145" s="7"/>
      <c r="TLZ145" s="7"/>
      <c r="TMA145" s="7"/>
      <c r="TMB145" s="7"/>
      <c r="TMC145" s="7"/>
      <c r="TMD145" s="7"/>
      <c r="TME145" s="7"/>
      <c r="TMF145" s="7"/>
      <c r="TMG145" s="7"/>
      <c r="TMH145" s="7"/>
      <c r="TMI145" s="7"/>
      <c r="TMJ145" s="7"/>
      <c r="TMK145" s="7"/>
      <c r="TML145" s="7"/>
      <c r="TMM145" s="7"/>
      <c r="TMN145" s="7"/>
      <c r="TMO145" s="7"/>
      <c r="TMP145" s="7"/>
      <c r="TMQ145" s="7"/>
      <c r="TMR145" s="7"/>
      <c r="TMS145" s="7"/>
      <c r="TMT145" s="7"/>
      <c r="TMU145" s="7"/>
      <c r="TMV145" s="7"/>
      <c r="TMW145" s="7"/>
      <c r="TMX145" s="7"/>
      <c r="TMY145" s="7"/>
      <c r="TMZ145" s="7"/>
      <c r="TNA145" s="7"/>
      <c r="TNB145" s="7"/>
      <c r="TNC145" s="7"/>
      <c r="TND145" s="7"/>
      <c r="TNE145" s="7"/>
      <c r="TNF145" s="7"/>
      <c r="TNG145" s="7"/>
      <c r="TNH145" s="7"/>
      <c r="TNI145" s="7"/>
      <c r="TNJ145" s="7"/>
      <c r="TNK145" s="7"/>
      <c r="TNL145" s="7"/>
      <c r="TNM145" s="7"/>
      <c r="TNN145" s="7"/>
      <c r="TNO145" s="7"/>
      <c r="TNP145" s="7"/>
      <c r="TNQ145" s="7"/>
      <c r="TNR145" s="7"/>
      <c r="TNS145" s="7"/>
      <c r="TNT145" s="7"/>
      <c r="TNU145" s="7"/>
      <c r="TNV145" s="7"/>
      <c r="TNW145" s="7"/>
      <c r="TNX145" s="7"/>
      <c r="TNY145" s="7"/>
      <c r="TNZ145" s="7"/>
      <c r="TOA145" s="7"/>
      <c r="TOB145" s="7"/>
      <c r="TOC145" s="7"/>
      <c r="TOD145" s="7"/>
      <c r="TOE145" s="7"/>
      <c r="TOF145" s="7"/>
      <c r="TOG145" s="7"/>
      <c r="TOH145" s="7"/>
      <c r="TOI145" s="7"/>
      <c r="TOJ145" s="7"/>
      <c r="TOK145" s="7"/>
      <c r="TOL145" s="7"/>
      <c r="TOM145" s="7"/>
      <c r="TON145" s="7"/>
      <c r="TOO145" s="7"/>
      <c r="TOP145" s="7"/>
      <c r="TOQ145" s="7"/>
      <c r="TOR145" s="7"/>
      <c r="TOS145" s="7"/>
      <c r="TOT145" s="7"/>
      <c r="TOU145" s="7"/>
      <c r="TOV145" s="7"/>
      <c r="TOW145" s="7"/>
      <c r="TOX145" s="7"/>
      <c r="TOY145" s="7"/>
      <c r="TOZ145" s="7"/>
      <c r="TPA145" s="7"/>
      <c r="TPB145" s="7"/>
      <c r="TPC145" s="7"/>
      <c r="TPD145" s="7"/>
      <c r="TPE145" s="7"/>
      <c r="TPF145" s="7"/>
      <c r="TPG145" s="7"/>
      <c r="TPH145" s="7"/>
      <c r="TPI145" s="7"/>
      <c r="TPJ145" s="7"/>
      <c r="TPK145" s="7"/>
      <c r="TPL145" s="7"/>
      <c r="TPM145" s="7"/>
      <c r="TPN145" s="7"/>
      <c r="TPO145" s="7"/>
      <c r="TPP145" s="7"/>
      <c r="TPQ145" s="7"/>
      <c r="TPR145" s="7"/>
      <c r="TPS145" s="7"/>
      <c r="TPT145" s="7"/>
      <c r="TPU145" s="7"/>
      <c r="TPV145" s="7"/>
      <c r="TPW145" s="7"/>
      <c r="TPX145" s="7"/>
      <c r="TPY145" s="7"/>
      <c r="TPZ145" s="7"/>
      <c r="TQA145" s="7"/>
      <c r="TQB145" s="7"/>
      <c r="TQC145" s="7"/>
      <c r="TQD145" s="7"/>
      <c r="TQE145" s="7"/>
      <c r="TQF145" s="7"/>
      <c r="TQG145" s="7"/>
      <c r="TQH145" s="7"/>
      <c r="TQI145" s="7"/>
      <c r="TQJ145" s="7"/>
      <c r="TQK145" s="7"/>
      <c r="TQL145" s="7"/>
      <c r="TQM145" s="7"/>
      <c r="TQN145" s="7"/>
      <c r="TQO145" s="7"/>
      <c r="TQP145" s="7"/>
      <c r="TQQ145" s="7"/>
      <c r="TQR145" s="7"/>
      <c r="TQS145" s="7"/>
      <c r="TQT145" s="7"/>
      <c r="TQU145" s="7"/>
      <c r="TQV145" s="7"/>
      <c r="TQW145" s="7"/>
      <c r="TQX145" s="7"/>
      <c r="TQY145" s="7"/>
      <c r="TQZ145" s="7"/>
      <c r="TRA145" s="7"/>
      <c r="TRB145" s="7"/>
      <c r="TRC145" s="7"/>
      <c r="TRD145" s="7"/>
      <c r="TRE145" s="7"/>
      <c r="TRF145" s="7"/>
      <c r="TRG145" s="7"/>
      <c r="TRH145" s="7"/>
      <c r="TRI145" s="7"/>
      <c r="TRJ145" s="7"/>
      <c r="TRK145" s="7"/>
      <c r="TRL145" s="7"/>
      <c r="TRM145" s="7"/>
      <c r="TRN145" s="7"/>
      <c r="TRO145" s="7"/>
      <c r="TRP145" s="7"/>
      <c r="TRQ145" s="7"/>
      <c r="TRR145" s="7"/>
      <c r="TRS145" s="7"/>
      <c r="TRT145" s="7"/>
      <c r="TRU145" s="7"/>
      <c r="TRV145" s="7"/>
      <c r="TRW145" s="7"/>
      <c r="TRX145" s="7"/>
      <c r="TRY145" s="7"/>
      <c r="TRZ145" s="7"/>
      <c r="TSA145" s="7"/>
      <c r="TSB145" s="7"/>
      <c r="TSC145" s="7"/>
      <c r="TSD145" s="7"/>
      <c r="TSE145" s="7"/>
      <c r="TSF145" s="7"/>
      <c r="TSG145" s="7"/>
      <c r="TSH145" s="7"/>
      <c r="TSI145" s="7"/>
      <c r="TSJ145" s="7"/>
      <c r="TSK145" s="7"/>
      <c r="TSL145" s="7"/>
      <c r="TSM145" s="7"/>
      <c r="TSN145" s="7"/>
      <c r="TSO145" s="7"/>
      <c r="TSP145" s="7"/>
      <c r="TSQ145" s="7"/>
      <c r="TSR145" s="7"/>
      <c r="TSS145" s="7"/>
      <c r="TST145" s="7"/>
      <c r="TSU145" s="7"/>
      <c r="TSV145" s="7"/>
      <c r="TSW145" s="7"/>
      <c r="TSX145" s="7"/>
      <c r="TSY145" s="7"/>
      <c r="TSZ145" s="7"/>
      <c r="TTA145" s="7"/>
      <c r="TTB145" s="7"/>
      <c r="TTC145" s="7"/>
      <c r="TTD145" s="7"/>
      <c r="TTE145" s="7"/>
      <c r="TTF145" s="7"/>
      <c r="TTG145" s="7"/>
      <c r="TTH145" s="7"/>
      <c r="TTI145" s="7"/>
      <c r="TTJ145" s="7"/>
      <c r="TTK145" s="7"/>
      <c r="TTL145" s="7"/>
      <c r="TTM145" s="7"/>
      <c r="TTN145" s="7"/>
      <c r="TTO145" s="7"/>
      <c r="TTP145" s="7"/>
      <c r="TTQ145" s="7"/>
      <c r="TTR145" s="7"/>
      <c r="TTS145" s="7"/>
      <c r="TTT145" s="7"/>
      <c r="TTU145" s="7"/>
      <c r="TTV145" s="7"/>
      <c r="TTW145" s="7"/>
      <c r="TTX145" s="7"/>
      <c r="TTY145" s="7"/>
      <c r="TTZ145" s="7"/>
      <c r="TUA145" s="7"/>
      <c r="TUB145" s="7"/>
      <c r="TUC145" s="7"/>
      <c r="TUD145" s="7"/>
      <c r="TUE145" s="7"/>
      <c r="TUF145" s="7"/>
      <c r="TUG145" s="7"/>
      <c r="TUH145" s="7"/>
      <c r="TUI145" s="7"/>
      <c r="TUJ145" s="7"/>
      <c r="TUK145" s="7"/>
      <c r="TUL145" s="7"/>
      <c r="TUM145" s="7"/>
      <c r="TUN145" s="7"/>
      <c r="TUO145" s="7"/>
      <c r="TUP145" s="7"/>
      <c r="TUQ145" s="7"/>
      <c r="TUR145" s="7"/>
      <c r="TUS145" s="7"/>
      <c r="TUT145" s="7"/>
      <c r="TUU145" s="7"/>
      <c r="TUV145" s="7"/>
      <c r="TUW145" s="7"/>
      <c r="TUX145" s="7"/>
      <c r="TUY145" s="7"/>
      <c r="TUZ145" s="7"/>
      <c r="TVA145" s="7"/>
      <c r="TVB145" s="7"/>
      <c r="TVC145" s="7"/>
      <c r="TVD145" s="7"/>
      <c r="TVE145" s="7"/>
      <c r="TVF145" s="7"/>
      <c r="TVG145" s="7"/>
      <c r="TVH145" s="7"/>
      <c r="TVI145" s="7"/>
      <c r="TVJ145" s="7"/>
      <c r="TVK145" s="7"/>
      <c r="TVL145" s="7"/>
      <c r="TVM145" s="7"/>
      <c r="TVN145" s="7"/>
      <c r="TVO145" s="7"/>
      <c r="TVP145" s="7"/>
      <c r="TVQ145" s="7"/>
      <c r="TVR145" s="7"/>
      <c r="TVS145" s="7"/>
      <c r="TVT145" s="7"/>
      <c r="TVU145" s="7"/>
      <c r="TVV145" s="7"/>
      <c r="TVW145" s="7"/>
      <c r="TVX145" s="7"/>
      <c r="TVY145" s="7"/>
      <c r="TVZ145" s="7"/>
      <c r="TWA145" s="7"/>
      <c r="TWB145" s="7"/>
      <c r="TWC145" s="7"/>
      <c r="TWD145" s="7"/>
      <c r="TWE145" s="7"/>
      <c r="TWF145" s="7"/>
      <c r="TWG145" s="7"/>
      <c r="TWH145" s="7"/>
      <c r="TWI145" s="7"/>
      <c r="TWJ145" s="7"/>
      <c r="TWK145" s="7"/>
      <c r="TWL145" s="7"/>
      <c r="TWM145" s="7"/>
      <c r="TWN145" s="7"/>
      <c r="TWO145" s="7"/>
      <c r="TWP145" s="7"/>
      <c r="TWQ145" s="7"/>
      <c r="TWR145" s="7"/>
      <c r="TWS145" s="7"/>
      <c r="TWT145" s="7"/>
      <c r="TWU145" s="7"/>
      <c r="TWV145" s="7"/>
      <c r="TWW145" s="7"/>
      <c r="TWX145" s="7"/>
      <c r="TWY145" s="7"/>
      <c r="TWZ145" s="7"/>
      <c r="TXA145" s="7"/>
      <c r="TXB145" s="7"/>
      <c r="TXC145" s="7"/>
      <c r="TXD145" s="7"/>
      <c r="TXE145" s="7"/>
      <c r="TXF145" s="7"/>
      <c r="TXG145" s="7"/>
      <c r="TXH145" s="7"/>
      <c r="TXI145" s="7"/>
      <c r="TXJ145" s="7"/>
      <c r="TXK145" s="7"/>
      <c r="TXL145" s="7"/>
      <c r="TXM145" s="7"/>
      <c r="TXN145" s="7"/>
      <c r="TXO145" s="7"/>
      <c r="TXP145" s="7"/>
      <c r="TXQ145" s="7"/>
      <c r="TXR145" s="7"/>
      <c r="TXS145" s="7"/>
      <c r="TXT145" s="7"/>
      <c r="TXU145" s="7"/>
      <c r="TXV145" s="7"/>
      <c r="TXW145" s="7"/>
      <c r="TXX145" s="7"/>
      <c r="TXY145" s="7"/>
      <c r="TXZ145" s="7"/>
      <c r="TYA145" s="7"/>
      <c r="TYB145" s="7"/>
      <c r="TYC145" s="7"/>
      <c r="TYD145" s="7"/>
      <c r="TYE145" s="7"/>
      <c r="TYF145" s="7"/>
      <c r="TYG145" s="7"/>
      <c r="TYH145" s="7"/>
      <c r="TYI145" s="7"/>
      <c r="TYJ145" s="7"/>
      <c r="TYK145" s="7"/>
      <c r="TYL145" s="7"/>
      <c r="TYM145" s="7"/>
      <c r="TYN145" s="7"/>
      <c r="TYO145" s="7"/>
      <c r="TYP145" s="7"/>
      <c r="TYQ145" s="7"/>
      <c r="TYR145" s="7"/>
      <c r="TYS145" s="7"/>
      <c r="TYT145" s="7"/>
      <c r="TYU145" s="7"/>
      <c r="TYV145" s="7"/>
      <c r="TYW145" s="7"/>
      <c r="TYX145" s="7"/>
      <c r="TYY145" s="7"/>
      <c r="TYZ145" s="7"/>
      <c r="TZA145" s="7"/>
      <c r="TZB145" s="7"/>
      <c r="TZC145" s="7"/>
      <c r="TZD145" s="7"/>
      <c r="TZE145" s="7"/>
      <c r="TZF145" s="7"/>
      <c r="TZG145" s="7"/>
      <c r="TZH145" s="7"/>
      <c r="TZI145" s="7"/>
      <c r="TZJ145" s="7"/>
      <c r="TZK145" s="7"/>
      <c r="TZL145" s="7"/>
      <c r="TZM145" s="7"/>
      <c r="TZN145" s="7"/>
      <c r="TZO145" s="7"/>
      <c r="TZP145" s="7"/>
      <c r="TZQ145" s="7"/>
      <c r="TZR145" s="7"/>
      <c r="TZS145" s="7"/>
      <c r="TZT145" s="7"/>
      <c r="TZU145" s="7"/>
      <c r="TZV145" s="7"/>
      <c r="TZW145" s="7"/>
      <c r="TZX145" s="7"/>
      <c r="TZY145" s="7"/>
      <c r="TZZ145" s="7"/>
      <c r="UAA145" s="7"/>
      <c r="UAB145" s="7"/>
      <c r="UAC145" s="7"/>
      <c r="UAD145" s="7"/>
      <c r="UAE145" s="7"/>
      <c r="UAF145" s="7"/>
      <c r="UAG145" s="7"/>
      <c r="UAH145" s="7"/>
      <c r="UAI145" s="7"/>
      <c r="UAJ145" s="7"/>
      <c r="UAK145" s="7"/>
      <c r="UAL145" s="7"/>
      <c r="UAM145" s="7"/>
      <c r="UAN145" s="7"/>
      <c r="UAO145" s="7"/>
      <c r="UAP145" s="7"/>
      <c r="UAQ145" s="7"/>
      <c r="UAR145" s="7"/>
      <c r="UAS145" s="7"/>
      <c r="UAT145" s="7"/>
      <c r="UAU145" s="7"/>
      <c r="UAV145" s="7"/>
      <c r="UAW145" s="7"/>
      <c r="UAX145" s="7"/>
      <c r="UAY145" s="7"/>
      <c r="UAZ145" s="7"/>
      <c r="UBA145" s="7"/>
      <c r="UBB145" s="7"/>
      <c r="UBC145" s="7"/>
      <c r="UBD145" s="7"/>
      <c r="UBE145" s="7"/>
      <c r="UBF145" s="7"/>
      <c r="UBG145" s="7"/>
      <c r="UBH145" s="7"/>
      <c r="UBI145" s="7"/>
      <c r="UBJ145" s="7"/>
      <c r="UBK145" s="7"/>
      <c r="UBL145" s="7"/>
      <c r="UBM145" s="7"/>
      <c r="UBN145" s="7"/>
      <c r="UBO145" s="7"/>
      <c r="UBP145" s="7"/>
      <c r="UBQ145" s="7"/>
      <c r="UBR145" s="7"/>
      <c r="UBS145" s="7"/>
      <c r="UBT145" s="7"/>
      <c r="UBU145" s="7"/>
      <c r="UBV145" s="7"/>
      <c r="UBW145" s="7"/>
      <c r="UBX145" s="7"/>
      <c r="UBY145" s="7"/>
      <c r="UBZ145" s="7"/>
      <c r="UCA145" s="7"/>
      <c r="UCB145" s="7"/>
      <c r="UCC145" s="7"/>
      <c r="UCD145" s="7"/>
      <c r="UCE145" s="7"/>
      <c r="UCF145" s="7"/>
      <c r="UCG145" s="7"/>
      <c r="UCH145" s="7"/>
      <c r="UCI145" s="7"/>
      <c r="UCJ145" s="7"/>
      <c r="UCK145" s="7"/>
      <c r="UCL145" s="7"/>
      <c r="UCM145" s="7"/>
      <c r="UCN145" s="7"/>
      <c r="UCO145" s="7"/>
      <c r="UCP145" s="7"/>
      <c r="UCQ145" s="7"/>
      <c r="UCR145" s="7"/>
      <c r="UCS145" s="7"/>
      <c r="UCT145" s="7"/>
      <c r="UCU145" s="7"/>
      <c r="UCV145" s="7"/>
      <c r="UCW145" s="7"/>
      <c r="UCX145" s="7"/>
      <c r="UCY145" s="7"/>
      <c r="UCZ145" s="7"/>
      <c r="UDA145" s="7"/>
      <c r="UDB145" s="7"/>
      <c r="UDC145" s="7"/>
      <c r="UDD145" s="7"/>
      <c r="UDE145" s="7"/>
      <c r="UDF145" s="7"/>
      <c r="UDG145" s="7"/>
      <c r="UDH145" s="7"/>
      <c r="UDI145" s="7"/>
      <c r="UDJ145" s="7"/>
      <c r="UDK145" s="7"/>
      <c r="UDL145" s="7"/>
      <c r="UDM145" s="7"/>
      <c r="UDN145" s="7"/>
      <c r="UDO145" s="7"/>
      <c r="UDP145" s="7"/>
      <c r="UDQ145" s="7"/>
      <c r="UDR145" s="7"/>
      <c r="UDS145" s="7"/>
      <c r="UDT145" s="7"/>
      <c r="UDU145" s="7"/>
      <c r="UDV145" s="7"/>
      <c r="UDW145" s="7"/>
      <c r="UDX145" s="7"/>
      <c r="UDY145" s="7"/>
      <c r="UDZ145" s="7"/>
      <c r="UEA145" s="7"/>
      <c r="UEB145" s="7"/>
      <c r="UEC145" s="7"/>
      <c r="UED145" s="7"/>
      <c r="UEE145" s="7"/>
      <c r="UEF145" s="7"/>
      <c r="UEG145" s="7"/>
      <c r="UEH145" s="7"/>
      <c r="UEI145" s="7"/>
      <c r="UEJ145" s="7"/>
      <c r="UEK145" s="7"/>
      <c r="UEL145" s="7"/>
      <c r="UEM145" s="7"/>
      <c r="UEN145" s="7"/>
      <c r="UEO145" s="7"/>
      <c r="UEP145" s="7"/>
      <c r="UEQ145" s="7"/>
      <c r="UER145" s="7"/>
      <c r="UES145" s="7"/>
      <c r="UET145" s="7"/>
      <c r="UEU145" s="7"/>
      <c r="UEV145" s="7"/>
      <c r="UEW145" s="7"/>
      <c r="UEX145" s="7"/>
      <c r="UEY145" s="7"/>
      <c r="UEZ145" s="7"/>
      <c r="UFA145" s="7"/>
      <c r="UFB145" s="7"/>
      <c r="UFC145" s="7"/>
      <c r="UFD145" s="7"/>
      <c r="UFE145" s="7"/>
      <c r="UFF145" s="7"/>
      <c r="UFG145" s="7"/>
      <c r="UFH145" s="7"/>
      <c r="UFI145" s="7"/>
      <c r="UFJ145" s="7"/>
      <c r="UFK145" s="7"/>
      <c r="UFL145" s="7"/>
      <c r="UFM145" s="7"/>
      <c r="UFN145" s="7"/>
      <c r="UFO145" s="7"/>
      <c r="UFP145" s="7"/>
      <c r="UFQ145" s="7"/>
      <c r="UFR145" s="7"/>
      <c r="UFS145" s="7"/>
      <c r="UFT145" s="7"/>
      <c r="UFU145" s="7"/>
      <c r="UFV145" s="7"/>
      <c r="UFW145" s="7"/>
      <c r="UFX145" s="7"/>
      <c r="UFY145" s="7"/>
      <c r="UFZ145" s="7"/>
      <c r="UGA145" s="7"/>
      <c r="UGB145" s="7"/>
      <c r="UGC145" s="7"/>
      <c r="UGD145" s="7"/>
      <c r="UGE145" s="7"/>
      <c r="UGF145" s="7"/>
      <c r="UGG145" s="7"/>
      <c r="UGH145" s="7"/>
      <c r="UGI145" s="7"/>
      <c r="UGJ145" s="7"/>
      <c r="UGK145" s="7"/>
      <c r="UGL145" s="7"/>
      <c r="UGM145" s="7"/>
      <c r="UGN145" s="7"/>
      <c r="UGO145" s="7"/>
      <c r="UGP145" s="7"/>
      <c r="UGQ145" s="7"/>
      <c r="UGR145" s="7"/>
      <c r="UGS145" s="7"/>
      <c r="UGT145" s="7"/>
      <c r="UGU145" s="7"/>
      <c r="UGV145" s="7"/>
      <c r="UGW145" s="7"/>
      <c r="UGX145" s="7"/>
      <c r="UGY145" s="7"/>
      <c r="UGZ145" s="7"/>
      <c r="UHA145" s="7"/>
      <c r="UHB145" s="7"/>
      <c r="UHC145" s="7"/>
      <c r="UHD145" s="7"/>
      <c r="UHE145" s="7"/>
      <c r="UHF145" s="7"/>
      <c r="UHG145" s="7"/>
      <c r="UHH145" s="7"/>
      <c r="UHI145" s="7"/>
      <c r="UHJ145" s="7"/>
      <c r="UHK145" s="7"/>
      <c r="UHL145" s="7"/>
      <c r="UHM145" s="7"/>
      <c r="UHN145" s="7"/>
      <c r="UHO145" s="7"/>
      <c r="UHP145" s="7"/>
      <c r="UHQ145" s="7"/>
      <c r="UHR145" s="7"/>
      <c r="UHS145" s="7"/>
      <c r="UHT145" s="7"/>
      <c r="UHU145" s="7"/>
      <c r="UHV145" s="7"/>
      <c r="UHW145" s="7"/>
      <c r="UHX145" s="7"/>
      <c r="UHY145" s="7"/>
      <c r="UHZ145" s="7"/>
      <c r="UIA145" s="7"/>
      <c r="UIB145" s="7"/>
      <c r="UIC145" s="7"/>
      <c r="UID145" s="7"/>
      <c r="UIE145" s="7"/>
      <c r="UIF145" s="7"/>
      <c r="UIG145" s="7"/>
      <c r="UIH145" s="7"/>
      <c r="UII145" s="7"/>
      <c r="UIJ145" s="7"/>
      <c r="UIK145" s="7"/>
      <c r="UIL145" s="7"/>
      <c r="UIM145" s="7"/>
      <c r="UIN145" s="7"/>
      <c r="UIO145" s="7"/>
      <c r="UIP145" s="7"/>
      <c r="UIQ145" s="7"/>
      <c r="UIR145" s="7"/>
      <c r="UIS145" s="7"/>
      <c r="UIT145" s="7"/>
      <c r="UIU145" s="7"/>
      <c r="UIV145" s="7"/>
      <c r="UIW145" s="7"/>
      <c r="UIX145" s="7"/>
      <c r="UIY145" s="7"/>
      <c r="UIZ145" s="7"/>
      <c r="UJA145" s="7"/>
      <c r="UJB145" s="7"/>
      <c r="UJC145" s="7"/>
      <c r="UJD145" s="7"/>
      <c r="UJE145" s="7"/>
      <c r="UJF145" s="7"/>
      <c r="UJG145" s="7"/>
      <c r="UJH145" s="7"/>
      <c r="UJI145" s="7"/>
      <c r="UJJ145" s="7"/>
      <c r="UJK145" s="7"/>
      <c r="UJL145" s="7"/>
      <c r="UJM145" s="7"/>
      <c r="UJN145" s="7"/>
      <c r="UJO145" s="7"/>
      <c r="UJP145" s="7"/>
      <c r="UJQ145" s="7"/>
      <c r="UJR145" s="7"/>
      <c r="UJS145" s="7"/>
      <c r="UJT145" s="7"/>
      <c r="UJU145" s="7"/>
      <c r="UJV145" s="7"/>
      <c r="UJW145" s="7"/>
      <c r="UJX145" s="7"/>
      <c r="UJY145" s="7"/>
      <c r="UJZ145" s="7"/>
      <c r="UKA145" s="7"/>
      <c r="UKB145" s="7"/>
      <c r="UKC145" s="7"/>
      <c r="UKD145" s="7"/>
      <c r="UKE145" s="7"/>
      <c r="UKF145" s="7"/>
      <c r="UKG145" s="7"/>
      <c r="UKH145" s="7"/>
      <c r="UKI145" s="7"/>
      <c r="UKJ145" s="7"/>
      <c r="UKK145" s="7"/>
      <c r="UKL145" s="7"/>
      <c r="UKM145" s="7"/>
      <c r="UKN145" s="7"/>
      <c r="UKO145" s="7"/>
      <c r="UKP145" s="7"/>
      <c r="UKQ145" s="7"/>
      <c r="UKR145" s="7"/>
      <c r="UKS145" s="7"/>
      <c r="UKT145" s="7"/>
      <c r="UKU145" s="7"/>
      <c r="UKV145" s="7"/>
      <c r="UKW145" s="7"/>
      <c r="UKX145" s="7"/>
      <c r="UKY145" s="7"/>
      <c r="UKZ145" s="7"/>
      <c r="ULA145" s="7"/>
      <c r="ULB145" s="7"/>
      <c r="ULC145" s="7"/>
      <c r="ULD145" s="7"/>
      <c r="ULE145" s="7"/>
      <c r="ULF145" s="7"/>
      <c r="ULG145" s="7"/>
      <c r="ULH145" s="7"/>
      <c r="ULI145" s="7"/>
      <c r="ULJ145" s="7"/>
      <c r="ULK145" s="7"/>
      <c r="ULL145" s="7"/>
      <c r="ULM145" s="7"/>
      <c r="ULN145" s="7"/>
      <c r="ULO145" s="7"/>
      <c r="ULP145" s="7"/>
      <c r="ULQ145" s="7"/>
      <c r="ULR145" s="7"/>
      <c r="ULS145" s="7"/>
      <c r="ULT145" s="7"/>
      <c r="ULU145" s="7"/>
      <c r="ULV145" s="7"/>
      <c r="ULW145" s="7"/>
      <c r="ULX145" s="7"/>
      <c r="ULY145" s="7"/>
      <c r="ULZ145" s="7"/>
      <c r="UMA145" s="7"/>
      <c r="UMB145" s="7"/>
      <c r="UMC145" s="7"/>
      <c r="UMD145" s="7"/>
      <c r="UME145" s="7"/>
      <c r="UMF145" s="7"/>
      <c r="UMG145" s="7"/>
      <c r="UMH145" s="7"/>
      <c r="UMI145" s="7"/>
      <c r="UMJ145" s="7"/>
      <c r="UMK145" s="7"/>
      <c r="UML145" s="7"/>
      <c r="UMM145" s="7"/>
      <c r="UMN145" s="7"/>
      <c r="UMO145" s="7"/>
      <c r="UMP145" s="7"/>
      <c r="UMQ145" s="7"/>
      <c r="UMR145" s="7"/>
      <c r="UMS145" s="7"/>
      <c r="UMT145" s="7"/>
      <c r="UMU145" s="7"/>
      <c r="UMV145" s="7"/>
      <c r="UMW145" s="7"/>
      <c r="UMX145" s="7"/>
      <c r="UMY145" s="7"/>
      <c r="UMZ145" s="7"/>
      <c r="UNA145" s="7"/>
      <c r="UNB145" s="7"/>
      <c r="UNC145" s="7"/>
      <c r="UND145" s="7"/>
      <c r="UNE145" s="7"/>
      <c r="UNF145" s="7"/>
      <c r="UNG145" s="7"/>
      <c r="UNH145" s="7"/>
      <c r="UNI145" s="7"/>
      <c r="UNJ145" s="7"/>
      <c r="UNK145" s="7"/>
      <c r="UNL145" s="7"/>
      <c r="UNM145" s="7"/>
      <c r="UNN145" s="7"/>
      <c r="UNO145" s="7"/>
      <c r="UNP145" s="7"/>
      <c r="UNQ145" s="7"/>
      <c r="UNR145" s="7"/>
      <c r="UNS145" s="7"/>
      <c r="UNT145" s="7"/>
      <c r="UNU145" s="7"/>
      <c r="UNV145" s="7"/>
      <c r="UNW145" s="7"/>
      <c r="UNX145" s="7"/>
      <c r="UNY145" s="7"/>
      <c r="UNZ145" s="7"/>
      <c r="UOA145" s="7"/>
      <c r="UOB145" s="7"/>
      <c r="UOC145" s="7"/>
      <c r="UOD145" s="7"/>
      <c r="UOE145" s="7"/>
      <c r="UOF145" s="7"/>
      <c r="UOG145" s="7"/>
      <c r="UOH145" s="7"/>
      <c r="UOI145" s="7"/>
      <c r="UOJ145" s="7"/>
      <c r="UOK145" s="7"/>
      <c r="UOL145" s="7"/>
      <c r="UOM145" s="7"/>
      <c r="UON145" s="7"/>
      <c r="UOO145" s="7"/>
      <c r="UOP145" s="7"/>
      <c r="UOQ145" s="7"/>
      <c r="UOR145" s="7"/>
      <c r="UOS145" s="7"/>
      <c r="UOT145" s="7"/>
      <c r="UOU145" s="7"/>
      <c r="UOV145" s="7"/>
      <c r="UOW145" s="7"/>
      <c r="UOX145" s="7"/>
      <c r="UOY145" s="7"/>
      <c r="UOZ145" s="7"/>
      <c r="UPA145" s="7"/>
      <c r="UPB145" s="7"/>
      <c r="UPC145" s="7"/>
      <c r="UPD145" s="7"/>
      <c r="UPE145" s="7"/>
      <c r="UPF145" s="7"/>
      <c r="UPG145" s="7"/>
      <c r="UPH145" s="7"/>
      <c r="UPI145" s="7"/>
      <c r="UPJ145" s="7"/>
      <c r="UPK145" s="7"/>
      <c r="UPL145" s="7"/>
      <c r="UPM145" s="7"/>
      <c r="UPN145" s="7"/>
      <c r="UPO145" s="7"/>
      <c r="UPP145" s="7"/>
      <c r="UPQ145" s="7"/>
      <c r="UPR145" s="7"/>
      <c r="UPS145" s="7"/>
      <c r="UPT145" s="7"/>
      <c r="UPU145" s="7"/>
      <c r="UPV145" s="7"/>
      <c r="UPW145" s="7"/>
      <c r="UPX145" s="7"/>
      <c r="UPY145" s="7"/>
      <c r="UPZ145" s="7"/>
      <c r="UQA145" s="7"/>
      <c r="UQB145" s="7"/>
      <c r="UQC145" s="7"/>
      <c r="UQD145" s="7"/>
      <c r="UQE145" s="7"/>
      <c r="UQF145" s="7"/>
      <c r="UQG145" s="7"/>
      <c r="UQH145" s="7"/>
      <c r="UQI145" s="7"/>
      <c r="UQJ145" s="7"/>
      <c r="UQK145" s="7"/>
      <c r="UQL145" s="7"/>
      <c r="UQM145" s="7"/>
      <c r="UQN145" s="7"/>
      <c r="UQO145" s="7"/>
      <c r="UQP145" s="7"/>
      <c r="UQQ145" s="7"/>
      <c r="UQR145" s="7"/>
      <c r="UQS145" s="7"/>
      <c r="UQT145" s="7"/>
      <c r="UQU145" s="7"/>
      <c r="UQV145" s="7"/>
      <c r="UQW145" s="7"/>
      <c r="UQX145" s="7"/>
      <c r="UQY145" s="7"/>
      <c r="UQZ145" s="7"/>
      <c r="URA145" s="7"/>
      <c r="URB145" s="7"/>
      <c r="URC145" s="7"/>
      <c r="URD145" s="7"/>
      <c r="URE145" s="7"/>
      <c r="URF145" s="7"/>
      <c r="URG145" s="7"/>
      <c r="URH145" s="7"/>
      <c r="URI145" s="7"/>
      <c r="URJ145" s="7"/>
      <c r="URK145" s="7"/>
      <c r="URL145" s="7"/>
      <c r="URM145" s="7"/>
      <c r="URN145" s="7"/>
      <c r="URO145" s="7"/>
      <c r="URP145" s="7"/>
      <c r="URQ145" s="7"/>
      <c r="URR145" s="7"/>
      <c r="URS145" s="7"/>
      <c r="URT145" s="7"/>
      <c r="URU145" s="7"/>
      <c r="URV145" s="7"/>
      <c r="URW145" s="7"/>
      <c r="URX145" s="7"/>
      <c r="URY145" s="7"/>
      <c r="URZ145" s="7"/>
      <c r="USA145" s="7"/>
      <c r="USB145" s="7"/>
      <c r="USC145" s="7"/>
      <c r="USD145" s="7"/>
      <c r="USE145" s="7"/>
      <c r="USF145" s="7"/>
      <c r="USG145" s="7"/>
      <c r="USH145" s="7"/>
      <c r="USI145" s="7"/>
      <c r="USJ145" s="7"/>
      <c r="USK145" s="7"/>
      <c r="USL145" s="7"/>
      <c r="USM145" s="7"/>
      <c r="USN145" s="7"/>
      <c r="USO145" s="7"/>
      <c r="USP145" s="7"/>
      <c r="USQ145" s="7"/>
      <c r="USR145" s="7"/>
      <c r="USS145" s="7"/>
      <c r="UST145" s="7"/>
      <c r="USU145" s="7"/>
      <c r="USV145" s="7"/>
      <c r="USW145" s="7"/>
      <c r="USX145" s="7"/>
      <c r="USY145" s="7"/>
      <c r="USZ145" s="7"/>
      <c r="UTA145" s="7"/>
      <c r="UTB145" s="7"/>
      <c r="UTC145" s="7"/>
      <c r="UTD145" s="7"/>
      <c r="UTE145" s="7"/>
      <c r="UTF145" s="7"/>
      <c r="UTG145" s="7"/>
      <c r="UTH145" s="7"/>
      <c r="UTI145" s="7"/>
      <c r="UTJ145" s="7"/>
      <c r="UTK145" s="7"/>
      <c r="UTL145" s="7"/>
      <c r="UTM145" s="7"/>
      <c r="UTN145" s="7"/>
      <c r="UTO145" s="7"/>
      <c r="UTP145" s="7"/>
      <c r="UTQ145" s="7"/>
      <c r="UTR145" s="7"/>
      <c r="UTS145" s="7"/>
      <c r="UTT145" s="7"/>
      <c r="UTU145" s="7"/>
      <c r="UTV145" s="7"/>
      <c r="UTW145" s="7"/>
      <c r="UTX145" s="7"/>
      <c r="UTY145" s="7"/>
      <c r="UTZ145" s="7"/>
      <c r="UUA145" s="7"/>
      <c r="UUB145" s="7"/>
      <c r="UUC145" s="7"/>
      <c r="UUD145" s="7"/>
      <c r="UUE145" s="7"/>
      <c r="UUF145" s="7"/>
      <c r="UUG145" s="7"/>
      <c r="UUH145" s="7"/>
      <c r="UUI145" s="7"/>
      <c r="UUJ145" s="7"/>
      <c r="UUK145" s="7"/>
      <c r="UUL145" s="7"/>
      <c r="UUM145" s="7"/>
      <c r="UUN145" s="7"/>
      <c r="UUO145" s="7"/>
      <c r="UUP145" s="7"/>
      <c r="UUQ145" s="7"/>
      <c r="UUR145" s="7"/>
      <c r="UUS145" s="7"/>
      <c r="UUT145" s="7"/>
      <c r="UUU145" s="7"/>
      <c r="UUV145" s="7"/>
      <c r="UUW145" s="7"/>
      <c r="UUX145" s="7"/>
      <c r="UUY145" s="7"/>
      <c r="UUZ145" s="7"/>
      <c r="UVA145" s="7"/>
      <c r="UVB145" s="7"/>
      <c r="UVC145" s="7"/>
      <c r="UVD145" s="7"/>
      <c r="UVE145" s="7"/>
      <c r="UVF145" s="7"/>
      <c r="UVG145" s="7"/>
      <c r="UVH145" s="7"/>
      <c r="UVI145" s="7"/>
      <c r="UVJ145" s="7"/>
      <c r="UVK145" s="7"/>
      <c r="UVL145" s="7"/>
      <c r="UVM145" s="7"/>
      <c r="UVN145" s="7"/>
      <c r="UVO145" s="7"/>
      <c r="UVP145" s="7"/>
      <c r="UVQ145" s="7"/>
      <c r="UVR145" s="7"/>
      <c r="UVS145" s="7"/>
      <c r="UVT145" s="7"/>
      <c r="UVU145" s="7"/>
      <c r="UVV145" s="7"/>
      <c r="UVW145" s="7"/>
      <c r="UVX145" s="7"/>
      <c r="UVY145" s="7"/>
      <c r="UVZ145" s="7"/>
      <c r="UWA145" s="7"/>
      <c r="UWB145" s="7"/>
      <c r="UWC145" s="7"/>
      <c r="UWD145" s="7"/>
      <c r="UWE145" s="7"/>
      <c r="UWF145" s="7"/>
      <c r="UWG145" s="7"/>
      <c r="UWH145" s="7"/>
      <c r="UWI145" s="7"/>
      <c r="UWJ145" s="7"/>
      <c r="UWK145" s="7"/>
      <c r="UWL145" s="7"/>
      <c r="UWM145" s="7"/>
      <c r="UWN145" s="7"/>
      <c r="UWO145" s="7"/>
      <c r="UWP145" s="7"/>
      <c r="UWQ145" s="7"/>
      <c r="UWR145" s="7"/>
      <c r="UWS145" s="7"/>
      <c r="UWT145" s="7"/>
      <c r="UWU145" s="7"/>
      <c r="UWV145" s="7"/>
      <c r="UWW145" s="7"/>
      <c r="UWX145" s="7"/>
      <c r="UWY145" s="7"/>
      <c r="UWZ145" s="7"/>
      <c r="UXA145" s="7"/>
      <c r="UXB145" s="7"/>
      <c r="UXC145" s="7"/>
      <c r="UXD145" s="7"/>
      <c r="UXE145" s="7"/>
      <c r="UXF145" s="7"/>
      <c r="UXG145" s="7"/>
      <c r="UXH145" s="7"/>
      <c r="UXI145" s="7"/>
      <c r="UXJ145" s="7"/>
      <c r="UXK145" s="7"/>
      <c r="UXL145" s="7"/>
      <c r="UXM145" s="7"/>
      <c r="UXN145" s="7"/>
      <c r="UXO145" s="7"/>
      <c r="UXP145" s="7"/>
      <c r="UXQ145" s="7"/>
      <c r="UXR145" s="7"/>
      <c r="UXS145" s="7"/>
      <c r="UXT145" s="7"/>
      <c r="UXU145" s="7"/>
      <c r="UXV145" s="7"/>
      <c r="UXW145" s="7"/>
      <c r="UXX145" s="7"/>
      <c r="UXY145" s="7"/>
      <c r="UXZ145" s="7"/>
      <c r="UYA145" s="7"/>
      <c r="UYB145" s="7"/>
      <c r="UYC145" s="7"/>
      <c r="UYD145" s="7"/>
      <c r="UYE145" s="7"/>
      <c r="UYF145" s="7"/>
      <c r="UYG145" s="7"/>
      <c r="UYH145" s="7"/>
      <c r="UYI145" s="7"/>
      <c r="UYJ145" s="7"/>
      <c r="UYK145" s="7"/>
      <c r="UYL145" s="7"/>
      <c r="UYM145" s="7"/>
      <c r="UYN145" s="7"/>
      <c r="UYO145" s="7"/>
      <c r="UYP145" s="7"/>
      <c r="UYQ145" s="7"/>
      <c r="UYR145" s="7"/>
      <c r="UYS145" s="7"/>
      <c r="UYT145" s="7"/>
      <c r="UYU145" s="7"/>
      <c r="UYV145" s="7"/>
      <c r="UYW145" s="7"/>
      <c r="UYX145" s="7"/>
      <c r="UYY145" s="7"/>
      <c r="UYZ145" s="7"/>
      <c r="UZA145" s="7"/>
      <c r="UZB145" s="7"/>
      <c r="UZC145" s="7"/>
      <c r="UZD145" s="7"/>
      <c r="UZE145" s="7"/>
      <c r="UZF145" s="7"/>
      <c r="UZG145" s="7"/>
      <c r="UZH145" s="7"/>
      <c r="UZI145" s="7"/>
      <c r="UZJ145" s="7"/>
      <c r="UZK145" s="7"/>
      <c r="UZL145" s="7"/>
      <c r="UZM145" s="7"/>
      <c r="UZN145" s="7"/>
      <c r="UZO145" s="7"/>
      <c r="UZP145" s="7"/>
      <c r="UZQ145" s="7"/>
      <c r="UZR145" s="7"/>
      <c r="UZS145" s="7"/>
      <c r="UZT145" s="7"/>
      <c r="UZU145" s="7"/>
      <c r="UZV145" s="7"/>
      <c r="UZW145" s="7"/>
      <c r="UZX145" s="7"/>
      <c r="UZY145" s="7"/>
      <c r="UZZ145" s="7"/>
      <c r="VAA145" s="7"/>
      <c r="VAB145" s="7"/>
      <c r="VAC145" s="7"/>
      <c r="VAD145" s="7"/>
      <c r="VAE145" s="7"/>
      <c r="VAF145" s="7"/>
      <c r="VAG145" s="7"/>
      <c r="VAH145" s="7"/>
      <c r="VAI145" s="7"/>
      <c r="VAJ145" s="7"/>
      <c r="VAK145" s="7"/>
      <c r="VAL145" s="7"/>
      <c r="VAM145" s="7"/>
      <c r="VAN145" s="7"/>
      <c r="VAO145" s="7"/>
      <c r="VAP145" s="7"/>
      <c r="VAQ145" s="7"/>
      <c r="VAR145" s="7"/>
      <c r="VAS145" s="7"/>
      <c r="VAT145" s="7"/>
      <c r="VAU145" s="7"/>
      <c r="VAV145" s="7"/>
      <c r="VAW145" s="7"/>
      <c r="VAX145" s="7"/>
      <c r="VAY145" s="7"/>
      <c r="VAZ145" s="7"/>
      <c r="VBA145" s="7"/>
      <c r="VBB145" s="7"/>
      <c r="VBC145" s="7"/>
      <c r="VBD145" s="7"/>
      <c r="VBE145" s="7"/>
      <c r="VBF145" s="7"/>
      <c r="VBG145" s="7"/>
      <c r="VBH145" s="7"/>
      <c r="VBI145" s="7"/>
      <c r="VBJ145" s="7"/>
      <c r="VBK145" s="7"/>
      <c r="VBL145" s="7"/>
      <c r="VBM145" s="7"/>
      <c r="VBN145" s="7"/>
      <c r="VBO145" s="7"/>
      <c r="VBP145" s="7"/>
      <c r="VBQ145" s="7"/>
      <c r="VBR145" s="7"/>
      <c r="VBS145" s="7"/>
      <c r="VBT145" s="7"/>
      <c r="VBU145" s="7"/>
      <c r="VBV145" s="7"/>
      <c r="VBW145" s="7"/>
      <c r="VBX145" s="7"/>
      <c r="VBY145" s="7"/>
      <c r="VBZ145" s="7"/>
      <c r="VCA145" s="7"/>
      <c r="VCB145" s="7"/>
      <c r="VCC145" s="7"/>
      <c r="VCD145" s="7"/>
      <c r="VCE145" s="7"/>
      <c r="VCF145" s="7"/>
      <c r="VCG145" s="7"/>
      <c r="VCH145" s="7"/>
      <c r="VCI145" s="7"/>
      <c r="VCJ145" s="7"/>
      <c r="VCK145" s="7"/>
      <c r="VCL145" s="7"/>
      <c r="VCM145" s="7"/>
      <c r="VCN145" s="7"/>
      <c r="VCO145" s="7"/>
      <c r="VCP145" s="7"/>
      <c r="VCQ145" s="7"/>
      <c r="VCR145" s="7"/>
      <c r="VCS145" s="7"/>
      <c r="VCT145" s="7"/>
      <c r="VCU145" s="7"/>
      <c r="VCV145" s="7"/>
      <c r="VCW145" s="7"/>
      <c r="VCX145" s="7"/>
      <c r="VCY145" s="7"/>
      <c r="VCZ145" s="7"/>
      <c r="VDA145" s="7"/>
      <c r="VDB145" s="7"/>
      <c r="VDC145" s="7"/>
      <c r="VDD145" s="7"/>
      <c r="VDE145" s="7"/>
      <c r="VDF145" s="7"/>
      <c r="VDG145" s="7"/>
      <c r="VDH145" s="7"/>
      <c r="VDI145" s="7"/>
      <c r="VDJ145" s="7"/>
      <c r="VDK145" s="7"/>
      <c r="VDL145" s="7"/>
      <c r="VDM145" s="7"/>
      <c r="VDN145" s="7"/>
      <c r="VDO145" s="7"/>
      <c r="VDP145" s="7"/>
      <c r="VDQ145" s="7"/>
      <c r="VDR145" s="7"/>
      <c r="VDS145" s="7"/>
      <c r="VDT145" s="7"/>
      <c r="VDU145" s="7"/>
      <c r="VDV145" s="7"/>
      <c r="VDW145" s="7"/>
      <c r="VDX145" s="7"/>
      <c r="VDY145" s="7"/>
      <c r="VDZ145" s="7"/>
      <c r="VEA145" s="7"/>
      <c r="VEB145" s="7"/>
      <c r="VEC145" s="7"/>
      <c r="VED145" s="7"/>
      <c r="VEE145" s="7"/>
      <c r="VEF145" s="7"/>
      <c r="VEG145" s="7"/>
      <c r="VEH145" s="7"/>
      <c r="VEI145" s="7"/>
      <c r="VEJ145" s="7"/>
      <c r="VEK145" s="7"/>
      <c r="VEL145" s="7"/>
      <c r="VEM145" s="7"/>
      <c r="VEN145" s="7"/>
      <c r="VEO145" s="7"/>
      <c r="VEP145" s="7"/>
      <c r="VEQ145" s="7"/>
      <c r="VER145" s="7"/>
      <c r="VES145" s="7"/>
      <c r="VET145" s="7"/>
      <c r="VEU145" s="7"/>
      <c r="VEV145" s="7"/>
      <c r="VEW145" s="7"/>
      <c r="VEX145" s="7"/>
      <c r="VEY145" s="7"/>
      <c r="VEZ145" s="7"/>
      <c r="VFA145" s="7"/>
      <c r="VFB145" s="7"/>
      <c r="VFC145" s="7"/>
      <c r="VFD145" s="7"/>
      <c r="VFE145" s="7"/>
      <c r="VFF145" s="7"/>
      <c r="VFG145" s="7"/>
      <c r="VFH145" s="7"/>
      <c r="VFI145" s="7"/>
      <c r="VFJ145" s="7"/>
      <c r="VFK145" s="7"/>
      <c r="VFL145" s="7"/>
      <c r="VFM145" s="7"/>
      <c r="VFN145" s="7"/>
      <c r="VFO145" s="7"/>
      <c r="VFP145" s="7"/>
      <c r="VFQ145" s="7"/>
      <c r="VFR145" s="7"/>
      <c r="VFS145" s="7"/>
      <c r="VFT145" s="7"/>
      <c r="VFU145" s="7"/>
      <c r="VFV145" s="7"/>
      <c r="VFW145" s="7"/>
      <c r="VFX145" s="7"/>
      <c r="VFY145" s="7"/>
      <c r="VFZ145" s="7"/>
      <c r="VGA145" s="7"/>
      <c r="VGB145" s="7"/>
      <c r="VGC145" s="7"/>
      <c r="VGD145" s="7"/>
      <c r="VGE145" s="7"/>
      <c r="VGF145" s="7"/>
      <c r="VGG145" s="7"/>
      <c r="VGH145" s="7"/>
      <c r="VGI145" s="7"/>
      <c r="VGJ145" s="7"/>
      <c r="VGK145" s="7"/>
      <c r="VGL145" s="7"/>
      <c r="VGM145" s="7"/>
      <c r="VGN145" s="7"/>
      <c r="VGO145" s="7"/>
      <c r="VGP145" s="7"/>
      <c r="VGQ145" s="7"/>
      <c r="VGR145" s="7"/>
      <c r="VGS145" s="7"/>
      <c r="VGT145" s="7"/>
      <c r="VGU145" s="7"/>
      <c r="VGV145" s="7"/>
      <c r="VGW145" s="7"/>
      <c r="VGX145" s="7"/>
      <c r="VGY145" s="7"/>
      <c r="VGZ145" s="7"/>
      <c r="VHA145" s="7"/>
      <c r="VHB145" s="7"/>
      <c r="VHC145" s="7"/>
      <c r="VHD145" s="7"/>
      <c r="VHE145" s="7"/>
      <c r="VHF145" s="7"/>
      <c r="VHG145" s="7"/>
      <c r="VHH145" s="7"/>
      <c r="VHI145" s="7"/>
      <c r="VHJ145" s="7"/>
      <c r="VHK145" s="7"/>
      <c r="VHL145" s="7"/>
      <c r="VHM145" s="7"/>
      <c r="VHN145" s="7"/>
      <c r="VHO145" s="7"/>
      <c r="VHP145" s="7"/>
      <c r="VHQ145" s="7"/>
      <c r="VHR145" s="7"/>
      <c r="VHS145" s="7"/>
      <c r="VHT145" s="7"/>
      <c r="VHU145" s="7"/>
      <c r="VHV145" s="7"/>
      <c r="VHW145" s="7"/>
      <c r="VHX145" s="7"/>
      <c r="VHY145" s="7"/>
      <c r="VHZ145" s="7"/>
      <c r="VIA145" s="7"/>
      <c r="VIB145" s="7"/>
      <c r="VIC145" s="7"/>
      <c r="VID145" s="7"/>
      <c r="VIE145" s="7"/>
      <c r="VIF145" s="7"/>
      <c r="VIG145" s="7"/>
      <c r="VIH145" s="7"/>
      <c r="VII145" s="7"/>
      <c r="VIJ145" s="7"/>
      <c r="VIK145" s="7"/>
      <c r="VIL145" s="7"/>
      <c r="VIM145" s="7"/>
      <c r="VIN145" s="7"/>
      <c r="VIO145" s="7"/>
      <c r="VIP145" s="7"/>
      <c r="VIQ145" s="7"/>
      <c r="VIR145" s="7"/>
      <c r="VIS145" s="7"/>
      <c r="VIT145" s="7"/>
      <c r="VIU145" s="7"/>
      <c r="VIV145" s="7"/>
      <c r="VIW145" s="7"/>
      <c r="VIX145" s="7"/>
      <c r="VIY145" s="7"/>
      <c r="VIZ145" s="7"/>
      <c r="VJA145" s="7"/>
      <c r="VJB145" s="7"/>
      <c r="VJC145" s="7"/>
      <c r="VJD145" s="7"/>
      <c r="VJE145" s="7"/>
      <c r="VJF145" s="7"/>
      <c r="VJG145" s="7"/>
      <c r="VJH145" s="7"/>
      <c r="VJI145" s="7"/>
      <c r="VJJ145" s="7"/>
      <c r="VJK145" s="7"/>
      <c r="VJL145" s="7"/>
      <c r="VJM145" s="7"/>
      <c r="VJN145" s="7"/>
      <c r="VJO145" s="7"/>
      <c r="VJP145" s="7"/>
      <c r="VJQ145" s="7"/>
      <c r="VJR145" s="7"/>
      <c r="VJS145" s="7"/>
      <c r="VJT145" s="7"/>
      <c r="VJU145" s="7"/>
      <c r="VJV145" s="7"/>
      <c r="VJW145" s="7"/>
      <c r="VJX145" s="7"/>
      <c r="VJY145" s="7"/>
      <c r="VJZ145" s="7"/>
      <c r="VKA145" s="7"/>
      <c r="VKB145" s="7"/>
      <c r="VKC145" s="7"/>
      <c r="VKD145" s="7"/>
      <c r="VKE145" s="7"/>
      <c r="VKF145" s="7"/>
      <c r="VKG145" s="7"/>
      <c r="VKH145" s="7"/>
      <c r="VKI145" s="7"/>
      <c r="VKJ145" s="7"/>
      <c r="VKK145" s="7"/>
      <c r="VKL145" s="7"/>
      <c r="VKM145" s="7"/>
      <c r="VKN145" s="7"/>
      <c r="VKO145" s="7"/>
      <c r="VKP145" s="7"/>
      <c r="VKQ145" s="7"/>
      <c r="VKR145" s="7"/>
      <c r="VKS145" s="7"/>
      <c r="VKT145" s="7"/>
      <c r="VKU145" s="7"/>
      <c r="VKV145" s="7"/>
      <c r="VKW145" s="7"/>
      <c r="VKX145" s="7"/>
      <c r="VKY145" s="7"/>
      <c r="VKZ145" s="7"/>
      <c r="VLA145" s="7"/>
      <c r="VLB145" s="7"/>
      <c r="VLC145" s="7"/>
      <c r="VLD145" s="7"/>
      <c r="VLE145" s="7"/>
      <c r="VLF145" s="7"/>
      <c r="VLG145" s="7"/>
      <c r="VLH145" s="7"/>
      <c r="VLI145" s="7"/>
      <c r="VLJ145" s="7"/>
      <c r="VLK145" s="7"/>
      <c r="VLL145" s="7"/>
      <c r="VLM145" s="7"/>
      <c r="VLN145" s="7"/>
      <c r="VLO145" s="7"/>
      <c r="VLP145" s="7"/>
      <c r="VLQ145" s="7"/>
      <c r="VLR145" s="7"/>
      <c r="VLS145" s="7"/>
      <c r="VLT145" s="7"/>
      <c r="VLU145" s="7"/>
      <c r="VLV145" s="7"/>
      <c r="VLW145" s="7"/>
      <c r="VLX145" s="7"/>
      <c r="VLY145" s="7"/>
      <c r="VLZ145" s="7"/>
      <c r="VMA145" s="7"/>
      <c r="VMB145" s="7"/>
      <c r="VMC145" s="7"/>
      <c r="VMD145" s="7"/>
      <c r="VME145" s="7"/>
      <c r="VMF145" s="7"/>
      <c r="VMG145" s="7"/>
      <c r="VMH145" s="7"/>
      <c r="VMI145" s="7"/>
      <c r="VMJ145" s="7"/>
      <c r="VMK145" s="7"/>
      <c r="VML145" s="7"/>
      <c r="VMM145" s="7"/>
      <c r="VMN145" s="7"/>
      <c r="VMO145" s="7"/>
      <c r="VMP145" s="7"/>
      <c r="VMQ145" s="7"/>
      <c r="VMR145" s="7"/>
      <c r="VMS145" s="7"/>
      <c r="VMT145" s="7"/>
      <c r="VMU145" s="7"/>
      <c r="VMV145" s="7"/>
      <c r="VMW145" s="7"/>
      <c r="VMX145" s="7"/>
      <c r="VMY145" s="7"/>
      <c r="VMZ145" s="7"/>
      <c r="VNA145" s="7"/>
      <c r="VNB145" s="7"/>
      <c r="VNC145" s="7"/>
      <c r="VND145" s="7"/>
      <c r="VNE145" s="7"/>
      <c r="VNF145" s="7"/>
      <c r="VNG145" s="7"/>
      <c r="VNH145" s="7"/>
      <c r="VNI145" s="7"/>
      <c r="VNJ145" s="7"/>
      <c r="VNK145" s="7"/>
      <c r="VNL145" s="7"/>
      <c r="VNM145" s="7"/>
      <c r="VNN145" s="7"/>
      <c r="VNO145" s="7"/>
      <c r="VNP145" s="7"/>
      <c r="VNQ145" s="7"/>
      <c r="VNR145" s="7"/>
      <c r="VNS145" s="7"/>
      <c r="VNT145" s="7"/>
      <c r="VNU145" s="7"/>
      <c r="VNV145" s="7"/>
      <c r="VNW145" s="7"/>
      <c r="VNX145" s="7"/>
      <c r="VNY145" s="7"/>
      <c r="VNZ145" s="7"/>
      <c r="VOA145" s="7"/>
      <c r="VOB145" s="7"/>
      <c r="VOC145" s="7"/>
      <c r="VOD145" s="7"/>
      <c r="VOE145" s="7"/>
      <c r="VOF145" s="7"/>
      <c r="VOG145" s="7"/>
      <c r="VOH145" s="7"/>
      <c r="VOI145" s="7"/>
      <c r="VOJ145" s="7"/>
      <c r="VOK145" s="7"/>
      <c r="VOL145" s="7"/>
      <c r="VOM145" s="7"/>
      <c r="VON145" s="7"/>
      <c r="VOO145" s="7"/>
      <c r="VOP145" s="7"/>
      <c r="VOQ145" s="7"/>
      <c r="VOR145" s="7"/>
      <c r="VOS145" s="7"/>
      <c r="VOT145" s="7"/>
      <c r="VOU145" s="7"/>
      <c r="VOV145" s="7"/>
      <c r="VOW145" s="7"/>
      <c r="VOX145" s="7"/>
      <c r="VOY145" s="7"/>
      <c r="VOZ145" s="7"/>
      <c r="VPA145" s="7"/>
      <c r="VPB145" s="7"/>
      <c r="VPC145" s="7"/>
      <c r="VPD145" s="7"/>
      <c r="VPE145" s="7"/>
      <c r="VPF145" s="7"/>
      <c r="VPG145" s="7"/>
      <c r="VPH145" s="7"/>
      <c r="VPI145" s="7"/>
      <c r="VPJ145" s="7"/>
      <c r="VPK145" s="7"/>
      <c r="VPL145" s="7"/>
      <c r="VPM145" s="7"/>
      <c r="VPN145" s="7"/>
      <c r="VPO145" s="7"/>
      <c r="VPP145" s="7"/>
      <c r="VPQ145" s="7"/>
      <c r="VPR145" s="7"/>
      <c r="VPS145" s="7"/>
      <c r="VPT145" s="7"/>
      <c r="VPU145" s="7"/>
      <c r="VPV145" s="7"/>
      <c r="VPW145" s="7"/>
      <c r="VPX145" s="7"/>
      <c r="VPY145" s="7"/>
      <c r="VPZ145" s="7"/>
      <c r="VQA145" s="7"/>
      <c r="VQB145" s="7"/>
      <c r="VQC145" s="7"/>
      <c r="VQD145" s="7"/>
      <c r="VQE145" s="7"/>
      <c r="VQF145" s="7"/>
      <c r="VQG145" s="7"/>
      <c r="VQH145" s="7"/>
      <c r="VQI145" s="7"/>
      <c r="VQJ145" s="7"/>
      <c r="VQK145" s="7"/>
      <c r="VQL145" s="7"/>
      <c r="VQM145" s="7"/>
      <c r="VQN145" s="7"/>
      <c r="VQO145" s="7"/>
      <c r="VQP145" s="7"/>
      <c r="VQQ145" s="7"/>
      <c r="VQR145" s="7"/>
      <c r="VQS145" s="7"/>
      <c r="VQT145" s="7"/>
      <c r="VQU145" s="7"/>
      <c r="VQV145" s="7"/>
      <c r="VQW145" s="7"/>
      <c r="VQX145" s="7"/>
      <c r="VQY145" s="7"/>
      <c r="VQZ145" s="7"/>
      <c r="VRA145" s="7"/>
      <c r="VRB145" s="7"/>
      <c r="VRC145" s="7"/>
      <c r="VRD145" s="7"/>
      <c r="VRE145" s="7"/>
      <c r="VRF145" s="7"/>
      <c r="VRG145" s="7"/>
      <c r="VRH145" s="7"/>
      <c r="VRI145" s="7"/>
      <c r="VRJ145" s="7"/>
      <c r="VRK145" s="7"/>
      <c r="VRL145" s="7"/>
      <c r="VRM145" s="7"/>
      <c r="VRN145" s="7"/>
      <c r="VRO145" s="7"/>
      <c r="VRP145" s="7"/>
      <c r="VRQ145" s="7"/>
      <c r="VRR145" s="7"/>
      <c r="VRS145" s="7"/>
      <c r="VRT145" s="7"/>
      <c r="VRU145" s="7"/>
      <c r="VRV145" s="7"/>
      <c r="VRW145" s="7"/>
      <c r="VRX145" s="7"/>
      <c r="VRY145" s="7"/>
      <c r="VRZ145" s="7"/>
      <c r="VSA145" s="7"/>
      <c r="VSB145" s="7"/>
      <c r="VSC145" s="7"/>
      <c r="VSD145" s="7"/>
      <c r="VSE145" s="7"/>
      <c r="VSF145" s="7"/>
      <c r="VSG145" s="7"/>
      <c r="VSH145" s="7"/>
      <c r="VSI145" s="7"/>
      <c r="VSJ145" s="7"/>
      <c r="VSK145" s="7"/>
      <c r="VSL145" s="7"/>
      <c r="VSM145" s="7"/>
      <c r="VSN145" s="7"/>
      <c r="VSO145" s="7"/>
      <c r="VSP145" s="7"/>
      <c r="VSQ145" s="7"/>
      <c r="VSR145" s="7"/>
      <c r="VSS145" s="7"/>
      <c r="VST145" s="7"/>
      <c r="VSU145" s="7"/>
      <c r="VSV145" s="7"/>
      <c r="VSW145" s="7"/>
      <c r="VSX145" s="7"/>
      <c r="VSY145" s="7"/>
      <c r="VSZ145" s="7"/>
      <c r="VTA145" s="7"/>
      <c r="VTB145" s="7"/>
      <c r="VTC145" s="7"/>
      <c r="VTD145" s="7"/>
      <c r="VTE145" s="7"/>
      <c r="VTF145" s="7"/>
      <c r="VTG145" s="7"/>
      <c r="VTH145" s="7"/>
      <c r="VTI145" s="7"/>
      <c r="VTJ145" s="7"/>
      <c r="VTK145" s="7"/>
      <c r="VTL145" s="7"/>
      <c r="VTM145" s="7"/>
      <c r="VTN145" s="7"/>
      <c r="VTO145" s="7"/>
      <c r="VTP145" s="7"/>
      <c r="VTQ145" s="7"/>
      <c r="VTR145" s="7"/>
      <c r="VTS145" s="7"/>
      <c r="VTT145" s="7"/>
      <c r="VTU145" s="7"/>
      <c r="VTV145" s="7"/>
      <c r="VTW145" s="7"/>
      <c r="VTX145" s="7"/>
      <c r="VTY145" s="7"/>
      <c r="VTZ145" s="7"/>
      <c r="VUA145" s="7"/>
      <c r="VUB145" s="7"/>
      <c r="VUC145" s="7"/>
      <c r="VUD145" s="7"/>
      <c r="VUE145" s="7"/>
      <c r="VUF145" s="7"/>
      <c r="VUG145" s="7"/>
      <c r="VUH145" s="7"/>
      <c r="VUI145" s="7"/>
      <c r="VUJ145" s="7"/>
      <c r="VUK145" s="7"/>
      <c r="VUL145" s="7"/>
      <c r="VUM145" s="7"/>
      <c r="VUN145" s="7"/>
      <c r="VUO145" s="7"/>
      <c r="VUP145" s="7"/>
      <c r="VUQ145" s="7"/>
      <c r="VUR145" s="7"/>
      <c r="VUS145" s="7"/>
      <c r="VUT145" s="7"/>
      <c r="VUU145" s="7"/>
      <c r="VUV145" s="7"/>
      <c r="VUW145" s="7"/>
      <c r="VUX145" s="7"/>
      <c r="VUY145" s="7"/>
      <c r="VUZ145" s="7"/>
      <c r="VVA145" s="7"/>
      <c r="VVB145" s="7"/>
      <c r="VVC145" s="7"/>
      <c r="VVD145" s="7"/>
      <c r="VVE145" s="7"/>
      <c r="VVF145" s="7"/>
      <c r="VVG145" s="7"/>
      <c r="VVH145" s="7"/>
      <c r="VVI145" s="7"/>
      <c r="VVJ145" s="7"/>
      <c r="VVK145" s="7"/>
      <c r="VVL145" s="7"/>
      <c r="VVM145" s="7"/>
      <c r="VVN145" s="7"/>
      <c r="VVO145" s="7"/>
      <c r="VVP145" s="7"/>
      <c r="VVQ145" s="7"/>
      <c r="VVR145" s="7"/>
      <c r="VVS145" s="7"/>
      <c r="VVT145" s="7"/>
      <c r="VVU145" s="7"/>
      <c r="VVV145" s="7"/>
      <c r="VVW145" s="7"/>
      <c r="VVX145" s="7"/>
      <c r="VVY145" s="7"/>
      <c r="VVZ145" s="7"/>
      <c r="VWA145" s="7"/>
      <c r="VWB145" s="7"/>
      <c r="VWC145" s="7"/>
      <c r="VWD145" s="7"/>
      <c r="VWE145" s="7"/>
      <c r="VWF145" s="7"/>
      <c r="VWG145" s="7"/>
      <c r="VWH145" s="7"/>
      <c r="VWI145" s="7"/>
      <c r="VWJ145" s="7"/>
      <c r="VWK145" s="7"/>
      <c r="VWL145" s="7"/>
      <c r="VWM145" s="7"/>
      <c r="VWN145" s="7"/>
      <c r="VWO145" s="7"/>
      <c r="VWP145" s="7"/>
      <c r="VWQ145" s="7"/>
      <c r="VWR145" s="7"/>
      <c r="VWS145" s="7"/>
      <c r="VWT145" s="7"/>
      <c r="VWU145" s="7"/>
      <c r="VWV145" s="7"/>
      <c r="VWW145" s="7"/>
      <c r="VWX145" s="7"/>
      <c r="VWY145" s="7"/>
      <c r="VWZ145" s="7"/>
      <c r="VXA145" s="7"/>
      <c r="VXB145" s="7"/>
      <c r="VXC145" s="7"/>
      <c r="VXD145" s="7"/>
      <c r="VXE145" s="7"/>
      <c r="VXF145" s="7"/>
      <c r="VXG145" s="7"/>
      <c r="VXH145" s="7"/>
      <c r="VXI145" s="7"/>
      <c r="VXJ145" s="7"/>
      <c r="VXK145" s="7"/>
      <c r="VXL145" s="7"/>
      <c r="VXM145" s="7"/>
      <c r="VXN145" s="7"/>
      <c r="VXO145" s="7"/>
      <c r="VXP145" s="7"/>
      <c r="VXQ145" s="7"/>
      <c r="VXR145" s="7"/>
      <c r="VXS145" s="7"/>
      <c r="VXT145" s="7"/>
      <c r="VXU145" s="7"/>
      <c r="VXV145" s="7"/>
      <c r="VXW145" s="7"/>
      <c r="VXX145" s="7"/>
      <c r="VXY145" s="7"/>
      <c r="VXZ145" s="7"/>
      <c r="VYA145" s="7"/>
      <c r="VYB145" s="7"/>
      <c r="VYC145" s="7"/>
      <c r="VYD145" s="7"/>
      <c r="VYE145" s="7"/>
      <c r="VYF145" s="7"/>
      <c r="VYG145" s="7"/>
      <c r="VYH145" s="7"/>
      <c r="VYI145" s="7"/>
      <c r="VYJ145" s="7"/>
      <c r="VYK145" s="7"/>
      <c r="VYL145" s="7"/>
      <c r="VYM145" s="7"/>
      <c r="VYN145" s="7"/>
      <c r="VYO145" s="7"/>
      <c r="VYP145" s="7"/>
      <c r="VYQ145" s="7"/>
      <c r="VYR145" s="7"/>
      <c r="VYS145" s="7"/>
      <c r="VYT145" s="7"/>
      <c r="VYU145" s="7"/>
      <c r="VYV145" s="7"/>
      <c r="VYW145" s="7"/>
      <c r="VYX145" s="7"/>
      <c r="VYY145" s="7"/>
      <c r="VYZ145" s="7"/>
      <c r="VZA145" s="7"/>
      <c r="VZB145" s="7"/>
      <c r="VZC145" s="7"/>
      <c r="VZD145" s="7"/>
      <c r="VZE145" s="7"/>
      <c r="VZF145" s="7"/>
      <c r="VZG145" s="7"/>
      <c r="VZH145" s="7"/>
      <c r="VZI145" s="7"/>
      <c r="VZJ145" s="7"/>
      <c r="VZK145" s="7"/>
      <c r="VZL145" s="7"/>
      <c r="VZM145" s="7"/>
      <c r="VZN145" s="7"/>
      <c r="VZO145" s="7"/>
      <c r="VZP145" s="7"/>
      <c r="VZQ145" s="7"/>
      <c r="VZR145" s="7"/>
      <c r="VZS145" s="7"/>
      <c r="VZT145" s="7"/>
      <c r="VZU145" s="7"/>
      <c r="VZV145" s="7"/>
      <c r="VZW145" s="7"/>
      <c r="VZX145" s="7"/>
      <c r="VZY145" s="7"/>
      <c r="VZZ145" s="7"/>
      <c r="WAA145" s="7"/>
      <c r="WAB145" s="7"/>
      <c r="WAC145" s="7"/>
      <c r="WAD145" s="7"/>
      <c r="WAE145" s="7"/>
      <c r="WAF145" s="7"/>
      <c r="WAG145" s="7"/>
      <c r="WAH145" s="7"/>
      <c r="WAI145" s="7"/>
      <c r="WAJ145" s="7"/>
      <c r="WAK145" s="7"/>
      <c r="WAL145" s="7"/>
      <c r="WAM145" s="7"/>
      <c r="WAN145" s="7"/>
      <c r="WAO145" s="7"/>
      <c r="WAP145" s="7"/>
      <c r="WAQ145" s="7"/>
      <c r="WAR145" s="7"/>
      <c r="WAS145" s="7"/>
      <c r="WAT145" s="7"/>
      <c r="WAU145" s="7"/>
      <c r="WAV145" s="7"/>
      <c r="WAW145" s="7"/>
      <c r="WAX145" s="7"/>
      <c r="WAY145" s="7"/>
      <c r="WAZ145" s="7"/>
      <c r="WBA145" s="7"/>
      <c r="WBB145" s="7"/>
      <c r="WBC145" s="7"/>
      <c r="WBD145" s="7"/>
      <c r="WBE145" s="7"/>
      <c r="WBF145" s="7"/>
      <c r="WBG145" s="7"/>
      <c r="WBH145" s="7"/>
      <c r="WBI145" s="7"/>
      <c r="WBJ145" s="7"/>
      <c r="WBK145" s="7"/>
      <c r="WBL145" s="7"/>
      <c r="WBM145" s="7"/>
      <c r="WBN145" s="7"/>
      <c r="WBO145" s="7"/>
      <c r="WBP145" s="7"/>
      <c r="WBQ145" s="7"/>
      <c r="WBR145" s="7"/>
      <c r="WBS145" s="7"/>
      <c r="WBT145" s="7"/>
      <c r="WBU145" s="7"/>
      <c r="WBV145" s="7"/>
      <c r="WBW145" s="7"/>
      <c r="WBX145" s="7"/>
      <c r="WBY145" s="7"/>
      <c r="WBZ145" s="7"/>
      <c r="WCA145" s="7"/>
      <c r="WCB145" s="7"/>
      <c r="WCC145" s="7"/>
      <c r="WCD145" s="7"/>
      <c r="WCE145" s="7"/>
      <c r="WCF145" s="7"/>
      <c r="WCG145" s="7"/>
      <c r="WCH145" s="7"/>
      <c r="WCI145" s="7"/>
      <c r="WCJ145" s="7"/>
      <c r="WCK145" s="7"/>
      <c r="WCL145" s="7"/>
      <c r="WCM145" s="7"/>
      <c r="WCN145" s="7"/>
      <c r="WCO145" s="7"/>
      <c r="WCP145" s="7"/>
      <c r="WCQ145" s="7"/>
      <c r="WCR145" s="7"/>
      <c r="WCS145" s="7"/>
      <c r="WCT145" s="7"/>
      <c r="WCU145" s="7"/>
      <c r="WCV145" s="7"/>
      <c r="WCW145" s="7"/>
      <c r="WCX145" s="7"/>
      <c r="WCY145" s="7"/>
      <c r="WCZ145" s="7"/>
      <c r="WDA145" s="7"/>
      <c r="WDB145" s="7"/>
      <c r="WDC145" s="7"/>
      <c r="WDD145" s="7"/>
      <c r="WDE145" s="7"/>
      <c r="WDF145" s="7"/>
      <c r="WDG145" s="7"/>
      <c r="WDH145" s="7"/>
      <c r="WDI145" s="7"/>
      <c r="WDJ145" s="7"/>
      <c r="WDK145" s="7"/>
      <c r="WDL145" s="7"/>
      <c r="WDM145" s="7"/>
      <c r="WDN145" s="7"/>
      <c r="WDO145" s="7"/>
      <c r="WDP145" s="7"/>
      <c r="WDQ145" s="7"/>
      <c r="WDR145" s="7"/>
      <c r="WDS145" s="7"/>
      <c r="WDT145" s="7"/>
      <c r="WDU145" s="7"/>
      <c r="WDV145" s="7"/>
      <c r="WDW145" s="7"/>
      <c r="WDX145" s="7"/>
      <c r="WDY145" s="7"/>
      <c r="WDZ145" s="7"/>
      <c r="WEA145" s="7"/>
      <c r="WEB145" s="7"/>
      <c r="WEC145" s="7"/>
      <c r="WED145" s="7"/>
      <c r="WEE145" s="7"/>
      <c r="WEF145" s="7"/>
      <c r="WEG145" s="7"/>
      <c r="WEH145" s="7"/>
      <c r="WEI145" s="7"/>
      <c r="WEJ145" s="7"/>
      <c r="WEK145" s="7"/>
      <c r="WEL145" s="7"/>
      <c r="WEM145" s="7"/>
      <c r="WEN145" s="7"/>
      <c r="WEO145" s="7"/>
      <c r="WEP145" s="7"/>
      <c r="WEQ145" s="7"/>
      <c r="WER145" s="7"/>
      <c r="WES145" s="7"/>
      <c r="WET145" s="7"/>
      <c r="WEU145" s="7"/>
      <c r="WEV145" s="7"/>
      <c r="WEW145" s="7"/>
      <c r="WEX145" s="7"/>
      <c r="WEY145" s="7"/>
      <c r="WEZ145" s="7"/>
      <c r="WFA145" s="7"/>
      <c r="WFB145" s="7"/>
      <c r="WFC145" s="7"/>
      <c r="WFD145" s="7"/>
      <c r="WFE145" s="7"/>
      <c r="WFF145" s="7"/>
      <c r="WFG145" s="7"/>
      <c r="WFH145" s="7"/>
      <c r="WFI145" s="7"/>
      <c r="WFJ145" s="7"/>
      <c r="WFK145" s="7"/>
      <c r="WFL145" s="7"/>
      <c r="WFM145" s="7"/>
      <c r="WFN145" s="7"/>
      <c r="WFO145" s="7"/>
      <c r="WFP145" s="7"/>
      <c r="WFQ145" s="7"/>
      <c r="WFR145" s="7"/>
      <c r="WFS145" s="7"/>
      <c r="WFT145" s="7"/>
      <c r="WFU145" s="7"/>
      <c r="WFV145" s="7"/>
      <c r="WFW145" s="7"/>
      <c r="WFX145" s="7"/>
      <c r="WFY145" s="7"/>
      <c r="WFZ145" s="7"/>
      <c r="WGA145" s="7"/>
      <c r="WGB145" s="7"/>
      <c r="WGC145" s="7"/>
      <c r="WGD145" s="7"/>
      <c r="WGE145" s="7"/>
      <c r="WGF145" s="7"/>
      <c r="WGG145" s="7"/>
      <c r="WGH145" s="7"/>
      <c r="WGI145" s="7"/>
      <c r="WGJ145" s="7"/>
      <c r="WGK145" s="7"/>
      <c r="WGL145" s="7"/>
      <c r="WGM145" s="7"/>
      <c r="WGN145" s="7"/>
      <c r="WGO145" s="7"/>
      <c r="WGP145" s="7"/>
      <c r="WGQ145" s="7"/>
      <c r="WGR145" s="7"/>
      <c r="WGS145" s="7"/>
      <c r="WGT145" s="7"/>
      <c r="WGU145" s="7"/>
      <c r="WGV145" s="7"/>
      <c r="WGW145" s="7"/>
      <c r="WGX145" s="7"/>
      <c r="WGY145" s="7"/>
      <c r="WGZ145" s="7"/>
      <c r="WHA145" s="7"/>
      <c r="WHB145" s="7"/>
      <c r="WHC145" s="7"/>
      <c r="WHD145" s="7"/>
      <c r="WHE145" s="7"/>
      <c r="WHF145" s="7"/>
      <c r="WHG145" s="7"/>
      <c r="WHH145" s="7"/>
      <c r="WHI145" s="7"/>
      <c r="WHJ145" s="7"/>
      <c r="WHK145" s="7"/>
      <c r="WHL145" s="7"/>
      <c r="WHM145" s="7"/>
      <c r="WHN145" s="7"/>
      <c r="WHO145" s="7"/>
      <c r="WHP145" s="7"/>
      <c r="WHQ145" s="7"/>
      <c r="WHR145" s="7"/>
      <c r="WHS145" s="7"/>
      <c r="WHT145" s="7"/>
      <c r="WHU145" s="7"/>
      <c r="WHV145" s="7"/>
      <c r="WHW145" s="7"/>
      <c r="WHX145" s="7"/>
      <c r="WHY145" s="7"/>
      <c r="WHZ145" s="7"/>
      <c r="WIA145" s="7"/>
      <c r="WIB145" s="7"/>
      <c r="WIC145" s="7"/>
      <c r="WID145" s="7"/>
      <c r="WIE145" s="7"/>
      <c r="WIF145" s="7"/>
      <c r="WIG145" s="7"/>
      <c r="WIH145" s="7"/>
      <c r="WII145" s="7"/>
      <c r="WIJ145" s="7"/>
      <c r="WIK145" s="7"/>
      <c r="WIL145" s="7"/>
      <c r="WIM145" s="7"/>
      <c r="WIN145" s="7"/>
      <c r="WIO145" s="7"/>
      <c r="WIP145" s="7"/>
      <c r="WIQ145" s="7"/>
      <c r="WIR145" s="7"/>
      <c r="WIS145" s="7"/>
      <c r="WIT145" s="7"/>
      <c r="WIU145" s="7"/>
      <c r="WIV145" s="7"/>
      <c r="WIW145" s="7"/>
      <c r="WIX145" s="7"/>
      <c r="WIY145" s="7"/>
      <c r="WIZ145" s="7"/>
      <c r="WJA145" s="7"/>
      <c r="WJB145" s="7"/>
      <c r="WJC145" s="7"/>
      <c r="WJD145" s="7"/>
      <c r="WJE145" s="7"/>
      <c r="WJF145" s="7"/>
      <c r="WJG145" s="7"/>
      <c r="WJH145" s="7"/>
      <c r="WJI145" s="7"/>
      <c r="WJJ145" s="7"/>
      <c r="WJK145" s="7"/>
      <c r="WJL145" s="7"/>
      <c r="WJM145" s="7"/>
      <c r="WJN145" s="7"/>
      <c r="WJO145" s="7"/>
      <c r="WJP145" s="7"/>
      <c r="WJQ145" s="7"/>
      <c r="WJR145" s="7"/>
      <c r="WJS145" s="7"/>
      <c r="WJT145" s="7"/>
      <c r="WJU145" s="7"/>
      <c r="WJV145" s="7"/>
      <c r="WJW145" s="7"/>
      <c r="WJX145" s="7"/>
      <c r="WJY145" s="7"/>
      <c r="WJZ145" s="7"/>
      <c r="WKA145" s="7"/>
      <c r="WKB145" s="7"/>
      <c r="WKC145" s="7"/>
      <c r="WKD145" s="7"/>
      <c r="WKE145" s="7"/>
      <c r="WKF145" s="7"/>
      <c r="WKG145" s="7"/>
      <c r="WKH145" s="7"/>
      <c r="WKI145" s="7"/>
      <c r="WKJ145" s="7"/>
      <c r="WKK145" s="7"/>
      <c r="WKL145" s="7"/>
      <c r="WKM145" s="7"/>
      <c r="WKN145" s="7"/>
      <c r="WKO145" s="7"/>
      <c r="WKP145" s="7"/>
      <c r="WKQ145" s="7"/>
      <c r="WKR145" s="7"/>
      <c r="WKS145" s="7"/>
      <c r="WKT145" s="7"/>
      <c r="WKU145" s="7"/>
      <c r="WKV145" s="7"/>
      <c r="WKW145" s="7"/>
      <c r="WKX145" s="7"/>
      <c r="WKY145" s="7"/>
      <c r="WKZ145" s="7"/>
      <c r="WLA145" s="7"/>
      <c r="WLB145" s="7"/>
      <c r="WLC145" s="7"/>
      <c r="WLD145" s="7"/>
      <c r="WLE145" s="7"/>
      <c r="WLF145" s="7"/>
      <c r="WLG145" s="7"/>
      <c r="WLH145" s="7"/>
      <c r="WLI145" s="7"/>
      <c r="WLJ145" s="7"/>
      <c r="WLK145" s="7"/>
      <c r="WLL145" s="7"/>
      <c r="WLM145" s="7"/>
      <c r="WLN145" s="7"/>
      <c r="WLO145" s="7"/>
      <c r="WLP145" s="7"/>
      <c r="WLQ145" s="7"/>
      <c r="WLR145" s="7"/>
      <c r="WLS145" s="7"/>
      <c r="WLT145" s="7"/>
      <c r="WLU145" s="7"/>
      <c r="WLV145" s="7"/>
      <c r="WLW145" s="7"/>
      <c r="WLX145" s="7"/>
      <c r="WLY145" s="7"/>
      <c r="WLZ145" s="7"/>
      <c r="WMA145" s="7"/>
      <c r="WMB145" s="7"/>
      <c r="WMC145" s="7"/>
      <c r="WMD145" s="7"/>
      <c r="WME145" s="7"/>
      <c r="WMF145" s="7"/>
      <c r="WMG145" s="7"/>
      <c r="WMH145" s="7"/>
      <c r="WMI145" s="7"/>
      <c r="WMJ145" s="7"/>
      <c r="WMK145" s="7"/>
      <c r="WML145" s="7"/>
      <c r="WMM145" s="7"/>
      <c r="WMN145" s="7"/>
      <c r="WMO145" s="7"/>
      <c r="WMP145" s="7"/>
      <c r="WMQ145" s="7"/>
      <c r="WMR145" s="7"/>
      <c r="WMS145" s="7"/>
      <c r="WMT145" s="7"/>
      <c r="WMU145" s="7"/>
      <c r="WMV145" s="7"/>
      <c r="WMW145" s="7"/>
      <c r="WMX145" s="7"/>
      <c r="WMY145" s="7"/>
      <c r="WMZ145" s="7"/>
      <c r="WNA145" s="7"/>
      <c r="WNB145" s="7"/>
      <c r="WNC145" s="7"/>
      <c r="WND145" s="7"/>
      <c r="WNE145" s="7"/>
      <c r="WNF145" s="7"/>
      <c r="WNG145" s="7"/>
      <c r="WNH145" s="7"/>
      <c r="WNI145" s="7"/>
      <c r="WNJ145" s="7"/>
      <c r="WNK145" s="7"/>
      <c r="WNL145" s="7"/>
      <c r="WNM145" s="7"/>
      <c r="WNN145" s="7"/>
      <c r="WNO145" s="7"/>
      <c r="WNP145" s="7"/>
      <c r="WNQ145" s="7"/>
      <c r="WNR145" s="7"/>
      <c r="WNS145" s="7"/>
      <c r="WNT145" s="7"/>
      <c r="WNU145" s="7"/>
      <c r="WNV145" s="7"/>
      <c r="WNW145" s="7"/>
      <c r="WNX145" s="7"/>
      <c r="WNY145" s="7"/>
      <c r="WNZ145" s="7"/>
      <c r="WOA145" s="7"/>
      <c r="WOB145" s="7"/>
      <c r="WOC145" s="7"/>
      <c r="WOD145" s="7"/>
      <c r="WOE145" s="7"/>
      <c r="WOF145" s="7"/>
      <c r="WOG145" s="7"/>
      <c r="WOH145" s="7"/>
      <c r="WOI145" s="7"/>
      <c r="WOJ145" s="7"/>
      <c r="WOK145" s="7"/>
      <c r="WOL145" s="7"/>
      <c r="WOM145" s="7"/>
      <c r="WON145" s="7"/>
      <c r="WOO145" s="7"/>
      <c r="WOP145" s="7"/>
      <c r="WOQ145" s="7"/>
      <c r="WOR145" s="7"/>
      <c r="WOS145" s="7"/>
      <c r="WOT145" s="7"/>
      <c r="WOU145" s="7"/>
      <c r="WOV145" s="7"/>
      <c r="WOW145" s="7"/>
      <c r="WOX145" s="7"/>
      <c r="WOY145" s="7"/>
      <c r="WOZ145" s="7"/>
      <c r="WPA145" s="7"/>
      <c r="WPB145" s="7"/>
      <c r="WPC145" s="7"/>
      <c r="WPD145" s="7"/>
      <c r="WPE145" s="7"/>
      <c r="WPF145" s="7"/>
      <c r="WPG145" s="7"/>
      <c r="WPH145" s="7"/>
      <c r="WPI145" s="7"/>
      <c r="WPJ145" s="7"/>
      <c r="WPK145" s="7"/>
      <c r="WPL145" s="7"/>
      <c r="WPM145" s="7"/>
      <c r="WPN145" s="7"/>
      <c r="WPO145" s="7"/>
      <c r="WPP145" s="7"/>
      <c r="WPQ145" s="7"/>
      <c r="WPR145" s="7"/>
      <c r="WPS145" s="7"/>
      <c r="WPT145" s="7"/>
      <c r="WPU145" s="7"/>
      <c r="WPV145" s="7"/>
      <c r="WPW145" s="7"/>
      <c r="WPX145" s="7"/>
      <c r="WPY145" s="7"/>
      <c r="WPZ145" s="7"/>
      <c r="WQA145" s="7"/>
      <c r="WQB145" s="7"/>
      <c r="WQC145" s="7"/>
      <c r="WQD145" s="7"/>
      <c r="WQE145" s="7"/>
      <c r="WQF145" s="7"/>
      <c r="WQG145" s="7"/>
      <c r="WQH145" s="7"/>
      <c r="WQI145" s="7"/>
      <c r="WQJ145" s="7"/>
      <c r="WQK145" s="7"/>
      <c r="WQL145" s="7"/>
      <c r="WQM145" s="7"/>
      <c r="WQN145" s="7"/>
      <c r="WQO145" s="7"/>
      <c r="WQP145" s="7"/>
      <c r="WQQ145" s="7"/>
      <c r="WQR145" s="7"/>
      <c r="WQS145" s="7"/>
      <c r="WQT145" s="7"/>
      <c r="WQU145" s="7"/>
      <c r="WQV145" s="7"/>
      <c r="WQW145" s="7"/>
      <c r="WQX145" s="7"/>
      <c r="WQY145" s="7"/>
      <c r="WQZ145" s="7"/>
      <c r="WRA145" s="7"/>
      <c r="WRB145" s="7"/>
      <c r="WRC145" s="7"/>
      <c r="WRD145" s="7"/>
      <c r="WRE145" s="7"/>
      <c r="WRF145" s="7"/>
      <c r="WRG145" s="7"/>
      <c r="WRH145" s="7"/>
      <c r="WRI145" s="7"/>
      <c r="WRJ145" s="7"/>
      <c r="WRK145" s="7"/>
      <c r="WRL145" s="7"/>
      <c r="WRM145" s="7"/>
      <c r="WRN145" s="7"/>
      <c r="WRO145" s="7"/>
      <c r="WRP145" s="7"/>
      <c r="WRQ145" s="7"/>
      <c r="WRR145" s="7"/>
      <c r="WRS145" s="7"/>
      <c r="WRT145" s="7"/>
      <c r="WRU145" s="7"/>
      <c r="WRV145" s="7"/>
      <c r="WRW145" s="7"/>
      <c r="WRX145" s="7"/>
      <c r="WRY145" s="7"/>
      <c r="WRZ145" s="7"/>
      <c r="WSA145" s="7"/>
      <c r="WSB145" s="7"/>
      <c r="WSC145" s="7"/>
      <c r="WSD145" s="7"/>
      <c r="WSE145" s="7"/>
      <c r="WSF145" s="7"/>
      <c r="WSG145" s="7"/>
      <c r="WSH145" s="7"/>
      <c r="WSI145" s="7"/>
      <c r="WSJ145" s="7"/>
      <c r="WSK145" s="7"/>
      <c r="WSL145" s="7"/>
      <c r="WSM145" s="7"/>
      <c r="WSN145" s="7"/>
      <c r="WSO145" s="7"/>
      <c r="WSP145" s="7"/>
      <c r="WSQ145" s="7"/>
      <c r="WSR145" s="7"/>
      <c r="WSS145" s="7"/>
      <c r="WST145" s="7"/>
      <c r="WSU145" s="7"/>
      <c r="WSV145" s="7"/>
      <c r="WSW145" s="7"/>
      <c r="WSX145" s="7"/>
      <c r="WSY145" s="7"/>
      <c r="WSZ145" s="7"/>
      <c r="WTA145" s="7"/>
      <c r="WTB145" s="7"/>
      <c r="WTC145" s="7"/>
      <c r="WTD145" s="7"/>
      <c r="WTE145" s="7"/>
      <c r="WTF145" s="7"/>
      <c r="WTG145" s="7"/>
      <c r="WTH145" s="7"/>
      <c r="WTI145" s="7"/>
      <c r="WTJ145" s="7"/>
      <c r="WTK145" s="7"/>
      <c r="WTL145" s="7"/>
      <c r="WTM145" s="7"/>
      <c r="WTN145" s="7"/>
      <c r="WTO145" s="7"/>
      <c r="WTP145" s="7"/>
      <c r="WTQ145" s="7"/>
      <c r="WTR145" s="7"/>
      <c r="WTS145" s="7"/>
      <c r="WTT145" s="7"/>
      <c r="WTU145" s="7"/>
      <c r="WTV145" s="7"/>
      <c r="WTW145" s="7"/>
      <c r="WTX145" s="7"/>
      <c r="WTY145" s="7"/>
      <c r="WTZ145" s="7"/>
      <c r="WUA145" s="7"/>
      <c r="WUB145" s="7"/>
      <c r="WUC145" s="7"/>
      <c r="WUD145" s="7"/>
      <c r="WUE145" s="7"/>
      <c r="WUF145" s="7"/>
      <c r="WUG145" s="7"/>
      <c r="WUH145" s="7"/>
      <c r="WUI145" s="7"/>
      <c r="WUJ145" s="7"/>
      <c r="WUK145" s="7"/>
      <c r="WUL145" s="7"/>
      <c r="WUM145" s="7"/>
      <c r="WUN145" s="7"/>
      <c r="WUO145" s="7"/>
      <c r="WUP145" s="7"/>
      <c r="WUQ145" s="7"/>
      <c r="WUR145" s="7"/>
      <c r="WUS145" s="7"/>
      <c r="WUT145" s="7"/>
      <c r="WUU145" s="7"/>
      <c r="WUV145" s="7"/>
      <c r="WUW145" s="7"/>
      <c r="WUX145" s="7"/>
      <c r="WUY145" s="7"/>
      <c r="WUZ145" s="7"/>
      <c r="WVA145" s="7"/>
      <c r="WVB145" s="7"/>
      <c r="WVC145" s="7"/>
      <c r="WVD145" s="7"/>
      <c r="WVE145" s="7"/>
      <c r="WVF145" s="7"/>
      <c r="WVG145" s="7"/>
      <c r="WVH145" s="7"/>
      <c r="WVI145" s="7"/>
      <c r="WVJ145" s="7"/>
      <c r="WVK145" s="7"/>
      <c r="WVL145" s="7"/>
      <c r="WVM145" s="7"/>
      <c r="WVN145" s="7"/>
      <c r="WVO145" s="7"/>
      <c r="WVP145" s="7"/>
      <c r="WVQ145" s="7"/>
      <c r="WVR145" s="7"/>
      <c r="WVS145" s="7"/>
      <c r="WVT145" s="7"/>
      <c r="WVU145" s="7"/>
      <c r="WVV145" s="7"/>
      <c r="WVW145" s="7"/>
      <c r="WVX145" s="7"/>
      <c r="WVY145" s="7"/>
      <c r="WVZ145" s="7"/>
      <c r="WWA145" s="7"/>
      <c r="WWB145" s="7"/>
      <c r="WWC145" s="7"/>
      <c r="WWD145" s="7"/>
      <c r="WWE145" s="7"/>
      <c r="WWF145" s="7"/>
      <c r="WWG145" s="7"/>
      <c r="WWH145" s="7"/>
      <c r="WWI145" s="7"/>
      <c r="WWJ145" s="7"/>
      <c r="WWK145" s="7"/>
      <c r="WWL145" s="7"/>
      <c r="WWM145" s="7"/>
      <c r="WWN145" s="7"/>
      <c r="WWO145" s="7"/>
      <c r="WWP145" s="7"/>
      <c r="WWQ145" s="7"/>
      <c r="WWR145" s="7"/>
      <c r="WWS145" s="7"/>
      <c r="WWT145" s="7"/>
      <c r="WWU145" s="7"/>
      <c r="WWV145" s="7"/>
      <c r="WWW145" s="7"/>
      <c r="WWX145" s="7"/>
      <c r="WWY145" s="7"/>
      <c r="WWZ145" s="7"/>
      <c r="WXA145" s="7"/>
      <c r="WXB145" s="7"/>
      <c r="WXC145" s="7"/>
      <c r="WXD145" s="7"/>
      <c r="WXE145" s="7"/>
      <c r="WXF145" s="7"/>
      <c r="WXG145" s="7"/>
      <c r="WXH145" s="7"/>
      <c r="WXI145" s="7"/>
      <c r="WXJ145" s="7"/>
      <c r="WXK145" s="7"/>
      <c r="WXL145" s="7"/>
      <c r="WXM145" s="7"/>
      <c r="WXN145" s="7"/>
      <c r="WXO145" s="7"/>
      <c r="WXP145" s="7"/>
      <c r="WXQ145" s="7"/>
      <c r="WXR145" s="7"/>
      <c r="WXS145" s="7"/>
      <c r="WXT145" s="7"/>
      <c r="WXU145" s="7"/>
      <c r="WXV145" s="7"/>
      <c r="WXW145" s="7"/>
      <c r="WXX145" s="7"/>
      <c r="WXY145" s="7"/>
      <c r="WXZ145" s="7"/>
      <c r="WYA145" s="7"/>
      <c r="WYB145" s="7"/>
      <c r="WYC145" s="7"/>
      <c r="WYD145" s="7"/>
      <c r="WYE145" s="7"/>
      <c r="WYF145" s="7"/>
      <c r="WYG145" s="7"/>
      <c r="WYH145" s="7"/>
      <c r="WYI145" s="7"/>
      <c r="WYJ145" s="7"/>
      <c r="WYK145" s="7"/>
      <c r="WYL145" s="7"/>
      <c r="WYM145" s="7"/>
      <c r="WYN145" s="7"/>
      <c r="WYO145" s="7"/>
      <c r="WYP145" s="7"/>
      <c r="WYQ145" s="7"/>
      <c r="WYR145" s="7"/>
      <c r="WYS145" s="7"/>
      <c r="WYT145" s="7"/>
      <c r="WYU145" s="7"/>
      <c r="WYV145" s="7"/>
      <c r="WYW145" s="7"/>
      <c r="WYX145" s="7"/>
      <c r="WYY145" s="7"/>
      <c r="WYZ145" s="7"/>
      <c r="WZA145" s="7"/>
      <c r="WZB145" s="7"/>
      <c r="WZC145" s="7"/>
      <c r="WZD145" s="7"/>
      <c r="WZE145" s="7"/>
      <c r="WZF145" s="7"/>
      <c r="WZG145" s="7"/>
      <c r="WZH145" s="7"/>
      <c r="WZI145" s="7"/>
      <c r="WZJ145" s="7"/>
      <c r="WZK145" s="7"/>
      <c r="WZL145" s="7"/>
      <c r="WZM145" s="7"/>
      <c r="WZN145" s="7"/>
      <c r="WZO145" s="7"/>
      <c r="WZP145" s="7"/>
      <c r="WZQ145" s="7"/>
      <c r="WZR145" s="7"/>
      <c r="WZS145" s="7"/>
      <c r="WZT145" s="7"/>
      <c r="WZU145" s="7"/>
      <c r="WZV145" s="7"/>
      <c r="WZW145" s="7"/>
      <c r="WZX145" s="7"/>
      <c r="WZY145" s="7"/>
      <c r="WZZ145" s="7"/>
      <c r="XAA145" s="7"/>
      <c r="XAB145" s="7"/>
      <c r="XAC145" s="7"/>
      <c r="XAD145" s="7"/>
      <c r="XAE145" s="7"/>
      <c r="XAF145" s="7"/>
      <c r="XAG145" s="7"/>
      <c r="XAH145" s="7"/>
      <c r="XAI145" s="7"/>
      <c r="XAJ145" s="7"/>
      <c r="XAK145" s="7"/>
      <c r="XAL145" s="7"/>
      <c r="XAM145" s="7"/>
      <c r="XAN145" s="7"/>
      <c r="XAO145" s="7"/>
      <c r="XAP145" s="7"/>
      <c r="XAQ145" s="7"/>
      <c r="XAR145" s="7"/>
      <c r="XAS145" s="7"/>
      <c r="XAT145" s="7"/>
      <c r="XAU145" s="7"/>
      <c r="XAV145" s="7"/>
      <c r="XAW145" s="7"/>
      <c r="XAX145" s="7"/>
      <c r="XAY145" s="7"/>
      <c r="XAZ145" s="7"/>
      <c r="XBA145" s="7"/>
      <c r="XBB145" s="7"/>
      <c r="XBC145" s="7"/>
      <c r="XBD145" s="7"/>
      <c r="XBE145" s="7"/>
      <c r="XBF145" s="7"/>
      <c r="XBG145" s="7"/>
      <c r="XBH145" s="7"/>
      <c r="XBI145" s="7"/>
      <c r="XBJ145" s="7"/>
      <c r="XBK145" s="7"/>
      <c r="XBL145" s="7"/>
      <c r="XBM145" s="7"/>
      <c r="XBN145" s="7"/>
      <c r="XBO145" s="7"/>
      <c r="XBP145" s="7"/>
      <c r="XBQ145" s="7"/>
      <c r="XBR145" s="7"/>
      <c r="XBS145" s="7"/>
      <c r="XBT145" s="7"/>
      <c r="XBU145" s="7"/>
      <c r="XBV145" s="7"/>
      <c r="XBW145" s="7"/>
      <c r="XBX145" s="7"/>
      <c r="XBY145" s="7"/>
      <c r="XBZ145" s="7"/>
      <c r="XCA145" s="7"/>
      <c r="XCB145" s="7"/>
      <c r="XCC145" s="7"/>
      <c r="XCD145" s="7"/>
      <c r="XCE145" s="7"/>
      <c r="XCF145" s="7"/>
      <c r="XCG145" s="7"/>
      <c r="XCH145" s="7"/>
      <c r="XCI145" s="7"/>
      <c r="XCJ145" s="7"/>
      <c r="XCK145" s="7"/>
      <c r="XCL145" s="7"/>
      <c r="XCM145" s="7"/>
      <c r="XCN145" s="7"/>
      <c r="XCO145" s="7"/>
      <c r="XCP145" s="7"/>
      <c r="XCQ145" s="7"/>
      <c r="XCR145" s="7"/>
      <c r="XCS145" s="7"/>
      <c r="XCT145" s="7"/>
      <c r="XCU145" s="7"/>
      <c r="XCV145" s="7"/>
      <c r="XCW145" s="7"/>
      <c r="XCX145" s="7"/>
      <c r="XCY145" s="7"/>
      <c r="XCZ145" s="7"/>
      <c r="XDA145" s="7"/>
      <c r="XDB145" s="7"/>
      <c r="XDC145" s="7"/>
      <c r="XDD145" s="7"/>
      <c r="XDE145" s="7"/>
      <c r="XDF145" s="7"/>
      <c r="XDG145" s="7"/>
      <c r="XDH145" s="7"/>
      <c r="XDI145" s="7"/>
      <c r="XDJ145" s="7"/>
      <c r="XDK145" s="7"/>
      <c r="XDL145" s="7"/>
      <c r="XDM145" s="7"/>
      <c r="XDN145" s="7"/>
      <c r="XDO145" s="7"/>
      <c r="XDP145" s="7"/>
      <c r="XDQ145" s="7"/>
      <c r="XDR145" s="7"/>
      <c r="XDS145" s="7"/>
      <c r="XDT145" s="7"/>
      <c r="XDU145" s="7"/>
      <c r="XDV145" s="7"/>
      <c r="XDW145" s="7"/>
      <c r="XDX145" s="7"/>
      <c r="XDY145" s="7"/>
      <c r="XDZ145" s="7"/>
      <c r="XEA145" s="7"/>
      <c r="XEB145" s="7"/>
      <c r="XEC145" s="7"/>
      <c r="XED145" s="7"/>
      <c r="XEE145" s="7"/>
      <c r="XEF145" s="7"/>
      <c r="XEG145" s="7"/>
      <c r="XEH145" s="7"/>
      <c r="XEI145" s="7"/>
      <c r="XEJ145" s="7"/>
      <c r="XEK145" s="7"/>
      <c r="XEL145" s="7"/>
      <c r="XEM145" s="7"/>
      <c r="XEN145" s="7"/>
      <c r="XEO145" s="7"/>
      <c r="XEP145" s="7"/>
      <c r="XEQ145" s="7"/>
      <c r="XER145" s="7"/>
      <c r="XES145" s="7"/>
      <c r="XET145" s="7"/>
      <c r="XEU145" s="7"/>
      <c r="XEV145" s="7"/>
      <c r="XEW145" s="7"/>
      <c r="XEX145" s="7"/>
      <c r="XEY145" s="7"/>
      <c r="XEZ145" s="7"/>
      <c r="XFA145" s="7"/>
      <c r="XFB145" s="7"/>
    </row>
    <row r="146" spans="1:16382" s="37" customFormat="1" ht="15" hidden="1" customHeight="1" x14ac:dyDescent="0.25">
      <c r="A146" s="5" t="s">
        <v>16</v>
      </c>
      <c r="B146" s="5" t="s">
        <v>439</v>
      </c>
      <c r="C146" s="5">
        <v>36709</v>
      </c>
      <c r="D146" s="5">
        <v>1</v>
      </c>
      <c r="E146" s="31" t="s">
        <v>55</v>
      </c>
      <c r="F146" s="31" t="s">
        <v>56</v>
      </c>
      <c r="G146" s="80">
        <v>110</v>
      </c>
      <c r="H146" s="41">
        <v>110</v>
      </c>
      <c r="I146" s="114">
        <f t="shared" si="10"/>
        <v>110</v>
      </c>
      <c r="J146" s="35"/>
      <c r="K146" s="106"/>
      <c r="L146" s="108"/>
      <c r="M146" s="106"/>
      <c r="N146" s="108"/>
      <c r="O146" s="108"/>
      <c r="P146" s="36">
        <v>64.930000000000007</v>
      </c>
      <c r="Q146" s="32">
        <f t="shared" si="9"/>
        <v>7142.3000000000011</v>
      </c>
      <c r="R146" s="33"/>
    </row>
    <row r="147" spans="1:16382" x14ac:dyDescent="0.25">
      <c r="A147" s="5" t="s">
        <v>57</v>
      </c>
      <c r="B147" s="5">
        <v>3611</v>
      </c>
      <c r="C147" s="5">
        <v>184491</v>
      </c>
      <c r="D147" s="5">
        <v>1</v>
      </c>
      <c r="E147" s="31" t="s">
        <v>251</v>
      </c>
      <c r="F147" s="31" t="s">
        <v>252</v>
      </c>
      <c r="G147" s="31">
        <v>100</v>
      </c>
      <c r="H147" s="5">
        <v>100</v>
      </c>
      <c r="I147" s="114">
        <f t="shared" si="10"/>
        <v>100</v>
      </c>
      <c r="J147" s="35">
        <v>45352</v>
      </c>
      <c r="K147" s="35"/>
      <c r="L147" s="4"/>
      <c r="M147" s="35"/>
      <c r="N147" s="4"/>
      <c r="O147" s="4"/>
      <c r="P147" s="36">
        <v>20.420000000000002</v>
      </c>
      <c r="Q147" s="32">
        <f t="shared" ref="Q147:Q150" si="11">P147*H147</f>
        <v>2042.0000000000002</v>
      </c>
    </row>
    <row r="148" spans="1:16382" x14ac:dyDescent="0.25">
      <c r="A148" s="5" t="s">
        <v>57</v>
      </c>
      <c r="B148" s="5">
        <v>3619</v>
      </c>
      <c r="C148" s="5">
        <v>184417</v>
      </c>
      <c r="D148" s="5">
        <v>6</v>
      </c>
      <c r="E148" s="31" t="s">
        <v>144</v>
      </c>
      <c r="F148" s="31" t="s">
        <v>145</v>
      </c>
      <c r="G148" s="31">
        <v>100</v>
      </c>
      <c r="H148" s="5">
        <v>100</v>
      </c>
      <c r="I148" s="114">
        <f t="shared" si="10"/>
        <v>100</v>
      </c>
      <c r="J148" s="35">
        <v>45323</v>
      </c>
      <c r="K148" s="35"/>
      <c r="L148" s="4"/>
      <c r="M148" s="35"/>
      <c r="N148" s="4"/>
      <c r="O148" s="4"/>
      <c r="P148" s="36">
        <v>15.17</v>
      </c>
      <c r="Q148" s="32">
        <f t="shared" si="11"/>
        <v>1517</v>
      </c>
    </row>
    <row r="149" spans="1:16382" x14ac:dyDescent="0.25">
      <c r="A149" s="6" t="s">
        <v>57</v>
      </c>
      <c r="B149" s="6">
        <v>3523</v>
      </c>
      <c r="C149" s="6">
        <v>183229</v>
      </c>
      <c r="D149" s="6">
        <v>3</v>
      </c>
      <c r="E149" s="120" t="s">
        <v>146</v>
      </c>
      <c r="F149" s="120" t="s">
        <v>147</v>
      </c>
      <c r="G149" s="120">
        <v>80</v>
      </c>
      <c r="H149" s="6">
        <v>80</v>
      </c>
      <c r="I149" s="122">
        <f t="shared" si="10"/>
        <v>80</v>
      </c>
      <c r="J149" s="123">
        <v>45288</v>
      </c>
      <c r="K149" s="35"/>
      <c r="L149" s="4"/>
      <c r="M149" s="35"/>
      <c r="N149" s="4"/>
      <c r="O149" s="4"/>
      <c r="P149" s="36">
        <v>13.01</v>
      </c>
      <c r="Q149" s="32">
        <f t="shared" si="11"/>
        <v>1040.8</v>
      </c>
    </row>
    <row r="150" spans="1:16382" x14ac:dyDescent="0.25">
      <c r="A150" s="5" t="s">
        <v>57</v>
      </c>
      <c r="B150" s="5">
        <v>3619</v>
      </c>
      <c r="C150" s="5">
        <v>184417</v>
      </c>
      <c r="D150" s="5">
        <v>7</v>
      </c>
      <c r="E150" s="31" t="s">
        <v>299</v>
      </c>
      <c r="F150" s="31" t="s">
        <v>300</v>
      </c>
      <c r="G150" s="31">
        <v>300</v>
      </c>
      <c r="H150" s="5">
        <v>300</v>
      </c>
      <c r="I150" s="114">
        <f t="shared" si="10"/>
        <v>300</v>
      </c>
      <c r="J150" s="35">
        <v>45351</v>
      </c>
      <c r="K150" s="35"/>
      <c r="L150" s="4"/>
      <c r="M150" s="35"/>
      <c r="N150" s="4"/>
      <c r="O150" s="4"/>
      <c r="P150" s="36">
        <v>9.25</v>
      </c>
      <c r="Q150" s="32">
        <f t="shared" si="11"/>
        <v>2775</v>
      </c>
    </row>
    <row r="151" spans="1:16382" hidden="1" x14ac:dyDescent="0.25">
      <c r="A151" s="5" t="s">
        <v>440</v>
      </c>
      <c r="B151" s="5">
        <v>3714</v>
      </c>
      <c r="C151" s="5" t="s">
        <v>13</v>
      </c>
      <c r="D151" s="5" t="s">
        <v>6</v>
      </c>
      <c r="E151" s="31" t="s">
        <v>441</v>
      </c>
      <c r="F151" s="31"/>
      <c r="G151" s="80">
        <v>55</v>
      </c>
      <c r="H151" s="41">
        <v>55</v>
      </c>
      <c r="I151" s="114">
        <f t="shared" ref="I151:I152" si="12">H151-L151</f>
        <v>55</v>
      </c>
      <c r="J151" s="35">
        <v>45345</v>
      </c>
      <c r="K151" s="35"/>
      <c r="L151" s="4"/>
      <c r="M151" s="35"/>
      <c r="N151" s="4"/>
      <c r="O151" s="4"/>
      <c r="P151" s="36">
        <v>30.06</v>
      </c>
      <c r="Q151" s="32">
        <f t="shared" ref="Q151:Q152" si="13">P151*H151</f>
        <v>1653.3</v>
      </c>
    </row>
    <row r="152" spans="1:16382" hidden="1" x14ac:dyDescent="0.25">
      <c r="A152" s="5" t="s">
        <v>440</v>
      </c>
      <c r="B152" s="5">
        <v>3714</v>
      </c>
      <c r="C152" s="5" t="s">
        <v>13</v>
      </c>
      <c r="D152" s="5" t="s">
        <v>6</v>
      </c>
      <c r="E152" s="31" t="s">
        <v>442</v>
      </c>
      <c r="F152" s="31"/>
      <c r="G152" s="80">
        <v>12</v>
      </c>
      <c r="H152" s="41">
        <v>12</v>
      </c>
      <c r="I152" s="114">
        <f t="shared" si="12"/>
        <v>12</v>
      </c>
      <c r="J152" s="35">
        <v>45345</v>
      </c>
      <c r="K152" s="35"/>
      <c r="L152" s="4"/>
      <c r="M152" s="35"/>
      <c r="N152" s="4"/>
      <c r="O152" s="4"/>
      <c r="P152" s="36">
        <v>30.06</v>
      </c>
      <c r="Q152" s="32">
        <f t="shared" si="13"/>
        <v>360.71999999999997</v>
      </c>
    </row>
    <row r="153" spans="1:16382" x14ac:dyDescent="0.25">
      <c r="A153" s="12"/>
      <c r="B153" s="18"/>
      <c r="C153" s="12"/>
      <c r="D153" s="12"/>
      <c r="E153" s="8"/>
      <c r="F153" s="8"/>
      <c r="G153" s="8"/>
      <c r="H153" s="19"/>
      <c r="I153" s="12"/>
      <c r="J153" s="13"/>
      <c r="K153" s="13"/>
      <c r="L153" s="112"/>
      <c r="M153" s="13"/>
      <c r="N153" s="112"/>
      <c r="O153" s="112"/>
      <c r="P153" s="29"/>
      <c r="Q153" s="8"/>
    </row>
    <row r="154" spans="1:16382" x14ac:dyDescent="0.25">
      <c r="A154" s="12"/>
      <c r="B154" s="18"/>
      <c r="C154" s="12"/>
      <c r="D154" s="12"/>
      <c r="E154" s="8"/>
      <c r="F154" s="8"/>
      <c r="G154" s="8"/>
      <c r="H154" s="19"/>
      <c r="I154" s="12"/>
      <c r="J154" s="13"/>
      <c r="K154" s="13"/>
      <c r="L154" s="112"/>
      <c r="M154" s="13"/>
      <c r="N154" s="112"/>
      <c r="O154" s="112"/>
      <c r="P154" s="29"/>
      <c r="Q154" s="8"/>
    </row>
    <row r="155" spans="1:16382" x14ac:dyDescent="0.25">
      <c r="A155" s="12"/>
      <c r="B155" s="18"/>
      <c r="C155" s="12"/>
      <c r="D155" s="12"/>
      <c r="E155" s="8"/>
      <c r="F155" s="8"/>
      <c r="G155" s="8"/>
      <c r="H155" s="19"/>
      <c r="I155" s="12"/>
      <c r="J155" s="13"/>
      <c r="K155" s="13"/>
      <c r="L155" s="112"/>
      <c r="M155" s="13"/>
      <c r="N155" s="112"/>
      <c r="O155" s="112"/>
      <c r="P155" s="29"/>
      <c r="Q155" s="8"/>
    </row>
    <row r="156" spans="1:16382" x14ac:dyDescent="0.25">
      <c r="A156" s="12"/>
      <c r="B156" s="18"/>
      <c r="C156" s="12"/>
      <c r="D156" s="12"/>
      <c r="E156" s="8"/>
      <c r="F156" s="31"/>
      <c r="G156" s="34"/>
      <c r="H156" s="19"/>
      <c r="I156" s="12"/>
      <c r="J156" s="13"/>
      <c r="K156" s="13"/>
      <c r="L156" s="112"/>
      <c r="M156" s="13"/>
      <c r="N156" s="112"/>
      <c r="O156" s="112"/>
      <c r="P156" s="29"/>
      <c r="Q156" s="8"/>
    </row>
    <row r="157" spans="1:16382" x14ac:dyDescent="0.25">
      <c r="A157" s="12"/>
      <c r="B157" s="18"/>
      <c r="C157" s="12"/>
      <c r="D157" s="12"/>
      <c r="E157" s="8"/>
      <c r="F157" s="8"/>
      <c r="G157" s="8"/>
      <c r="H157" s="19"/>
      <c r="I157" s="12"/>
      <c r="J157" s="13"/>
      <c r="K157" s="13"/>
      <c r="L157" s="112"/>
      <c r="M157" s="13"/>
      <c r="N157" s="112"/>
      <c r="O157" s="112"/>
      <c r="P157" s="29"/>
      <c r="Q157" s="8"/>
    </row>
    <row r="158" spans="1:16382" x14ac:dyDescent="0.25">
      <c r="A158" s="12"/>
      <c r="B158" s="18"/>
      <c r="C158" s="12"/>
      <c r="D158" s="12"/>
      <c r="E158" s="8"/>
      <c r="F158" s="8"/>
      <c r="G158" s="8"/>
      <c r="H158" s="19"/>
      <c r="I158" s="12"/>
      <c r="J158" s="13"/>
      <c r="K158" s="13"/>
      <c r="L158" s="112"/>
      <c r="M158" s="13"/>
      <c r="N158" s="112"/>
      <c r="O158" s="112"/>
      <c r="P158" s="29"/>
      <c r="Q158" s="8"/>
    </row>
    <row r="159" spans="1:16382" x14ac:dyDescent="0.25">
      <c r="A159" s="12"/>
      <c r="B159" s="18"/>
      <c r="C159" s="12"/>
      <c r="D159" s="12"/>
      <c r="E159" s="8"/>
      <c r="F159" s="8"/>
      <c r="G159" s="8"/>
      <c r="H159" s="19"/>
      <c r="I159" s="12"/>
      <c r="J159" s="13"/>
      <c r="K159" s="13"/>
      <c r="L159" s="112"/>
      <c r="M159" s="13"/>
      <c r="N159" s="112"/>
      <c r="O159" s="112"/>
      <c r="P159" s="29"/>
      <c r="Q159" s="8"/>
    </row>
    <row r="160" spans="1:16382" x14ac:dyDescent="0.25">
      <c r="A160" s="12"/>
      <c r="B160" s="18"/>
      <c r="C160" s="12"/>
      <c r="D160" s="12"/>
      <c r="E160" s="8"/>
      <c r="F160" s="8"/>
      <c r="G160" s="8"/>
      <c r="H160" s="19"/>
      <c r="I160" s="12"/>
      <c r="J160" s="13"/>
      <c r="K160" s="13"/>
      <c r="L160" s="112"/>
      <c r="M160" s="13"/>
      <c r="N160" s="112"/>
      <c r="O160" s="112"/>
      <c r="P160" s="29"/>
      <c r="Q160" s="8"/>
    </row>
    <row r="161" spans="1:17" x14ac:dyDescent="0.25">
      <c r="A161" s="12"/>
      <c r="B161" s="18"/>
      <c r="C161" s="12"/>
      <c r="D161" s="12"/>
      <c r="E161" s="8"/>
      <c r="F161" s="8"/>
      <c r="G161" s="8"/>
      <c r="H161" s="19"/>
      <c r="I161" s="12"/>
      <c r="J161" s="13"/>
      <c r="K161" s="13"/>
      <c r="L161" s="112"/>
      <c r="M161" s="13"/>
      <c r="N161" s="112"/>
      <c r="O161" s="112"/>
      <c r="P161" s="29"/>
      <c r="Q161" s="8"/>
    </row>
    <row r="162" spans="1:17" x14ac:dyDescent="0.25">
      <c r="A162" s="12"/>
      <c r="B162" s="18"/>
      <c r="C162" s="12"/>
      <c r="D162" s="12"/>
      <c r="E162" s="8"/>
      <c r="F162" s="8"/>
      <c r="G162" s="8"/>
      <c r="H162" s="19"/>
      <c r="I162" s="12"/>
      <c r="J162" s="13"/>
      <c r="K162" s="13"/>
      <c r="L162" s="112"/>
      <c r="M162" s="13"/>
      <c r="N162" s="112"/>
      <c r="O162" s="112"/>
      <c r="P162" s="29"/>
      <c r="Q162" s="8"/>
    </row>
    <row r="163" spans="1:17" x14ac:dyDescent="0.25">
      <c r="A163" s="12"/>
      <c r="B163" s="18"/>
      <c r="C163" s="12"/>
      <c r="D163" s="12"/>
      <c r="E163" s="8"/>
      <c r="F163" s="8"/>
      <c r="G163" s="8"/>
      <c r="H163" s="19"/>
      <c r="I163" s="12"/>
      <c r="J163" s="13"/>
      <c r="K163" s="13"/>
      <c r="L163" s="112"/>
      <c r="M163" s="13"/>
      <c r="N163" s="112"/>
      <c r="O163" s="112"/>
      <c r="P163" s="29"/>
      <c r="Q163" s="8"/>
    </row>
    <row r="164" spans="1:17" x14ac:dyDescent="0.25">
      <c r="A164" s="12"/>
      <c r="B164" s="18"/>
      <c r="C164" s="12"/>
      <c r="D164" s="12"/>
      <c r="E164" s="8"/>
      <c r="F164" s="8"/>
      <c r="G164" s="8"/>
      <c r="H164" s="19"/>
      <c r="I164" s="12"/>
      <c r="J164" s="13"/>
      <c r="K164" s="13"/>
      <c r="L164" s="112"/>
      <c r="M164" s="13"/>
      <c r="N164" s="112"/>
      <c r="O164" s="112"/>
      <c r="P164" s="29"/>
      <c r="Q164" s="8"/>
    </row>
    <row r="165" spans="1:17" x14ac:dyDescent="0.25">
      <c r="A165" s="12"/>
      <c r="B165" s="18"/>
      <c r="C165" s="12"/>
      <c r="D165" s="12"/>
      <c r="E165" s="8"/>
      <c r="F165" s="8"/>
      <c r="G165" s="8"/>
      <c r="H165" s="19"/>
      <c r="I165" s="12"/>
      <c r="J165" s="13"/>
      <c r="K165" s="13"/>
      <c r="L165" s="112"/>
      <c r="M165" s="13"/>
      <c r="N165" s="112"/>
      <c r="O165" s="112"/>
      <c r="P165" s="29"/>
      <c r="Q165" s="8"/>
    </row>
    <row r="166" spans="1:17" x14ac:dyDescent="0.25">
      <c r="A166" s="12"/>
      <c r="B166" s="18"/>
      <c r="C166" s="12"/>
      <c r="D166" s="12"/>
      <c r="E166" s="8"/>
      <c r="F166" s="8"/>
      <c r="G166" s="8"/>
      <c r="H166" s="19"/>
      <c r="I166" s="12"/>
      <c r="J166" s="13"/>
      <c r="K166" s="13"/>
      <c r="L166" s="112"/>
      <c r="M166" s="13"/>
      <c r="N166" s="112"/>
      <c r="O166" s="112"/>
      <c r="P166" s="29"/>
      <c r="Q166" s="8"/>
    </row>
    <row r="167" spans="1:17" x14ac:dyDescent="0.25">
      <c r="A167" s="12"/>
      <c r="B167" s="18"/>
      <c r="C167" s="12"/>
      <c r="D167" s="12"/>
      <c r="E167" s="8"/>
      <c r="F167" s="8"/>
      <c r="G167" s="8"/>
      <c r="H167" s="19"/>
      <c r="I167" s="12"/>
      <c r="J167" s="13"/>
      <c r="K167" s="13"/>
      <c r="L167" s="112"/>
      <c r="M167" s="13"/>
      <c r="N167" s="112"/>
      <c r="O167" s="112"/>
      <c r="P167" s="29"/>
      <c r="Q167" s="8"/>
    </row>
    <row r="168" spans="1:17" x14ac:dyDescent="0.25">
      <c r="A168" s="12"/>
      <c r="B168" s="18"/>
      <c r="C168" s="12"/>
      <c r="D168" s="12"/>
      <c r="E168" s="8"/>
      <c r="F168" s="8"/>
      <c r="G168" s="8"/>
      <c r="H168" s="19"/>
      <c r="I168" s="12"/>
      <c r="J168" s="13"/>
      <c r="K168" s="13"/>
      <c r="L168" s="112"/>
      <c r="M168" s="13"/>
      <c r="N168" s="112"/>
      <c r="O168" s="112"/>
      <c r="P168" s="29"/>
      <c r="Q168" s="8"/>
    </row>
    <row r="169" spans="1:17" x14ac:dyDescent="0.25">
      <c r="A169" s="12"/>
      <c r="B169" s="18"/>
      <c r="C169" s="12"/>
      <c r="D169" s="12"/>
      <c r="E169" s="8"/>
      <c r="F169" s="8"/>
      <c r="G169" s="8"/>
      <c r="H169" s="19"/>
      <c r="I169" s="12"/>
      <c r="J169" s="13"/>
      <c r="K169" s="13"/>
      <c r="L169" s="112"/>
      <c r="M169" s="13"/>
      <c r="N169" s="112"/>
      <c r="O169" s="112"/>
      <c r="P169" s="29"/>
      <c r="Q169" s="8"/>
    </row>
    <row r="170" spans="1:17" x14ac:dyDescent="0.25">
      <c r="A170" s="12"/>
      <c r="B170" s="18"/>
      <c r="C170" s="12"/>
      <c r="D170" s="12"/>
      <c r="E170" s="8"/>
      <c r="F170" s="8"/>
      <c r="G170" s="8"/>
      <c r="H170" s="19"/>
      <c r="I170" s="12"/>
      <c r="J170" s="13"/>
      <c r="K170" s="13"/>
      <c r="L170" s="112"/>
      <c r="M170" s="13"/>
      <c r="N170" s="112"/>
      <c r="O170" s="112"/>
      <c r="P170" s="29"/>
      <c r="Q170" s="8"/>
    </row>
    <row r="171" spans="1:17" x14ac:dyDescent="0.25">
      <c r="A171" s="12"/>
      <c r="B171" s="18"/>
      <c r="C171" s="12"/>
      <c r="D171" s="12"/>
      <c r="E171" s="8"/>
      <c r="F171" s="8"/>
      <c r="G171" s="8"/>
      <c r="H171" s="19"/>
      <c r="I171" s="12"/>
      <c r="J171" s="13"/>
      <c r="K171" s="13"/>
      <c r="L171" s="112"/>
      <c r="M171" s="13"/>
      <c r="N171" s="112"/>
      <c r="O171" s="112"/>
      <c r="P171" s="29"/>
      <c r="Q171" s="8"/>
    </row>
    <row r="172" spans="1:17" x14ac:dyDescent="0.25">
      <c r="A172" s="12"/>
      <c r="B172" s="18"/>
      <c r="C172" s="12"/>
      <c r="D172" s="12"/>
      <c r="E172" s="8"/>
      <c r="F172" s="8"/>
      <c r="G172" s="8"/>
      <c r="H172" s="19"/>
      <c r="I172" s="12"/>
      <c r="J172" s="13"/>
      <c r="K172" s="13"/>
      <c r="L172" s="112"/>
      <c r="M172" s="13"/>
      <c r="N172" s="112"/>
      <c r="O172" s="112"/>
      <c r="P172" s="29"/>
      <c r="Q172" s="8"/>
    </row>
    <row r="173" spans="1:17" x14ac:dyDescent="0.25">
      <c r="A173" s="12"/>
      <c r="B173" s="18"/>
      <c r="C173" s="12"/>
      <c r="D173" s="12"/>
      <c r="E173" s="8"/>
      <c r="F173" s="8"/>
      <c r="G173" s="8"/>
      <c r="H173" s="19"/>
      <c r="I173" s="12"/>
      <c r="J173" s="13"/>
      <c r="K173" s="13"/>
      <c r="L173" s="112"/>
      <c r="M173" s="13"/>
      <c r="N173" s="112"/>
      <c r="O173" s="112"/>
      <c r="P173" s="29"/>
      <c r="Q173" s="8"/>
    </row>
    <row r="174" spans="1:17" x14ac:dyDescent="0.25">
      <c r="A174" s="12"/>
      <c r="B174" s="18"/>
      <c r="C174" s="12"/>
      <c r="D174" s="12"/>
      <c r="E174" s="8"/>
      <c r="F174" s="8"/>
      <c r="G174" s="8"/>
      <c r="H174" s="19"/>
      <c r="I174" s="12"/>
      <c r="J174" s="13"/>
      <c r="K174" s="13"/>
      <c r="L174" s="112"/>
      <c r="M174" s="13"/>
      <c r="N174" s="112"/>
      <c r="O174" s="112"/>
      <c r="P174" s="29"/>
      <c r="Q174" s="8"/>
    </row>
    <row r="175" spans="1:17" x14ac:dyDescent="0.25">
      <c r="A175" s="12"/>
      <c r="B175" s="18"/>
      <c r="C175" s="12"/>
      <c r="D175" s="12"/>
      <c r="E175" s="8"/>
      <c r="F175" s="8"/>
      <c r="G175" s="8"/>
      <c r="H175" s="19"/>
      <c r="I175" s="12"/>
      <c r="J175" s="13"/>
      <c r="K175" s="13"/>
      <c r="L175" s="112"/>
      <c r="M175" s="13"/>
      <c r="N175" s="112"/>
      <c r="O175" s="112"/>
      <c r="P175" s="29"/>
      <c r="Q175" s="8"/>
    </row>
    <row r="176" spans="1:17" x14ac:dyDescent="0.25">
      <c r="A176" s="12"/>
      <c r="B176" s="18"/>
      <c r="C176" s="12"/>
      <c r="D176" s="12"/>
      <c r="E176" s="8"/>
      <c r="F176" s="8"/>
      <c r="G176" s="8"/>
      <c r="H176" s="19"/>
      <c r="I176" s="12"/>
      <c r="J176" s="13"/>
      <c r="K176" s="13"/>
      <c r="L176" s="112"/>
      <c r="M176" s="13"/>
      <c r="N176" s="112"/>
      <c r="O176" s="112"/>
      <c r="P176" s="29"/>
      <c r="Q176" s="8"/>
    </row>
    <row r="177" spans="1:17" x14ac:dyDescent="0.25">
      <c r="A177" s="12"/>
      <c r="B177" s="18"/>
      <c r="C177" s="12"/>
      <c r="D177" s="12"/>
      <c r="E177" s="8"/>
      <c r="F177" s="8"/>
      <c r="G177" s="8"/>
      <c r="H177" s="19"/>
      <c r="I177" s="12"/>
      <c r="J177" s="13"/>
      <c r="K177" s="13"/>
      <c r="L177" s="112"/>
      <c r="M177" s="13"/>
      <c r="N177" s="112"/>
      <c r="O177" s="112"/>
      <c r="P177" s="29"/>
      <c r="Q177" s="8"/>
    </row>
    <row r="178" spans="1:17" x14ac:dyDescent="0.25">
      <c r="A178" s="12"/>
      <c r="B178" s="18"/>
      <c r="C178" s="12"/>
      <c r="D178" s="12"/>
      <c r="E178" s="8"/>
      <c r="F178" s="8"/>
      <c r="G178" s="8"/>
      <c r="H178" s="19"/>
      <c r="I178" s="12"/>
      <c r="J178" s="13"/>
      <c r="K178" s="13"/>
      <c r="L178" s="112"/>
      <c r="M178" s="13"/>
      <c r="N178" s="112"/>
      <c r="O178" s="112"/>
      <c r="P178" s="29"/>
      <c r="Q178" s="8"/>
    </row>
    <row r="179" spans="1:17" x14ac:dyDescent="0.25">
      <c r="A179" s="12"/>
      <c r="B179" s="18"/>
      <c r="C179" s="12"/>
      <c r="D179" s="12"/>
      <c r="E179" s="8"/>
      <c r="F179" s="8"/>
      <c r="G179" s="8"/>
      <c r="H179" s="19"/>
      <c r="I179" s="12"/>
      <c r="J179" s="13"/>
      <c r="K179" s="13"/>
      <c r="L179" s="112"/>
      <c r="M179" s="13"/>
      <c r="N179" s="112"/>
      <c r="O179" s="112"/>
      <c r="P179" s="29"/>
      <c r="Q179" s="8"/>
    </row>
    <row r="180" spans="1:17" x14ac:dyDescent="0.25">
      <c r="A180" s="12"/>
      <c r="B180" s="18"/>
      <c r="C180" s="12"/>
      <c r="D180" s="12"/>
      <c r="E180" s="8"/>
      <c r="F180" s="8"/>
      <c r="G180" s="8"/>
      <c r="H180" s="19"/>
      <c r="I180" s="12"/>
      <c r="J180" s="13"/>
      <c r="K180" s="13"/>
      <c r="L180" s="112"/>
      <c r="M180" s="13"/>
      <c r="N180" s="112"/>
      <c r="O180" s="112"/>
      <c r="P180" s="29"/>
      <c r="Q180" s="8"/>
    </row>
    <row r="181" spans="1:17" x14ac:dyDescent="0.25">
      <c r="A181" s="12"/>
      <c r="B181" s="18"/>
      <c r="C181" s="12"/>
      <c r="D181" s="12"/>
      <c r="E181" s="8"/>
      <c r="F181" s="8"/>
      <c r="G181" s="8"/>
      <c r="H181" s="19"/>
      <c r="I181" s="12"/>
      <c r="J181" s="13"/>
      <c r="K181" s="13"/>
      <c r="L181" s="112"/>
      <c r="M181" s="13"/>
      <c r="N181" s="112"/>
      <c r="O181" s="112"/>
      <c r="P181" s="29"/>
      <c r="Q181" s="8"/>
    </row>
    <row r="182" spans="1:17" x14ac:dyDescent="0.25">
      <c r="A182" s="12"/>
      <c r="B182" s="18"/>
      <c r="C182" s="12"/>
      <c r="D182" s="12"/>
      <c r="E182" s="8"/>
      <c r="F182" s="8"/>
      <c r="G182" s="8"/>
      <c r="H182" s="19"/>
      <c r="I182" s="12"/>
      <c r="J182" s="13"/>
      <c r="K182" s="13"/>
      <c r="L182" s="112"/>
      <c r="M182" s="13"/>
      <c r="N182" s="112"/>
      <c r="O182" s="112"/>
      <c r="P182" s="29"/>
      <c r="Q182" s="8"/>
    </row>
    <row r="183" spans="1:17" x14ac:dyDescent="0.25">
      <c r="A183" s="12"/>
      <c r="B183" s="18"/>
      <c r="C183" s="12"/>
      <c r="D183" s="12"/>
      <c r="E183" s="8"/>
      <c r="F183" s="8"/>
      <c r="G183" s="8"/>
      <c r="H183" s="19"/>
      <c r="I183" s="12"/>
      <c r="J183" s="13"/>
      <c r="K183" s="13"/>
      <c r="L183" s="112"/>
      <c r="M183" s="13"/>
      <c r="N183" s="112"/>
      <c r="O183" s="112"/>
      <c r="P183" s="29"/>
      <c r="Q183" s="8"/>
    </row>
    <row r="184" spans="1:17" x14ac:dyDescent="0.25">
      <c r="A184" s="12"/>
      <c r="B184" s="18"/>
      <c r="C184" s="12"/>
      <c r="D184" s="12"/>
      <c r="E184" s="8"/>
      <c r="F184" s="8"/>
      <c r="G184" s="8"/>
      <c r="H184" s="19"/>
      <c r="I184" s="12"/>
      <c r="J184" s="13"/>
      <c r="K184" s="13"/>
      <c r="L184" s="112"/>
      <c r="M184" s="13"/>
      <c r="N184" s="112"/>
      <c r="O184" s="112"/>
      <c r="P184" s="29"/>
      <c r="Q184" s="8"/>
    </row>
    <row r="185" spans="1:17" x14ac:dyDescent="0.25">
      <c r="A185" s="12"/>
      <c r="B185" s="18"/>
      <c r="C185" s="12"/>
      <c r="D185" s="12"/>
      <c r="E185" s="8"/>
      <c r="F185" s="8"/>
      <c r="G185" s="8"/>
      <c r="H185" s="19"/>
      <c r="I185" s="12"/>
      <c r="J185" s="13"/>
      <c r="K185" s="13"/>
      <c r="L185" s="112"/>
      <c r="M185" s="13"/>
      <c r="N185" s="112"/>
      <c r="O185" s="112"/>
      <c r="P185" s="29"/>
      <c r="Q185" s="8"/>
    </row>
    <row r="186" spans="1:17" x14ac:dyDescent="0.25">
      <c r="A186" s="12"/>
      <c r="B186" s="18"/>
      <c r="C186" s="12"/>
      <c r="D186" s="12"/>
      <c r="E186" s="8"/>
      <c r="F186" s="8"/>
      <c r="G186" s="8"/>
      <c r="H186" s="19"/>
      <c r="I186" s="12"/>
      <c r="J186" s="13"/>
      <c r="K186" s="13"/>
      <c r="L186" s="112"/>
      <c r="M186" s="13"/>
      <c r="N186" s="112"/>
      <c r="O186" s="112"/>
      <c r="P186" s="29"/>
      <c r="Q186" s="8"/>
    </row>
    <row r="187" spans="1:17" x14ac:dyDescent="0.25">
      <c r="A187" s="12"/>
      <c r="B187" s="18"/>
      <c r="C187" s="12"/>
      <c r="D187" s="12"/>
      <c r="E187" s="8"/>
      <c r="F187" s="8"/>
      <c r="G187" s="8"/>
      <c r="H187" s="19"/>
      <c r="I187" s="12"/>
      <c r="J187" s="13"/>
      <c r="K187" s="13"/>
      <c r="L187" s="112"/>
      <c r="M187" s="13"/>
      <c r="N187" s="112"/>
      <c r="O187" s="112"/>
      <c r="P187" s="29"/>
      <c r="Q187" s="8"/>
    </row>
    <row r="188" spans="1:17" x14ac:dyDescent="0.25">
      <c r="A188" s="12"/>
      <c r="B188" s="18"/>
      <c r="C188" s="12"/>
      <c r="D188" s="12"/>
      <c r="E188" s="8"/>
      <c r="F188" s="8"/>
      <c r="G188" s="8"/>
      <c r="H188" s="19"/>
      <c r="I188" s="12"/>
      <c r="J188" s="13"/>
      <c r="K188" s="13"/>
      <c r="L188" s="112"/>
      <c r="M188" s="13"/>
      <c r="N188" s="112"/>
      <c r="O188" s="112"/>
      <c r="P188" s="29"/>
      <c r="Q188" s="8"/>
    </row>
    <row r="189" spans="1:17" x14ac:dyDescent="0.25">
      <c r="A189" s="12"/>
      <c r="B189" s="18"/>
      <c r="C189" s="12"/>
      <c r="D189" s="12"/>
      <c r="E189" s="8"/>
      <c r="F189" s="8"/>
      <c r="G189" s="8"/>
      <c r="H189" s="19"/>
      <c r="I189" s="12"/>
      <c r="J189" s="13"/>
      <c r="K189" s="13"/>
      <c r="L189" s="112"/>
      <c r="M189" s="13"/>
      <c r="N189" s="112"/>
      <c r="O189" s="112"/>
      <c r="P189" s="29"/>
      <c r="Q189" s="8"/>
    </row>
    <row r="190" spans="1:17" x14ac:dyDescent="0.25">
      <c r="A190" s="12"/>
      <c r="B190" s="18"/>
      <c r="C190" s="12"/>
      <c r="D190" s="12"/>
      <c r="E190" s="8"/>
      <c r="F190" s="8"/>
      <c r="G190" s="8"/>
      <c r="H190" s="19"/>
      <c r="I190" s="12"/>
      <c r="J190" s="13"/>
      <c r="K190" s="13"/>
      <c r="L190" s="112"/>
      <c r="M190" s="13"/>
      <c r="N190" s="112"/>
      <c r="O190" s="112"/>
      <c r="P190" s="29"/>
      <c r="Q190" s="8"/>
    </row>
    <row r="191" spans="1:17" x14ac:dyDescent="0.25">
      <c r="A191" s="12"/>
      <c r="B191" s="18"/>
      <c r="C191" s="12"/>
      <c r="D191" s="12"/>
      <c r="E191" s="8"/>
      <c r="F191" s="8"/>
      <c r="G191" s="8"/>
      <c r="H191" s="19"/>
      <c r="I191" s="12"/>
      <c r="J191" s="13"/>
      <c r="K191" s="13"/>
      <c r="L191" s="112"/>
      <c r="M191" s="13"/>
      <c r="N191" s="112"/>
      <c r="O191" s="112"/>
      <c r="P191" s="29"/>
      <c r="Q191" s="8"/>
    </row>
    <row r="192" spans="1:17" x14ac:dyDescent="0.25">
      <c r="A192" s="12"/>
      <c r="B192" s="18"/>
      <c r="C192" s="12"/>
      <c r="D192" s="12"/>
      <c r="E192" s="8"/>
      <c r="F192" s="8"/>
      <c r="G192" s="8"/>
      <c r="H192" s="19"/>
      <c r="I192" s="12"/>
      <c r="J192" s="13"/>
      <c r="K192" s="13"/>
      <c r="L192" s="112"/>
      <c r="M192" s="13"/>
      <c r="N192" s="112"/>
      <c r="O192" s="112"/>
      <c r="P192" s="29"/>
      <c r="Q192" s="8"/>
    </row>
    <row r="193" spans="1:17" x14ac:dyDescent="0.25">
      <c r="A193" s="12"/>
      <c r="B193" s="18"/>
      <c r="C193" s="12"/>
      <c r="D193" s="12"/>
      <c r="E193" s="8"/>
      <c r="F193" s="8"/>
      <c r="G193" s="8"/>
      <c r="H193" s="19"/>
      <c r="I193" s="12"/>
      <c r="J193" s="13"/>
      <c r="K193" s="13"/>
      <c r="L193" s="112"/>
      <c r="M193" s="13"/>
      <c r="N193" s="112"/>
      <c r="O193" s="112"/>
      <c r="P193" s="29"/>
      <c r="Q193" s="8"/>
    </row>
    <row r="194" spans="1:17" x14ac:dyDescent="0.25">
      <c r="A194" s="12"/>
      <c r="B194" s="18"/>
      <c r="C194" s="12"/>
      <c r="D194" s="12"/>
      <c r="E194" s="8"/>
      <c r="F194" s="8"/>
      <c r="G194" s="8"/>
      <c r="H194" s="19"/>
      <c r="I194" s="12"/>
      <c r="J194" s="13"/>
      <c r="K194" s="13"/>
      <c r="L194" s="112"/>
      <c r="M194" s="13"/>
      <c r="N194" s="112"/>
      <c r="O194" s="112"/>
      <c r="P194" s="29"/>
      <c r="Q194" s="8"/>
    </row>
    <row r="195" spans="1:17" x14ac:dyDescent="0.25">
      <c r="A195" s="12"/>
      <c r="B195" s="18"/>
      <c r="C195" s="12"/>
      <c r="D195" s="12"/>
      <c r="E195" s="8"/>
      <c r="F195" s="8"/>
      <c r="G195" s="8"/>
      <c r="H195" s="19"/>
      <c r="I195" s="12"/>
      <c r="J195" s="13"/>
      <c r="K195" s="13"/>
      <c r="L195" s="112"/>
      <c r="M195" s="13"/>
      <c r="N195" s="112"/>
      <c r="O195" s="112"/>
      <c r="P195" s="29"/>
      <c r="Q195" s="8"/>
    </row>
    <row r="196" spans="1:17" x14ac:dyDescent="0.25">
      <c r="A196" s="12"/>
      <c r="B196" s="18"/>
      <c r="C196" s="12"/>
      <c r="D196" s="12"/>
      <c r="E196" s="8"/>
      <c r="F196" s="8"/>
      <c r="G196" s="8"/>
      <c r="H196" s="19"/>
      <c r="I196" s="12"/>
      <c r="J196" s="13"/>
      <c r="K196" s="13"/>
      <c r="L196" s="112"/>
      <c r="M196" s="13"/>
      <c r="N196" s="112"/>
      <c r="O196" s="112"/>
      <c r="P196" s="29"/>
      <c r="Q196" s="8"/>
    </row>
    <row r="197" spans="1:17" x14ac:dyDescent="0.25">
      <c r="A197" s="12"/>
      <c r="B197" s="18"/>
      <c r="C197" s="12"/>
      <c r="D197" s="12"/>
      <c r="E197" s="8"/>
      <c r="F197" s="8"/>
      <c r="G197" s="8"/>
      <c r="H197" s="19"/>
      <c r="I197" s="12"/>
      <c r="J197" s="13"/>
      <c r="K197" s="13"/>
      <c r="L197" s="112"/>
      <c r="M197" s="13"/>
      <c r="N197" s="112"/>
      <c r="O197" s="112"/>
      <c r="P197" s="29"/>
      <c r="Q197" s="8"/>
    </row>
    <row r="198" spans="1:17" x14ac:dyDescent="0.25">
      <c r="A198" s="12"/>
      <c r="B198" s="18"/>
      <c r="C198" s="12"/>
      <c r="D198" s="12"/>
      <c r="E198" s="8"/>
      <c r="F198" s="8"/>
      <c r="G198" s="8"/>
      <c r="H198" s="19"/>
      <c r="I198" s="12"/>
      <c r="J198" s="13"/>
      <c r="K198" s="13"/>
      <c r="L198" s="112"/>
      <c r="M198" s="13"/>
      <c r="N198" s="112"/>
      <c r="O198" s="112"/>
      <c r="P198" s="29"/>
      <c r="Q198" s="8"/>
    </row>
    <row r="199" spans="1:17" x14ac:dyDescent="0.25">
      <c r="A199" s="12"/>
      <c r="B199" s="18"/>
      <c r="C199" s="12"/>
      <c r="D199" s="12"/>
      <c r="E199" s="8"/>
      <c r="F199" s="8"/>
      <c r="G199" s="8"/>
      <c r="H199" s="19"/>
      <c r="I199" s="12"/>
      <c r="J199" s="13"/>
      <c r="K199" s="13"/>
      <c r="L199" s="112"/>
      <c r="M199" s="13"/>
      <c r="N199" s="112"/>
      <c r="O199" s="112"/>
      <c r="P199" s="29"/>
      <c r="Q199" s="8"/>
    </row>
    <row r="200" spans="1:17" x14ac:dyDescent="0.25">
      <c r="A200" s="12"/>
      <c r="B200" s="18"/>
      <c r="C200" s="12"/>
      <c r="D200" s="12"/>
      <c r="E200" s="8"/>
      <c r="F200" s="8"/>
      <c r="G200" s="8"/>
      <c r="H200" s="19"/>
      <c r="I200" s="12"/>
      <c r="J200" s="13"/>
      <c r="K200" s="13"/>
      <c r="L200" s="112"/>
      <c r="M200" s="13"/>
      <c r="N200" s="112"/>
      <c r="O200" s="112"/>
      <c r="P200" s="29"/>
      <c r="Q200" s="8"/>
    </row>
    <row r="201" spans="1:17" x14ac:dyDescent="0.25">
      <c r="A201" s="12"/>
      <c r="B201" s="18"/>
      <c r="C201" s="12"/>
      <c r="D201" s="12"/>
      <c r="E201" s="8"/>
      <c r="F201" s="8"/>
      <c r="G201" s="8"/>
      <c r="H201" s="19"/>
      <c r="I201" s="12"/>
      <c r="J201" s="13"/>
      <c r="K201" s="13"/>
      <c r="L201" s="112"/>
      <c r="M201" s="13"/>
      <c r="N201" s="112"/>
      <c r="O201" s="112"/>
      <c r="P201" s="29"/>
      <c r="Q201" s="8"/>
    </row>
    <row r="202" spans="1:17" x14ac:dyDescent="0.25">
      <c r="A202" s="12"/>
      <c r="B202" s="18"/>
      <c r="C202" s="12"/>
      <c r="D202" s="12"/>
      <c r="E202" s="8"/>
      <c r="F202" s="8"/>
      <c r="G202" s="8"/>
      <c r="H202" s="19"/>
      <c r="I202" s="12"/>
      <c r="J202" s="13"/>
      <c r="K202" s="13"/>
      <c r="L202" s="112"/>
      <c r="M202" s="13"/>
      <c r="N202" s="112"/>
      <c r="O202" s="112"/>
      <c r="P202" s="29"/>
      <c r="Q202" s="8"/>
    </row>
    <row r="203" spans="1:17" x14ac:dyDescent="0.25">
      <c r="A203" s="12"/>
      <c r="B203" s="18"/>
      <c r="C203" s="12"/>
      <c r="D203" s="12"/>
      <c r="E203" s="8"/>
      <c r="F203" s="8"/>
      <c r="G203" s="8"/>
      <c r="H203" s="19"/>
      <c r="I203" s="12"/>
      <c r="J203" s="13"/>
      <c r="K203" s="13"/>
      <c r="L203" s="112"/>
      <c r="M203" s="13"/>
      <c r="N203" s="112"/>
      <c r="O203" s="112"/>
      <c r="P203" s="29"/>
      <c r="Q203" s="8"/>
    </row>
    <row r="204" spans="1:17" x14ac:dyDescent="0.25">
      <c r="A204" s="12"/>
      <c r="B204" s="18"/>
      <c r="C204" s="12"/>
      <c r="D204" s="12"/>
      <c r="E204" s="8"/>
      <c r="F204" s="8"/>
      <c r="G204" s="8"/>
      <c r="H204" s="19"/>
      <c r="I204" s="12"/>
      <c r="J204" s="13"/>
      <c r="K204" s="13"/>
      <c r="L204" s="112"/>
      <c r="M204" s="13"/>
      <c r="N204" s="112"/>
      <c r="O204" s="112"/>
      <c r="P204" s="29"/>
      <c r="Q204" s="8"/>
    </row>
    <row r="205" spans="1:17" x14ac:dyDescent="0.25">
      <c r="A205" s="12"/>
      <c r="B205" s="18"/>
      <c r="C205" s="12"/>
      <c r="D205" s="12"/>
      <c r="E205" s="8"/>
      <c r="F205" s="8"/>
      <c r="G205" s="8"/>
      <c r="H205" s="19"/>
      <c r="I205" s="12"/>
      <c r="J205" s="13"/>
      <c r="K205" s="13"/>
      <c r="L205" s="112"/>
      <c r="M205" s="13"/>
      <c r="N205" s="112"/>
      <c r="O205" s="112"/>
      <c r="P205" s="29"/>
      <c r="Q205" s="8"/>
    </row>
    <row r="206" spans="1:17" x14ac:dyDescent="0.25">
      <c r="A206" s="12"/>
      <c r="B206" s="18"/>
      <c r="C206" s="12"/>
      <c r="D206" s="12"/>
      <c r="E206" s="8"/>
      <c r="F206" s="8"/>
      <c r="G206" s="8"/>
      <c r="H206" s="19"/>
      <c r="I206" s="12"/>
      <c r="J206" s="13"/>
      <c r="K206" s="13"/>
      <c r="L206" s="112"/>
      <c r="M206" s="13"/>
      <c r="N206" s="112"/>
      <c r="O206" s="112"/>
      <c r="P206" s="29"/>
      <c r="Q206" s="8"/>
    </row>
    <row r="207" spans="1:17" x14ac:dyDescent="0.25">
      <c r="A207" s="12"/>
      <c r="B207" s="18"/>
      <c r="C207" s="12"/>
      <c r="D207" s="12"/>
      <c r="E207" s="8"/>
      <c r="F207" s="8"/>
      <c r="G207" s="8"/>
      <c r="H207" s="19"/>
      <c r="I207" s="12"/>
      <c r="J207" s="13"/>
      <c r="K207" s="13"/>
      <c r="L207" s="112"/>
      <c r="M207" s="13"/>
      <c r="N207" s="112"/>
      <c r="O207" s="112"/>
      <c r="P207" s="29"/>
      <c r="Q207" s="8"/>
    </row>
    <row r="208" spans="1:17" x14ac:dyDescent="0.25">
      <c r="A208" s="12"/>
      <c r="B208" s="18"/>
      <c r="C208" s="12"/>
      <c r="D208" s="12"/>
      <c r="E208" s="8"/>
      <c r="F208" s="8"/>
      <c r="G208" s="8"/>
      <c r="H208" s="19"/>
      <c r="I208" s="12"/>
      <c r="J208" s="13"/>
      <c r="K208" s="13"/>
      <c r="L208" s="112"/>
      <c r="M208" s="13"/>
      <c r="N208" s="112"/>
      <c r="O208" s="112"/>
      <c r="P208" s="29"/>
      <c r="Q208" s="8"/>
    </row>
    <row r="209" spans="1:17" x14ac:dyDescent="0.25">
      <c r="A209" s="12"/>
      <c r="B209" s="18"/>
      <c r="C209" s="12"/>
      <c r="D209" s="12"/>
      <c r="E209" s="8"/>
      <c r="F209" s="8"/>
      <c r="G209" s="8"/>
      <c r="H209" s="19"/>
      <c r="I209" s="12"/>
      <c r="J209" s="13"/>
      <c r="K209" s="13"/>
      <c r="L209" s="112"/>
      <c r="M209" s="13"/>
      <c r="N209" s="112"/>
      <c r="O209" s="112"/>
      <c r="P209" s="29"/>
      <c r="Q209" s="8"/>
    </row>
    <row r="210" spans="1:17" x14ac:dyDescent="0.25">
      <c r="A210" s="12"/>
      <c r="B210" s="18"/>
      <c r="C210" s="12"/>
      <c r="D210" s="12"/>
      <c r="E210" s="8"/>
      <c r="F210" s="8"/>
      <c r="G210" s="8"/>
      <c r="H210" s="19"/>
      <c r="I210" s="12"/>
      <c r="J210" s="13"/>
      <c r="K210" s="13"/>
      <c r="L210" s="112"/>
      <c r="M210" s="13"/>
      <c r="N210" s="112"/>
      <c r="O210" s="112"/>
      <c r="P210" s="29"/>
      <c r="Q210" s="8"/>
    </row>
    <row r="211" spans="1:17" x14ac:dyDescent="0.25">
      <c r="A211" s="12"/>
      <c r="B211" s="18"/>
      <c r="C211" s="12"/>
      <c r="D211" s="12"/>
      <c r="E211" s="8"/>
      <c r="F211" s="8"/>
      <c r="G211" s="8"/>
      <c r="H211" s="19"/>
      <c r="I211" s="12"/>
      <c r="J211" s="13"/>
      <c r="K211" s="13"/>
      <c r="L211" s="112"/>
      <c r="M211" s="13"/>
      <c r="N211" s="112"/>
      <c r="O211" s="112"/>
      <c r="P211" s="29"/>
      <c r="Q211" s="8"/>
    </row>
    <row r="212" spans="1:17" x14ac:dyDescent="0.25">
      <c r="A212" s="12"/>
      <c r="B212" s="18"/>
      <c r="C212" s="12"/>
      <c r="D212" s="12"/>
      <c r="E212" s="8"/>
      <c r="F212" s="8"/>
      <c r="G212" s="8"/>
      <c r="H212" s="19"/>
      <c r="I212" s="12"/>
      <c r="J212" s="13"/>
      <c r="K212" s="13"/>
      <c r="L212" s="112"/>
      <c r="M212" s="13"/>
      <c r="N212" s="112"/>
      <c r="O212" s="112"/>
      <c r="P212" s="29"/>
      <c r="Q212" s="8"/>
    </row>
    <row r="213" spans="1:17" x14ac:dyDescent="0.25">
      <c r="A213" s="12"/>
      <c r="B213" s="18"/>
      <c r="C213" s="12"/>
      <c r="D213" s="12"/>
      <c r="E213" s="8"/>
      <c r="F213" s="8"/>
      <c r="G213" s="8"/>
      <c r="H213" s="19"/>
      <c r="I213" s="12"/>
      <c r="J213" s="13"/>
      <c r="K213" s="13"/>
      <c r="L213" s="112"/>
      <c r="M213" s="13"/>
      <c r="N213" s="112"/>
      <c r="O213" s="112"/>
      <c r="P213" s="29"/>
      <c r="Q213" s="8"/>
    </row>
    <row r="214" spans="1:17" x14ac:dyDescent="0.25">
      <c r="A214" s="12"/>
      <c r="B214" s="18"/>
      <c r="C214" s="12"/>
      <c r="D214" s="12"/>
      <c r="E214" s="8"/>
      <c r="F214" s="8"/>
      <c r="G214" s="8"/>
      <c r="H214" s="19"/>
      <c r="I214" s="12"/>
      <c r="J214" s="13"/>
      <c r="K214" s="13"/>
      <c r="L214" s="112"/>
      <c r="M214" s="13"/>
      <c r="N214" s="112"/>
      <c r="O214" s="112"/>
      <c r="P214" s="29"/>
      <c r="Q214" s="8"/>
    </row>
    <row r="215" spans="1:17" x14ac:dyDescent="0.25">
      <c r="A215" s="12"/>
      <c r="B215" s="18"/>
      <c r="C215" s="12"/>
      <c r="D215" s="12"/>
      <c r="E215" s="8"/>
      <c r="F215" s="8"/>
      <c r="G215" s="8"/>
      <c r="H215" s="19"/>
      <c r="I215" s="12"/>
      <c r="J215" s="13"/>
      <c r="K215" s="13"/>
      <c r="L215" s="112"/>
      <c r="M215" s="13"/>
      <c r="N215" s="112"/>
      <c r="O215" s="112"/>
      <c r="P215" s="29"/>
      <c r="Q215" s="8"/>
    </row>
    <row r="216" spans="1:17" x14ac:dyDescent="0.25">
      <c r="A216" s="12"/>
      <c r="B216" s="18"/>
      <c r="C216" s="12"/>
      <c r="D216" s="12"/>
      <c r="E216" s="8"/>
      <c r="F216" s="8"/>
      <c r="G216" s="8"/>
      <c r="H216" s="19"/>
      <c r="I216" s="12"/>
      <c r="J216" s="13"/>
      <c r="K216" s="13"/>
      <c r="L216" s="112"/>
      <c r="M216" s="13"/>
      <c r="N216" s="112"/>
      <c r="O216" s="112"/>
      <c r="P216" s="29"/>
      <c r="Q216" s="8"/>
    </row>
    <row r="217" spans="1:17" x14ac:dyDescent="0.25">
      <c r="A217" s="12"/>
      <c r="B217" s="18"/>
      <c r="C217" s="12"/>
      <c r="D217" s="12"/>
      <c r="E217" s="8"/>
      <c r="F217" s="8"/>
      <c r="G217" s="8"/>
      <c r="H217" s="19"/>
      <c r="I217" s="12"/>
      <c r="J217" s="13"/>
      <c r="K217" s="13"/>
      <c r="L217" s="112"/>
      <c r="M217" s="13"/>
      <c r="N217" s="112"/>
      <c r="O217" s="112"/>
      <c r="P217" s="29"/>
      <c r="Q217" s="8"/>
    </row>
    <row r="218" spans="1:17" x14ac:dyDescent="0.25">
      <c r="A218" s="12"/>
      <c r="B218" s="18"/>
      <c r="C218" s="12"/>
      <c r="D218" s="12"/>
      <c r="E218" s="8"/>
      <c r="F218" s="8"/>
      <c r="G218" s="8"/>
      <c r="H218" s="19"/>
      <c r="I218" s="12"/>
      <c r="J218" s="13"/>
      <c r="K218" s="13"/>
      <c r="L218" s="112"/>
      <c r="M218" s="13"/>
      <c r="N218" s="112"/>
      <c r="O218" s="112"/>
      <c r="P218" s="29"/>
      <c r="Q218" s="8"/>
    </row>
    <row r="219" spans="1:17" x14ac:dyDescent="0.25">
      <c r="A219" s="12"/>
      <c r="B219" s="18"/>
      <c r="C219" s="12"/>
      <c r="D219" s="12"/>
      <c r="E219" s="8"/>
      <c r="F219" s="8"/>
      <c r="G219" s="8"/>
      <c r="H219" s="19"/>
      <c r="I219" s="12"/>
      <c r="J219" s="13"/>
      <c r="K219" s="13"/>
      <c r="L219" s="112"/>
      <c r="M219" s="13"/>
      <c r="N219" s="112"/>
      <c r="O219" s="112"/>
      <c r="P219" s="29"/>
      <c r="Q219" s="8"/>
    </row>
    <row r="220" spans="1:17" x14ac:dyDescent="0.25">
      <c r="A220" s="12"/>
      <c r="B220" s="18"/>
      <c r="C220" s="12"/>
      <c r="D220" s="12"/>
      <c r="E220" s="8"/>
      <c r="F220" s="8"/>
      <c r="G220" s="8"/>
      <c r="H220" s="19"/>
      <c r="I220" s="12"/>
      <c r="J220" s="13"/>
      <c r="K220" s="13"/>
      <c r="L220" s="112"/>
      <c r="M220" s="13"/>
      <c r="N220" s="112"/>
      <c r="O220" s="112"/>
      <c r="P220" s="29"/>
      <c r="Q220" s="8"/>
    </row>
    <row r="221" spans="1:17" x14ac:dyDescent="0.25">
      <c r="A221" s="12"/>
      <c r="B221" s="18"/>
      <c r="C221" s="12"/>
      <c r="D221" s="12"/>
      <c r="E221" s="8"/>
      <c r="F221" s="8"/>
      <c r="G221" s="8"/>
      <c r="H221" s="19"/>
      <c r="I221" s="12"/>
      <c r="J221" s="13"/>
      <c r="K221" s="13"/>
      <c r="L221" s="112"/>
      <c r="M221" s="13"/>
      <c r="N221" s="112"/>
      <c r="O221" s="112"/>
      <c r="P221" s="29"/>
      <c r="Q221" s="8"/>
    </row>
    <row r="222" spans="1:17" x14ac:dyDescent="0.25">
      <c r="A222" s="12"/>
      <c r="B222" s="18"/>
      <c r="C222" s="12"/>
      <c r="D222" s="12"/>
      <c r="E222" s="8"/>
      <c r="F222" s="8"/>
      <c r="G222" s="8"/>
      <c r="H222" s="19"/>
      <c r="I222" s="12"/>
      <c r="J222" s="13"/>
      <c r="K222" s="13"/>
      <c r="L222" s="112"/>
      <c r="M222" s="13"/>
      <c r="N222" s="112"/>
      <c r="O222" s="112"/>
      <c r="P222" s="29"/>
      <c r="Q222" s="8"/>
    </row>
    <row r="223" spans="1:17" x14ac:dyDescent="0.25">
      <c r="A223" s="12"/>
      <c r="B223" s="18"/>
      <c r="C223" s="12"/>
      <c r="D223" s="12"/>
      <c r="E223" s="8"/>
      <c r="F223" s="8"/>
      <c r="G223" s="8"/>
      <c r="H223" s="19"/>
      <c r="I223" s="12"/>
      <c r="J223" s="13"/>
      <c r="K223" s="13"/>
      <c r="L223" s="112"/>
      <c r="M223" s="13"/>
      <c r="N223" s="112"/>
      <c r="O223" s="112"/>
      <c r="P223" s="29"/>
      <c r="Q223" s="8"/>
    </row>
    <row r="224" spans="1:17" x14ac:dyDescent="0.25">
      <c r="A224" s="12"/>
      <c r="B224" s="18"/>
      <c r="C224" s="12"/>
      <c r="D224" s="12"/>
      <c r="E224" s="8"/>
      <c r="F224" s="8"/>
      <c r="G224" s="8"/>
      <c r="H224" s="19"/>
      <c r="I224" s="12"/>
      <c r="J224" s="13"/>
      <c r="K224" s="13"/>
      <c r="L224" s="112"/>
      <c r="M224" s="13"/>
      <c r="N224" s="112"/>
      <c r="O224" s="112"/>
      <c r="P224" s="29"/>
      <c r="Q224" s="8"/>
    </row>
    <row r="225" spans="1:17" x14ac:dyDescent="0.25">
      <c r="A225" s="12"/>
      <c r="B225" s="18"/>
      <c r="C225" s="12"/>
      <c r="D225" s="12"/>
      <c r="E225" s="8"/>
      <c r="F225" s="8"/>
      <c r="G225" s="8"/>
      <c r="H225" s="19"/>
      <c r="I225" s="12"/>
      <c r="J225" s="13"/>
      <c r="K225" s="13"/>
      <c r="L225" s="112"/>
      <c r="M225" s="13"/>
      <c r="N225" s="112"/>
      <c r="O225" s="112"/>
      <c r="P225" s="29"/>
      <c r="Q225" s="8"/>
    </row>
    <row r="226" spans="1:17" x14ac:dyDescent="0.25">
      <c r="A226" s="12"/>
      <c r="B226" s="18"/>
      <c r="C226" s="12"/>
      <c r="D226" s="12"/>
      <c r="E226" s="8"/>
      <c r="F226" s="8"/>
      <c r="G226" s="8"/>
      <c r="H226" s="19"/>
      <c r="I226" s="12"/>
      <c r="J226" s="13"/>
      <c r="K226" s="13"/>
      <c r="L226" s="112"/>
      <c r="M226" s="13"/>
      <c r="N226" s="112"/>
      <c r="O226" s="112"/>
      <c r="P226" s="29"/>
      <c r="Q226" s="8"/>
    </row>
    <row r="227" spans="1:17" x14ac:dyDescent="0.25">
      <c r="A227" s="12"/>
      <c r="B227" s="18"/>
      <c r="C227" s="12"/>
      <c r="D227" s="12"/>
      <c r="E227" s="8"/>
      <c r="F227" s="8"/>
      <c r="G227" s="8"/>
      <c r="H227" s="19"/>
      <c r="I227" s="12"/>
      <c r="J227" s="13"/>
      <c r="K227" s="13"/>
      <c r="L227" s="112"/>
      <c r="M227" s="13"/>
      <c r="N227" s="112"/>
      <c r="O227" s="112"/>
      <c r="P227" s="29"/>
      <c r="Q227" s="8"/>
    </row>
    <row r="228" spans="1:17" x14ac:dyDescent="0.25">
      <c r="A228" s="12"/>
      <c r="B228" s="18"/>
      <c r="C228" s="12"/>
      <c r="D228" s="12"/>
      <c r="E228" s="8"/>
      <c r="F228" s="8"/>
      <c r="G228" s="8"/>
      <c r="H228" s="19"/>
      <c r="I228" s="12"/>
      <c r="J228" s="13"/>
      <c r="K228" s="13"/>
      <c r="L228" s="112"/>
      <c r="M228" s="13"/>
      <c r="N228" s="112"/>
      <c r="O228" s="112"/>
      <c r="P228" s="29"/>
      <c r="Q228" s="8"/>
    </row>
    <row r="229" spans="1:17" x14ac:dyDescent="0.25">
      <c r="A229" s="12"/>
      <c r="B229" s="18"/>
      <c r="C229" s="12"/>
      <c r="D229" s="12"/>
      <c r="E229" s="8"/>
      <c r="F229" s="8"/>
      <c r="G229" s="8"/>
      <c r="H229" s="19"/>
      <c r="I229" s="12"/>
      <c r="J229" s="13"/>
      <c r="K229" s="13"/>
      <c r="L229" s="112"/>
      <c r="M229" s="13"/>
      <c r="N229" s="112"/>
      <c r="O229" s="112"/>
      <c r="P229" s="29"/>
      <c r="Q229" s="8"/>
    </row>
    <row r="230" spans="1:17" x14ac:dyDescent="0.25">
      <c r="A230" s="12"/>
      <c r="B230" s="18"/>
      <c r="C230" s="12"/>
      <c r="D230" s="12"/>
      <c r="E230" s="8"/>
      <c r="F230" s="8"/>
      <c r="G230" s="8"/>
      <c r="H230" s="19"/>
      <c r="I230" s="12"/>
      <c r="J230" s="13"/>
      <c r="K230" s="13"/>
      <c r="L230" s="112"/>
      <c r="M230" s="13"/>
      <c r="N230" s="112"/>
      <c r="O230" s="112"/>
      <c r="P230" s="29"/>
      <c r="Q230" s="8"/>
    </row>
    <row r="231" spans="1:17" x14ac:dyDescent="0.25">
      <c r="A231" s="12"/>
      <c r="B231" s="18"/>
      <c r="C231" s="12"/>
      <c r="D231" s="12"/>
      <c r="E231" s="8"/>
      <c r="F231" s="8"/>
      <c r="G231" s="8"/>
      <c r="H231" s="19"/>
      <c r="I231" s="12"/>
      <c r="J231" s="13"/>
      <c r="K231" s="13"/>
      <c r="L231" s="112"/>
      <c r="M231" s="13"/>
      <c r="N231" s="112"/>
      <c r="O231" s="112"/>
      <c r="P231" s="29"/>
      <c r="Q231" s="8"/>
    </row>
    <row r="232" spans="1:17" x14ac:dyDescent="0.25">
      <c r="A232" s="12"/>
      <c r="B232" s="18"/>
      <c r="C232" s="12"/>
      <c r="D232" s="12"/>
      <c r="E232" s="8"/>
      <c r="F232" s="8"/>
      <c r="G232" s="8"/>
      <c r="H232" s="19"/>
      <c r="I232" s="12"/>
      <c r="J232" s="13"/>
      <c r="K232" s="13"/>
      <c r="L232" s="112"/>
      <c r="M232" s="13"/>
      <c r="N232" s="112"/>
      <c r="O232" s="112"/>
      <c r="P232" s="29"/>
      <c r="Q232" s="8"/>
    </row>
    <row r="233" spans="1:17" x14ac:dyDescent="0.25">
      <c r="A233" s="12"/>
      <c r="B233" s="18"/>
      <c r="C233" s="12"/>
      <c r="D233" s="12"/>
      <c r="E233" s="8"/>
      <c r="F233" s="8"/>
      <c r="G233" s="8"/>
      <c r="H233" s="19"/>
      <c r="I233" s="12"/>
      <c r="J233" s="13"/>
      <c r="K233" s="13"/>
      <c r="L233" s="112"/>
      <c r="M233" s="13"/>
      <c r="N233" s="112"/>
      <c r="O233" s="112"/>
      <c r="P233" s="29"/>
      <c r="Q233" s="8"/>
    </row>
    <row r="234" spans="1:17" x14ac:dyDescent="0.25">
      <c r="A234" s="12"/>
      <c r="B234" s="18"/>
      <c r="C234" s="12"/>
      <c r="D234" s="12"/>
      <c r="E234" s="8"/>
      <c r="F234" s="8"/>
      <c r="G234" s="8"/>
      <c r="H234" s="19"/>
      <c r="I234" s="12"/>
      <c r="J234" s="13"/>
      <c r="K234" s="13"/>
      <c r="L234" s="112"/>
      <c r="M234" s="13"/>
      <c r="N234" s="112"/>
      <c r="O234" s="112"/>
      <c r="P234" s="29"/>
      <c r="Q234" s="8"/>
    </row>
    <row r="235" spans="1:17" x14ac:dyDescent="0.25">
      <c r="A235" s="12"/>
      <c r="B235" s="18"/>
      <c r="C235" s="12"/>
      <c r="D235" s="12"/>
      <c r="E235" s="8"/>
      <c r="F235" s="8"/>
      <c r="G235" s="8"/>
      <c r="H235" s="19"/>
      <c r="I235" s="12"/>
      <c r="J235" s="13"/>
      <c r="K235" s="13"/>
      <c r="L235" s="112"/>
      <c r="M235" s="13"/>
      <c r="N235" s="112"/>
      <c r="O235" s="112"/>
      <c r="P235" s="29"/>
      <c r="Q235" s="8"/>
    </row>
    <row r="236" spans="1:17" x14ac:dyDescent="0.25">
      <c r="A236" s="12"/>
      <c r="B236" s="18"/>
      <c r="C236" s="12"/>
      <c r="D236" s="12"/>
      <c r="E236" s="8"/>
      <c r="F236" s="8"/>
      <c r="G236" s="8"/>
      <c r="H236" s="19"/>
      <c r="I236" s="12"/>
      <c r="J236" s="13"/>
      <c r="K236" s="13"/>
      <c r="L236" s="112"/>
      <c r="M236" s="13"/>
      <c r="N236" s="112"/>
      <c r="O236" s="112"/>
      <c r="P236" s="29"/>
      <c r="Q236" s="8"/>
    </row>
    <row r="237" spans="1:17" x14ac:dyDescent="0.25">
      <c r="A237" s="12"/>
      <c r="B237" s="18"/>
      <c r="C237" s="12"/>
      <c r="D237" s="12"/>
      <c r="E237" s="8"/>
      <c r="F237" s="8"/>
      <c r="G237" s="8"/>
      <c r="H237" s="19"/>
      <c r="I237" s="12"/>
      <c r="J237" s="13"/>
      <c r="K237" s="13"/>
      <c r="L237" s="112"/>
      <c r="M237" s="13"/>
      <c r="N237" s="112"/>
      <c r="O237" s="112"/>
      <c r="P237" s="29"/>
      <c r="Q237" s="8"/>
    </row>
    <row r="238" spans="1:17" x14ac:dyDescent="0.25">
      <c r="A238" s="12"/>
      <c r="B238" s="18"/>
      <c r="C238" s="12"/>
      <c r="D238" s="12"/>
      <c r="E238" s="8"/>
      <c r="F238" s="8"/>
      <c r="G238" s="8"/>
      <c r="H238" s="19"/>
      <c r="I238" s="12"/>
      <c r="J238" s="13"/>
      <c r="K238" s="13"/>
      <c r="L238" s="112"/>
      <c r="M238" s="13"/>
      <c r="N238" s="112"/>
      <c r="O238" s="112"/>
      <c r="P238" s="29"/>
      <c r="Q238" s="8"/>
    </row>
    <row r="239" spans="1:17" x14ac:dyDescent="0.25">
      <c r="A239" s="12"/>
      <c r="B239" s="18"/>
      <c r="C239" s="12"/>
      <c r="D239" s="12"/>
      <c r="E239" s="8"/>
      <c r="F239" s="8"/>
      <c r="G239" s="8"/>
      <c r="H239" s="19"/>
      <c r="I239" s="12"/>
      <c r="J239" s="13"/>
      <c r="K239" s="13"/>
      <c r="L239" s="112"/>
      <c r="M239" s="13"/>
      <c r="N239" s="112"/>
      <c r="O239" s="112"/>
      <c r="P239" s="29"/>
      <c r="Q239" s="8"/>
    </row>
    <row r="240" spans="1:17" x14ac:dyDescent="0.25">
      <c r="A240" s="12"/>
      <c r="B240" s="18"/>
      <c r="C240" s="12"/>
      <c r="D240" s="12"/>
      <c r="E240" s="8"/>
      <c r="F240" s="8"/>
      <c r="G240" s="8"/>
      <c r="H240" s="19"/>
      <c r="I240" s="12"/>
      <c r="J240" s="13"/>
      <c r="K240" s="13"/>
      <c r="L240" s="112"/>
      <c r="M240" s="13"/>
      <c r="N240" s="112"/>
      <c r="O240" s="112"/>
      <c r="P240" s="29"/>
      <c r="Q240" s="8"/>
    </row>
    <row r="241" spans="1:17" x14ac:dyDescent="0.25">
      <c r="A241" s="12"/>
      <c r="B241" s="18"/>
      <c r="C241" s="12"/>
      <c r="D241" s="12"/>
      <c r="E241" s="8"/>
      <c r="F241" s="8"/>
      <c r="G241" s="8"/>
      <c r="H241" s="19"/>
      <c r="I241" s="12"/>
      <c r="J241" s="13"/>
      <c r="K241" s="13"/>
      <c r="L241" s="112"/>
      <c r="M241" s="13"/>
      <c r="N241" s="112"/>
      <c r="O241" s="112"/>
      <c r="P241" s="29"/>
      <c r="Q241" s="8"/>
    </row>
    <row r="242" spans="1:17" x14ac:dyDescent="0.25">
      <c r="A242" s="12"/>
      <c r="B242" s="18"/>
      <c r="C242" s="12"/>
      <c r="D242" s="12"/>
      <c r="E242" s="8"/>
      <c r="F242" s="8"/>
      <c r="G242" s="8"/>
      <c r="H242" s="19"/>
      <c r="I242" s="12"/>
      <c r="J242" s="13"/>
      <c r="K242" s="13"/>
      <c r="L242" s="112"/>
      <c r="M242" s="13"/>
      <c r="N242" s="112"/>
      <c r="O242" s="112"/>
      <c r="P242" s="29"/>
      <c r="Q242" s="8"/>
    </row>
    <row r="243" spans="1:17" x14ac:dyDescent="0.25">
      <c r="A243" s="12"/>
      <c r="B243" s="18"/>
      <c r="C243" s="12"/>
      <c r="D243" s="12"/>
      <c r="E243" s="8"/>
      <c r="F243" s="8"/>
      <c r="G243" s="8"/>
      <c r="H243" s="19"/>
      <c r="I243" s="12"/>
      <c r="J243" s="13"/>
      <c r="K243" s="13"/>
      <c r="L243" s="112"/>
      <c r="M243" s="13"/>
      <c r="N243" s="112"/>
      <c r="O243" s="112"/>
      <c r="P243" s="29"/>
      <c r="Q243" s="8"/>
    </row>
    <row r="244" spans="1:17" x14ac:dyDescent="0.25">
      <c r="A244" s="12"/>
      <c r="B244" s="18"/>
      <c r="C244" s="12"/>
      <c r="D244" s="12"/>
      <c r="E244" s="8"/>
      <c r="F244" s="8"/>
      <c r="G244" s="8"/>
      <c r="H244" s="19"/>
      <c r="I244" s="12"/>
      <c r="J244" s="13"/>
      <c r="K244" s="13"/>
      <c r="L244" s="112"/>
      <c r="M244" s="13"/>
      <c r="N244" s="112"/>
      <c r="O244" s="112"/>
      <c r="P244" s="29"/>
      <c r="Q244" s="8"/>
    </row>
    <row r="245" spans="1:17" x14ac:dyDescent="0.25">
      <c r="A245" s="12"/>
      <c r="B245" s="18"/>
      <c r="C245" s="12"/>
      <c r="D245" s="12"/>
      <c r="E245" s="8"/>
      <c r="F245" s="8"/>
      <c r="G245" s="8"/>
      <c r="H245" s="19"/>
      <c r="I245" s="12"/>
      <c r="J245" s="13"/>
      <c r="K245" s="13"/>
      <c r="L245" s="112"/>
      <c r="M245" s="13"/>
      <c r="N245" s="112"/>
      <c r="O245" s="112"/>
      <c r="P245" s="29"/>
      <c r="Q245" s="8"/>
    </row>
    <row r="246" spans="1:17" x14ac:dyDescent="0.25">
      <c r="A246" s="12"/>
      <c r="B246" s="18"/>
      <c r="C246" s="12"/>
      <c r="D246" s="12"/>
      <c r="E246" s="8"/>
      <c r="F246" s="8"/>
      <c r="G246" s="8"/>
      <c r="H246" s="19"/>
      <c r="I246" s="12"/>
      <c r="J246" s="13"/>
      <c r="K246" s="13"/>
      <c r="L246" s="112"/>
      <c r="M246" s="13"/>
      <c r="N246" s="112"/>
      <c r="O246" s="112"/>
      <c r="P246" s="29"/>
      <c r="Q246" s="8"/>
    </row>
    <row r="247" spans="1:17" x14ac:dyDescent="0.25">
      <c r="A247" s="12"/>
      <c r="B247" s="18"/>
      <c r="C247" s="12"/>
      <c r="D247" s="12"/>
      <c r="E247" s="8"/>
      <c r="F247" s="8"/>
      <c r="G247" s="8"/>
      <c r="H247" s="19"/>
      <c r="I247" s="12"/>
      <c r="J247" s="13"/>
      <c r="K247" s="13"/>
      <c r="L247" s="112"/>
      <c r="M247" s="13"/>
      <c r="N247" s="112"/>
      <c r="O247" s="112"/>
      <c r="P247" s="29"/>
      <c r="Q247" s="8"/>
    </row>
    <row r="248" spans="1:17" x14ac:dyDescent="0.25">
      <c r="A248" s="12"/>
      <c r="B248" s="18"/>
      <c r="C248" s="12"/>
      <c r="D248" s="12"/>
      <c r="E248" s="8"/>
      <c r="F248" s="8"/>
      <c r="G248" s="8"/>
      <c r="H248" s="19"/>
      <c r="I248" s="12"/>
      <c r="J248" s="13"/>
      <c r="K248" s="13"/>
      <c r="L248" s="112"/>
      <c r="M248" s="13"/>
      <c r="N248" s="112"/>
      <c r="O248" s="112"/>
      <c r="P248" s="29"/>
      <c r="Q248" s="8"/>
    </row>
    <row r="249" spans="1:17" x14ac:dyDescent="0.25">
      <c r="A249" s="12"/>
      <c r="B249" s="18"/>
      <c r="C249" s="12"/>
      <c r="D249" s="12"/>
      <c r="E249" s="8"/>
      <c r="F249" s="8"/>
      <c r="G249" s="8"/>
      <c r="H249" s="19"/>
      <c r="I249" s="12"/>
      <c r="J249" s="13"/>
      <c r="K249" s="13"/>
      <c r="L249" s="112"/>
      <c r="M249" s="13"/>
      <c r="N249" s="112"/>
      <c r="O249" s="112"/>
      <c r="P249" s="29"/>
      <c r="Q249" s="8"/>
    </row>
    <row r="250" spans="1:17" x14ac:dyDescent="0.25">
      <c r="A250" s="12"/>
      <c r="B250" s="18"/>
      <c r="C250" s="12"/>
      <c r="D250" s="12"/>
      <c r="E250" s="8"/>
      <c r="F250" s="8"/>
      <c r="G250" s="8"/>
      <c r="H250" s="19"/>
      <c r="I250" s="12"/>
      <c r="J250" s="13"/>
      <c r="K250" s="13"/>
      <c r="L250" s="112"/>
      <c r="M250" s="13"/>
      <c r="N250" s="112"/>
      <c r="O250" s="112"/>
      <c r="P250" s="29"/>
      <c r="Q250" s="8"/>
    </row>
    <row r="251" spans="1:17" x14ac:dyDescent="0.25">
      <c r="A251" s="12"/>
      <c r="B251" s="18"/>
      <c r="C251" s="12"/>
      <c r="D251" s="12"/>
      <c r="E251" s="8"/>
      <c r="F251" s="8"/>
      <c r="G251" s="8"/>
      <c r="H251" s="19"/>
      <c r="I251" s="12"/>
      <c r="J251" s="13"/>
      <c r="K251" s="13"/>
      <c r="L251" s="112"/>
      <c r="M251" s="13"/>
      <c r="N251" s="112"/>
      <c r="O251" s="112"/>
      <c r="P251" s="29"/>
      <c r="Q251" s="8"/>
    </row>
    <row r="252" spans="1:17" x14ac:dyDescent="0.25">
      <c r="A252" s="12"/>
      <c r="B252" s="18"/>
      <c r="C252" s="12"/>
      <c r="D252" s="12"/>
      <c r="E252" s="8"/>
      <c r="F252" s="8"/>
      <c r="G252" s="8"/>
      <c r="H252" s="19"/>
      <c r="I252" s="12"/>
      <c r="J252" s="13"/>
      <c r="K252" s="13"/>
      <c r="L252" s="112"/>
      <c r="M252" s="13"/>
      <c r="N252" s="112"/>
      <c r="O252" s="112"/>
      <c r="P252" s="29"/>
      <c r="Q252" s="8"/>
    </row>
    <row r="253" spans="1:17" x14ac:dyDescent="0.25">
      <c r="A253" s="12"/>
      <c r="B253" s="18"/>
      <c r="C253" s="12"/>
      <c r="D253" s="12"/>
      <c r="E253" s="8"/>
      <c r="F253" s="8"/>
      <c r="G253" s="8"/>
      <c r="H253" s="19"/>
      <c r="I253" s="12"/>
      <c r="J253" s="13"/>
      <c r="K253" s="13"/>
      <c r="L253" s="112"/>
      <c r="M253" s="13"/>
      <c r="N253" s="112"/>
      <c r="O253" s="112"/>
      <c r="P253" s="29"/>
      <c r="Q253" s="8"/>
    </row>
    <row r="254" spans="1:17" x14ac:dyDescent="0.25">
      <c r="A254" s="12"/>
      <c r="B254" s="18"/>
      <c r="C254" s="12"/>
      <c r="D254" s="12"/>
      <c r="E254" s="8"/>
      <c r="F254" s="8"/>
      <c r="G254" s="8"/>
      <c r="H254" s="19"/>
      <c r="I254" s="12"/>
      <c r="J254" s="13"/>
      <c r="K254" s="13"/>
      <c r="L254" s="112"/>
      <c r="M254" s="13"/>
      <c r="N254" s="112"/>
      <c r="O254" s="112"/>
      <c r="P254" s="29"/>
      <c r="Q254" s="8"/>
    </row>
    <row r="255" spans="1:17" x14ac:dyDescent="0.25">
      <c r="A255" s="12"/>
      <c r="B255" s="18"/>
      <c r="C255" s="12"/>
      <c r="D255" s="12"/>
      <c r="E255" s="8"/>
      <c r="F255" s="8"/>
      <c r="G255" s="8"/>
      <c r="H255" s="19"/>
      <c r="I255" s="12"/>
      <c r="J255" s="13"/>
      <c r="K255" s="13"/>
      <c r="L255" s="112"/>
      <c r="M255" s="13"/>
      <c r="N255" s="112"/>
      <c r="O255" s="112"/>
      <c r="P255" s="29"/>
      <c r="Q255" s="8"/>
    </row>
    <row r="256" spans="1:17" x14ac:dyDescent="0.25">
      <c r="A256" s="12"/>
      <c r="B256" s="18"/>
      <c r="C256" s="12"/>
      <c r="D256" s="12"/>
      <c r="E256" s="8"/>
      <c r="F256" s="8"/>
      <c r="G256" s="8"/>
      <c r="H256" s="19"/>
      <c r="I256" s="12"/>
      <c r="J256" s="13"/>
      <c r="K256" s="13"/>
      <c r="L256" s="112"/>
      <c r="M256" s="13"/>
      <c r="N256" s="112"/>
      <c r="O256" s="112"/>
      <c r="P256" s="29"/>
      <c r="Q256" s="8"/>
    </row>
    <row r="257" spans="1:17" x14ac:dyDescent="0.25">
      <c r="A257" s="12"/>
      <c r="B257" s="18"/>
      <c r="C257" s="12"/>
      <c r="D257" s="12"/>
      <c r="E257" s="8"/>
      <c r="F257" s="8"/>
      <c r="G257" s="8"/>
      <c r="H257" s="19"/>
      <c r="I257" s="12"/>
      <c r="J257" s="13"/>
      <c r="K257" s="13"/>
      <c r="L257" s="112"/>
      <c r="M257" s="13"/>
      <c r="N257" s="112"/>
      <c r="O257" s="112"/>
      <c r="P257" s="29"/>
      <c r="Q257" s="8"/>
    </row>
    <row r="258" spans="1:17" x14ac:dyDescent="0.25">
      <c r="A258" s="12"/>
      <c r="B258" s="18"/>
      <c r="C258" s="12"/>
      <c r="D258" s="12"/>
      <c r="E258" s="8"/>
      <c r="F258" s="8"/>
      <c r="G258" s="8"/>
      <c r="H258" s="19"/>
      <c r="I258" s="12"/>
      <c r="J258" s="13"/>
      <c r="K258" s="13"/>
      <c r="L258" s="112"/>
      <c r="M258" s="13"/>
      <c r="N258" s="112"/>
      <c r="O258" s="112"/>
      <c r="P258" s="29"/>
      <c r="Q258" s="8"/>
    </row>
    <row r="259" spans="1:17" x14ac:dyDescent="0.25">
      <c r="A259" s="12"/>
      <c r="B259" s="18"/>
      <c r="C259" s="12"/>
      <c r="D259" s="12"/>
      <c r="E259" s="8"/>
      <c r="F259" s="8"/>
      <c r="G259" s="8"/>
      <c r="H259" s="19"/>
      <c r="I259" s="12"/>
      <c r="J259" s="13"/>
      <c r="K259" s="13"/>
      <c r="L259" s="112"/>
      <c r="M259" s="13"/>
      <c r="N259" s="112"/>
      <c r="O259" s="112"/>
      <c r="P259" s="29"/>
      <c r="Q259" s="8"/>
    </row>
    <row r="260" spans="1:17" x14ac:dyDescent="0.25">
      <c r="A260" s="12"/>
      <c r="B260" s="18"/>
      <c r="C260" s="12"/>
      <c r="D260" s="12"/>
      <c r="E260" s="8"/>
      <c r="F260" s="8"/>
      <c r="G260" s="8"/>
      <c r="H260" s="19"/>
      <c r="I260" s="12"/>
      <c r="J260" s="13"/>
      <c r="K260" s="13"/>
      <c r="L260" s="112"/>
      <c r="M260" s="13"/>
      <c r="N260" s="112"/>
      <c r="O260" s="112"/>
      <c r="P260" s="29"/>
      <c r="Q260" s="8"/>
    </row>
    <row r="261" spans="1:17" x14ac:dyDescent="0.25">
      <c r="A261" s="12"/>
      <c r="B261" s="18"/>
      <c r="C261" s="12"/>
      <c r="D261" s="12"/>
      <c r="E261" s="8"/>
      <c r="F261" s="8"/>
      <c r="G261" s="8"/>
      <c r="H261" s="19"/>
      <c r="I261" s="12"/>
      <c r="J261" s="13"/>
      <c r="K261" s="13"/>
      <c r="L261" s="112"/>
      <c r="M261" s="13"/>
      <c r="N261" s="112"/>
      <c r="O261" s="112"/>
      <c r="P261" s="29"/>
      <c r="Q261" s="8"/>
    </row>
    <row r="262" spans="1:17" x14ac:dyDescent="0.25">
      <c r="A262" s="12"/>
      <c r="B262" s="18"/>
      <c r="C262" s="12"/>
      <c r="D262" s="12"/>
      <c r="E262" s="8"/>
      <c r="F262" s="8"/>
      <c r="G262" s="8"/>
      <c r="H262" s="19"/>
      <c r="I262" s="12"/>
      <c r="J262" s="13"/>
      <c r="K262" s="13"/>
      <c r="L262" s="112"/>
      <c r="M262" s="13"/>
      <c r="N262" s="112"/>
      <c r="O262" s="112"/>
      <c r="P262" s="29"/>
      <c r="Q262" s="8"/>
    </row>
    <row r="263" spans="1:17" x14ac:dyDescent="0.25">
      <c r="A263" s="12"/>
      <c r="B263" s="18"/>
      <c r="C263" s="12"/>
      <c r="D263" s="12"/>
      <c r="E263" s="8"/>
      <c r="F263" s="8"/>
      <c r="G263" s="8"/>
      <c r="H263" s="19"/>
      <c r="I263" s="12"/>
      <c r="J263" s="13"/>
      <c r="K263" s="13"/>
      <c r="L263" s="112"/>
      <c r="M263" s="13"/>
      <c r="N263" s="112"/>
      <c r="O263" s="112"/>
      <c r="P263" s="29"/>
      <c r="Q263" s="8"/>
    </row>
    <row r="264" spans="1:17" x14ac:dyDescent="0.25">
      <c r="A264" s="12"/>
      <c r="B264" s="18"/>
      <c r="C264" s="12"/>
      <c r="D264" s="12"/>
      <c r="E264" s="8"/>
      <c r="F264" s="8"/>
      <c r="G264" s="8"/>
      <c r="H264" s="19"/>
      <c r="I264" s="12"/>
      <c r="J264" s="13"/>
      <c r="K264" s="13"/>
      <c r="L264" s="112"/>
      <c r="M264" s="13"/>
      <c r="N264" s="112"/>
      <c r="O264" s="112"/>
      <c r="P264" s="29"/>
      <c r="Q264" s="8"/>
    </row>
    <row r="265" spans="1:17" x14ac:dyDescent="0.25">
      <c r="A265" s="12"/>
      <c r="B265" s="18"/>
      <c r="C265" s="12"/>
      <c r="D265" s="12"/>
      <c r="E265" s="8"/>
      <c r="F265" s="8"/>
      <c r="G265" s="8"/>
      <c r="H265" s="19"/>
      <c r="I265" s="12"/>
      <c r="J265" s="13"/>
      <c r="K265" s="13"/>
      <c r="L265" s="112"/>
      <c r="M265" s="13"/>
      <c r="N265" s="112"/>
      <c r="O265" s="112"/>
      <c r="P265" s="29"/>
      <c r="Q265" s="8"/>
    </row>
    <row r="266" spans="1:17" x14ac:dyDescent="0.25">
      <c r="A266" s="12"/>
      <c r="B266" s="18"/>
      <c r="C266" s="12"/>
      <c r="D266" s="12"/>
      <c r="E266" s="8"/>
      <c r="F266" s="8"/>
      <c r="G266" s="8"/>
      <c r="H266" s="19"/>
      <c r="I266" s="12"/>
      <c r="J266" s="13"/>
      <c r="K266" s="13"/>
      <c r="L266" s="112"/>
      <c r="M266" s="13"/>
      <c r="N266" s="112"/>
      <c r="O266" s="112"/>
      <c r="P266" s="29"/>
      <c r="Q266" s="8"/>
    </row>
    <row r="267" spans="1:17" x14ac:dyDescent="0.25">
      <c r="A267" s="12"/>
      <c r="B267" s="18"/>
      <c r="C267" s="12"/>
      <c r="D267" s="12"/>
      <c r="E267" s="8"/>
      <c r="F267" s="8"/>
      <c r="G267" s="8"/>
      <c r="H267" s="19"/>
      <c r="I267" s="12"/>
      <c r="J267" s="13"/>
      <c r="K267" s="13"/>
      <c r="L267" s="112"/>
      <c r="M267" s="13"/>
      <c r="N267" s="112"/>
      <c r="O267" s="112"/>
      <c r="P267" s="29"/>
      <c r="Q267" s="8"/>
    </row>
    <row r="268" spans="1:17" x14ac:dyDescent="0.25">
      <c r="A268" s="12"/>
      <c r="B268" s="18"/>
      <c r="C268" s="12"/>
      <c r="D268" s="12"/>
      <c r="E268" s="8"/>
      <c r="F268" s="8"/>
      <c r="G268" s="8"/>
      <c r="H268" s="19"/>
      <c r="I268" s="12"/>
      <c r="J268" s="13"/>
      <c r="K268" s="13"/>
      <c r="L268" s="112"/>
      <c r="M268" s="13"/>
      <c r="N268" s="112"/>
      <c r="O268" s="112"/>
      <c r="P268" s="29"/>
      <c r="Q268" s="8"/>
    </row>
    <row r="269" spans="1:17" x14ac:dyDescent="0.25">
      <c r="A269" s="12"/>
      <c r="B269" s="18"/>
      <c r="C269" s="12"/>
      <c r="D269" s="12"/>
      <c r="E269" s="8"/>
      <c r="F269" s="8"/>
      <c r="G269" s="8"/>
      <c r="H269" s="19"/>
      <c r="I269" s="12"/>
      <c r="J269" s="13"/>
      <c r="K269" s="13"/>
      <c r="L269" s="112"/>
      <c r="M269" s="13"/>
      <c r="N269" s="112"/>
      <c r="O269" s="112"/>
      <c r="P269" s="29"/>
      <c r="Q269" s="8"/>
    </row>
    <row r="270" spans="1:17" x14ac:dyDescent="0.25">
      <c r="A270" s="12"/>
      <c r="B270" s="18"/>
      <c r="C270" s="12"/>
      <c r="D270" s="12"/>
      <c r="E270" s="8"/>
      <c r="F270" s="8"/>
      <c r="G270" s="8"/>
      <c r="H270" s="19"/>
      <c r="I270" s="12"/>
      <c r="J270" s="13"/>
      <c r="K270" s="13"/>
      <c r="L270" s="112"/>
      <c r="M270" s="13"/>
      <c r="N270" s="112"/>
      <c r="O270" s="112"/>
      <c r="P270" s="29"/>
      <c r="Q270" s="8"/>
    </row>
    <row r="271" spans="1:17" x14ac:dyDescent="0.25">
      <c r="A271" s="12"/>
      <c r="B271" s="18"/>
      <c r="C271" s="12"/>
      <c r="D271" s="12"/>
      <c r="E271" s="8"/>
      <c r="F271" s="8"/>
      <c r="G271" s="8"/>
      <c r="H271" s="19"/>
      <c r="I271" s="12"/>
      <c r="J271" s="13"/>
      <c r="K271" s="13"/>
      <c r="L271" s="112"/>
      <c r="M271" s="13"/>
      <c r="N271" s="112"/>
      <c r="O271" s="112"/>
      <c r="P271" s="29"/>
      <c r="Q271" s="8"/>
    </row>
    <row r="272" spans="1:17" x14ac:dyDescent="0.25">
      <c r="A272" s="12"/>
      <c r="B272" s="18"/>
      <c r="C272" s="12"/>
      <c r="D272" s="12"/>
      <c r="E272" s="8"/>
      <c r="F272" s="8"/>
      <c r="G272" s="8"/>
      <c r="H272" s="19"/>
      <c r="I272" s="12"/>
      <c r="J272" s="13"/>
      <c r="K272" s="13"/>
      <c r="L272" s="112"/>
      <c r="M272" s="13"/>
      <c r="N272" s="112"/>
      <c r="O272" s="112"/>
      <c r="P272" s="29"/>
      <c r="Q272" s="8"/>
    </row>
    <row r="273" spans="1:17" x14ac:dyDescent="0.25">
      <c r="A273" s="12"/>
      <c r="B273" s="18"/>
      <c r="C273" s="12"/>
      <c r="D273" s="12"/>
      <c r="E273" s="8"/>
      <c r="F273" s="8"/>
      <c r="G273" s="8"/>
      <c r="H273" s="19"/>
      <c r="I273" s="12"/>
      <c r="J273" s="13"/>
      <c r="K273" s="13"/>
      <c r="L273" s="112"/>
      <c r="M273" s="13"/>
      <c r="N273" s="112"/>
      <c r="O273" s="112"/>
      <c r="P273" s="29"/>
      <c r="Q273" s="8"/>
    </row>
    <row r="274" spans="1:17" x14ac:dyDescent="0.25">
      <c r="A274" s="12"/>
      <c r="B274" s="18"/>
      <c r="C274" s="12"/>
      <c r="D274" s="12"/>
      <c r="E274" s="8"/>
      <c r="F274" s="8"/>
      <c r="G274" s="8"/>
      <c r="H274" s="19"/>
      <c r="I274" s="12"/>
      <c r="J274" s="13"/>
      <c r="K274" s="13"/>
      <c r="L274" s="112"/>
      <c r="M274" s="13"/>
      <c r="N274" s="112"/>
      <c r="O274" s="112"/>
      <c r="P274" s="29"/>
      <c r="Q274" s="8"/>
    </row>
    <row r="275" spans="1:17" x14ac:dyDescent="0.25">
      <c r="A275" s="12"/>
      <c r="B275" s="18"/>
      <c r="C275" s="12"/>
      <c r="D275" s="12"/>
      <c r="E275" s="8"/>
      <c r="F275" s="8"/>
      <c r="G275" s="8"/>
      <c r="H275" s="19"/>
      <c r="I275" s="12"/>
      <c r="J275" s="13"/>
      <c r="K275" s="13"/>
      <c r="L275" s="112"/>
      <c r="M275" s="13"/>
      <c r="N275" s="112"/>
      <c r="O275" s="112"/>
      <c r="P275" s="29"/>
      <c r="Q275" s="8"/>
    </row>
    <row r="276" spans="1:17" x14ac:dyDescent="0.25">
      <c r="A276" s="12"/>
      <c r="B276" s="18"/>
      <c r="C276" s="12"/>
      <c r="D276" s="12"/>
      <c r="E276" s="8"/>
      <c r="F276" s="8"/>
      <c r="G276" s="8"/>
      <c r="H276" s="19"/>
      <c r="I276" s="12"/>
      <c r="J276" s="13"/>
      <c r="K276" s="13"/>
      <c r="L276" s="112"/>
      <c r="M276" s="13"/>
      <c r="N276" s="112"/>
      <c r="O276" s="112"/>
      <c r="P276" s="29"/>
      <c r="Q276" s="8"/>
    </row>
    <row r="277" spans="1:17" x14ac:dyDescent="0.25">
      <c r="A277" s="12"/>
      <c r="B277" s="18"/>
      <c r="C277" s="12"/>
      <c r="D277" s="12"/>
      <c r="E277" s="8"/>
      <c r="F277" s="8"/>
      <c r="G277" s="8"/>
      <c r="H277" s="19"/>
      <c r="I277" s="12"/>
      <c r="J277" s="13"/>
      <c r="K277" s="13"/>
      <c r="L277" s="112"/>
      <c r="M277" s="13"/>
      <c r="N277" s="112"/>
      <c r="O277" s="112"/>
      <c r="P277" s="29"/>
      <c r="Q277" s="8"/>
    </row>
    <row r="278" spans="1:17" x14ac:dyDescent="0.25">
      <c r="A278" s="12"/>
      <c r="B278" s="18"/>
      <c r="C278" s="12"/>
      <c r="D278" s="12"/>
      <c r="E278" s="8"/>
      <c r="F278" s="8"/>
      <c r="G278" s="8"/>
      <c r="H278" s="19"/>
      <c r="I278" s="12"/>
      <c r="J278" s="13"/>
      <c r="K278" s="13"/>
      <c r="L278" s="112"/>
      <c r="M278" s="13"/>
      <c r="N278" s="112"/>
      <c r="O278" s="112"/>
      <c r="P278" s="29"/>
      <c r="Q278" s="8"/>
    </row>
    <row r="279" spans="1:17" x14ac:dyDescent="0.25">
      <c r="A279" s="12"/>
      <c r="B279" s="18"/>
      <c r="C279" s="12"/>
      <c r="D279" s="12"/>
      <c r="E279" s="8"/>
      <c r="F279" s="8"/>
      <c r="G279" s="8"/>
      <c r="H279" s="19"/>
      <c r="I279" s="12"/>
      <c r="J279" s="13"/>
      <c r="K279" s="13"/>
      <c r="L279" s="112"/>
      <c r="M279" s="13"/>
      <c r="N279" s="112"/>
      <c r="O279" s="112"/>
      <c r="P279" s="29"/>
      <c r="Q279" s="8"/>
    </row>
    <row r="280" spans="1:17" x14ac:dyDescent="0.25">
      <c r="A280" s="12"/>
      <c r="B280" s="18"/>
      <c r="C280" s="12"/>
      <c r="D280" s="12"/>
      <c r="E280" s="8"/>
      <c r="F280" s="8"/>
      <c r="G280" s="8"/>
      <c r="H280" s="19"/>
      <c r="I280" s="12"/>
      <c r="J280" s="13"/>
      <c r="K280" s="13"/>
      <c r="L280" s="112"/>
      <c r="M280" s="13"/>
      <c r="N280" s="112"/>
      <c r="O280" s="112"/>
      <c r="P280" s="29"/>
      <c r="Q280" s="8"/>
    </row>
    <row r="281" spans="1:17" x14ac:dyDescent="0.25">
      <c r="A281" s="12"/>
      <c r="B281" s="18"/>
      <c r="C281" s="12"/>
      <c r="D281" s="12"/>
      <c r="E281" s="8"/>
      <c r="F281" s="8"/>
      <c r="G281" s="8"/>
      <c r="H281" s="19"/>
      <c r="I281" s="12"/>
      <c r="J281" s="13"/>
      <c r="K281" s="13"/>
      <c r="L281" s="112"/>
      <c r="M281" s="13"/>
      <c r="N281" s="112"/>
      <c r="O281" s="112"/>
      <c r="P281" s="29"/>
      <c r="Q281" s="8"/>
    </row>
    <row r="282" spans="1:17" x14ac:dyDescent="0.25">
      <c r="A282" s="12"/>
      <c r="B282" s="18"/>
      <c r="C282" s="12"/>
      <c r="D282" s="12"/>
      <c r="E282" s="8"/>
      <c r="F282" s="8"/>
      <c r="G282" s="8"/>
      <c r="H282" s="19"/>
      <c r="I282" s="12"/>
      <c r="J282" s="13"/>
      <c r="K282" s="13"/>
      <c r="L282" s="112"/>
      <c r="M282" s="13"/>
      <c r="N282" s="112"/>
      <c r="O282" s="112"/>
      <c r="P282" s="29"/>
      <c r="Q282" s="8"/>
    </row>
    <row r="283" spans="1:17" x14ac:dyDescent="0.25">
      <c r="A283" s="12"/>
      <c r="B283" s="18"/>
      <c r="C283" s="12"/>
      <c r="D283" s="12"/>
      <c r="E283" s="8"/>
      <c r="F283" s="8"/>
      <c r="G283" s="8"/>
      <c r="H283" s="19"/>
      <c r="I283" s="12"/>
      <c r="J283" s="13"/>
      <c r="K283" s="13"/>
      <c r="L283" s="112"/>
      <c r="M283" s="13"/>
      <c r="N283" s="112"/>
      <c r="O283" s="112"/>
      <c r="P283" s="29"/>
      <c r="Q283" s="8"/>
    </row>
    <row r="284" spans="1:17" x14ac:dyDescent="0.25">
      <c r="A284" s="12"/>
      <c r="B284" s="18"/>
      <c r="C284" s="12"/>
      <c r="D284" s="12"/>
      <c r="E284" s="8"/>
      <c r="F284" s="8"/>
      <c r="G284" s="8"/>
      <c r="H284" s="19"/>
      <c r="I284" s="12"/>
      <c r="J284" s="13"/>
      <c r="K284" s="13"/>
      <c r="L284" s="112"/>
      <c r="M284" s="13"/>
      <c r="N284" s="112"/>
      <c r="O284" s="112"/>
      <c r="P284" s="29"/>
      <c r="Q284" s="8"/>
    </row>
    <row r="285" spans="1:17" x14ac:dyDescent="0.25">
      <c r="A285" s="12"/>
      <c r="B285" s="18"/>
      <c r="C285" s="12"/>
      <c r="D285" s="12"/>
      <c r="E285" s="8"/>
      <c r="F285" s="8"/>
      <c r="G285" s="8"/>
      <c r="H285" s="19"/>
      <c r="I285" s="12"/>
      <c r="J285" s="13"/>
      <c r="K285" s="13"/>
      <c r="L285" s="112"/>
      <c r="M285" s="13"/>
      <c r="N285" s="112"/>
      <c r="O285" s="112"/>
      <c r="P285" s="29"/>
      <c r="Q285" s="8"/>
    </row>
    <row r="286" spans="1:17" x14ac:dyDescent="0.25">
      <c r="A286" s="12"/>
      <c r="B286" s="18"/>
      <c r="C286" s="12"/>
      <c r="D286" s="12"/>
      <c r="E286" s="8"/>
      <c r="F286" s="8"/>
      <c r="G286" s="8"/>
      <c r="H286" s="19"/>
      <c r="I286" s="12"/>
      <c r="J286" s="13"/>
      <c r="K286" s="13"/>
      <c r="L286" s="112"/>
      <c r="M286" s="13"/>
      <c r="N286" s="112"/>
      <c r="O286" s="112"/>
      <c r="P286" s="29"/>
      <c r="Q286" s="8"/>
    </row>
    <row r="287" spans="1:17" x14ac:dyDescent="0.25">
      <c r="A287" s="12"/>
      <c r="B287" s="18"/>
      <c r="C287" s="12"/>
      <c r="D287" s="12"/>
      <c r="E287" s="8"/>
      <c r="F287" s="8"/>
      <c r="G287" s="8"/>
      <c r="H287" s="19"/>
      <c r="I287" s="12"/>
      <c r="J287" s="13"/>
      <c r="K287" s="13"/>
      <c r="L287" s="112"/>
      <c r="M287" s="13"/>
      <c r="N287" s="112"/>
      <c r="O287" s="112"/>
      <c r="P287" s="29"/>
      <c r="Q287" s="8"/>
    </row>
    <row r="288" spans="1:17" x14ac:dyDescent="0.25">
      <c r="A288" s="12"/>
      <c r="B288" s="18"/>
      <c r="C288" s="12"/>
      <c r="D288" s="12"/>
      <c r="E288" s="8"/>
      <c r="F288" s="8"/>
      <c r="G288" s="8"/>
      <c r="H288" s="19"/>
      <c r="I288" s="12"/>
      <c r="J288" s="13"/>
      <c r="K288" s="13"/>
      <c r="L288" s="112"/>
      <c r="M288" s="13"/>
      <c r="N288" s="112"/>
      <c r="O288" s="112"/>
      <c r="P288" s="29"/>
      <c r="Q288" s="8"/>
    </row>
    <row r="289" spans="1:17" x14ac:dyDescent="0.25">
      <c r="A289" s="12"/>
      <c r="B289" s="18"/>
      <c r="C289" s="12"/>
      <c r="D289" s="12"/>
      <c r="E289" s="8"/>
      <c r="F289" s="8"/>
      <c r="G289" s="8"/>
      <c r="H289" s="19"/>
      <c r="I289" s="12"/>
      <c r="J289" s="13"/>
      <c r="K289" s="13"/>
      <c r="L289" s="112"/>
      <c r="M289" s="13"/>
      <c r="N289" s="112"/>
      <c r="O289" s="112"/>
      <c r="P289" s="29"/>
      <c r="Q289" s="8"/>
    </row>
    <row r="290" spans="1:17" x14ac:dyDescent="0.25">
      <c r="A290" s="12"/>
      <c r="B290" s="18"/>
      <c r="C290" s="12"/>
      <c r="D290" s="12"/>
      <c r="E290" s="8"/>
      <c r="F290" s="8"/>
      <c r="G290" s="8"/>
      <c r="H290" s="19"/>
      <c r="I290" s="12"/>
      <c r="J290" s="13"/>
      <c r="K290" s="13"/>
      <c r="L290" s="112"/>
      <c r="M290" s="13"/>
      <c r="N290" s="112"/>
      <c r="O290" s="112"/>
      <c r="P290" s="29"/>
      <c r="Q290" s="8"/>
    </row>
    <row r="291" spans="1:17" x14ac:dyDescent="0.25">
      <c r="A291" s="12"/>
      <c r="B291" s="18"/>
      <c r="C291" s="12"/>
      <c r="D291" s="12"/>
      <c r="E291" s="8"/>
      <c r="F291" s="8"/>
      <c r="G291" s="8"/>
      <c r="H291" s="19"/>
      <c r="I291" s="12"/>
      <c r="J291" s="13"/>
      <c r="K291" s="13"/>
      <c r="L291" s="112"/>
      <c r="M291" s="13"/>
      <c r="N291" s="112"/>
      <c r="O291" s="112"/>
      <c r="P291" s="29"/>
      <c r="Q291" s="8"/>
    </row>
    <row r="292" spans="1:17" x14ac:dyDescent="0.25">
      <c r="A292" s="12"/>
      <c r="B292" s="18"/>
      <c r="C292" s="12"/>
      <c r="D292" s="12"/>
      <c r="E292" s="8"/>
      <c r="F292" s="8"/>
      <c r="G292" s="8"/>
      <c r="H292" s="19"/>
      <c r="I292" s="12"/>
      <c r="J292" s="13"/>
      <c r="K292" s="13"/>
      <c r="L292" s="112"/>
      <c r="M292" s="13"/>
      <c r="N292" s="112"/>
      <c r="O292" s="112"/>
      <c r="P292" s="29"/>
      <c r="Q292" s="8"/>
    </row>
    <row r="293" spans="1:17" x14ac:dyDescent="0.25">
      <c r="A293" s="12"/>
      <c r="B293" s="18"/>
      <c r="C293" s="12"/>
      <c r="D293" s="12"/>
      <c r="E293" s="8"/>
      <c r="F293" s="8"/>
      <c r="G293" s="8"/>
      <c r="H293" s="19"/>
      <c r="I293" s="12"/>
      <c r="J293" s="13"/>
      <c r="K293" s="13"/>
      <c r="L293" s="112"/>
      <c r="M293" s="13"/>
      <c r="N293" s="112"/>
      <c r="O293" s="112"/>
      <c r="P293" s="29"/>
      <c r="Q293" s="8"/>
    </row>
    <row r="294" spans="1:17" x14ac:dyDescent="0.25">
      <c r="A294" s="12"/>
      <c r="B294" s="18"/>
      <c r="C294" s="12"/>
      <c r="D294" s="12"/>
      <c r="E294" s="8"/>
      <c r="F294" s="8"/>
      <c r="G294" s="8"/>
      <c r="H294" s="19"/>
      <c r="I294" s="12"/>
      <c r="J294" s="13"/>
      <c r="K294" s="13"/>
      <c r="L294" s="112"/>
      <c r="M294" s="13"/>
      <c r="N294" s="112"/>
      <c r="O294" s="112"/>
      <c r="P294" s="29"/>
      <c r="Q294" s="8"/>
    </row>
    <row r="295" spans="1:17" x14ac:dyDescent="0.25">
      <c r="A295" s="12"/>
      <c r="B295" s="18"/>
      <c r="C295" s="12"/>
      <c r="D295" s="12"/>
      <c r="E295" s="8"/>
      <c r="F295" s="8"/>
      <c r="G295" s="8"/>
      <c r="H295" s="19"/>
      <c r="I295" s="12"/>
      <c r="J295" s="13"/>
      <c r="K295" s="13"/>
      <c r="L295" s="112"/>
      <c r="M295" s="13"/>
      <c r="N295" s="112"/>
      <c r="O295" s="112"/>
      <c r="P295" s="29"/>
      <c r="Q295" s="8"/>
    </row>
    <row r="296" spans="1:17" x14ac:dyDescent="0.25">
      <c r="A296" s="12"/>
      <c r="B296" s="18"/>
      <c r="C296" s="12"/>
      <c r="D296" s="12"/>
      <c r="E296" s="8"/>
      <c r="F296" s="8"/>
      <c r="G296" s="8"/>
      <c r="H296" s="19"/>
      <c r="I296" s="12"/>
      <c r="J296" s="13"/>
      <c r="K296" s="13"/>
      <c r="L296" s="112"/>
      <c r="M296" s="13"/>
      <c r="N296" s="112"/>
      <c r="O296" s="112"/>
      <c r="P296" s="29"/>
      <c r="Q296" s="8"/>
    </row>
    <row r="297" spans="1:17" x14ac:dyDescent="0.25">
      <c r="A297" s="12"/>
      <c r="B297" s="18"/>
      <c r="C297" s="12"/>
      <c r="D297" s="12"/>
      <c r="E297" s="8"/>
      <c r="F297" s="8"/>
      <c r="G297" s="8"/>
      <c r="H297" s="19"/>
      <c r="I297" s="12"/>
      <c r="J297" s="13"/>
      <c r="K297" s="13"/>
      <c r="L297" s="112"/>
      <c r="M297" s="13"/>
      <c r="N297" s="112"/>
      <c r="O297" s="112"/>
      <c r="P297" s="29"/>
      <c r="Q297" s="8"/>
    </row>
    <row r="298" spans="1:17" x14ac:dyDescent="0.25">
      <c r="A298" s="12"/>
      <c r="B298" s="18"/>
      <c r="C298" s="12"/>
      <c r="D298" s="12"/>
      <c r="E298" s="8"/>
      <c r="F298" s="8"/>
      <c r="G298" s="8"/>
      <c r="H298" s="19"/>
      <c r="I298" s="12"/>
      <c r="J298" s="13"/>
      <c r="K298" s="13"/>
      <c r="L298" s="112"/>
      <c r="M298" s="13"/>
      <c r="N298" s="112"/>
      <c r="O298" s="112"/>
      <c r="P298" s="29"/>
      <c r="Q298" s="8"/>
    </row>
    <row r="299" spans="1:17" x14ac:dyDescent="0.25">
      <c r="A299" s="12"/>
      <c r="B299" s="18"/>
      <c r="C299" s="12"/>
      <c r="D299" s="12"/>
      <c r="E299" s="8"/>
      <c r="F299" s="8"/>
      <c r="G299" s="8"/>
      <c r="H299" s="19"/>
      <c r="I299" s="12"/>
      <c r="J299" s="13"/>
      <c r="K299" s="13"/>
      <c r="L299" s="112"/>
      <c r="M299" s="13"/>
      <c r="N299" s="112"/>
      <c r="O299" s="112"/>
      <c r="P299" s="29"/>
      <c r="Q299" s="8"/>
    </row>
    <row r="300" spans="1:17" x14ac:dyDescent="0.25">
      <c r="A300" s="12"/>
      <c r="B300" s="18"/>
      <c r="C300" s="12"/>
      <c r="D300" s="12"/>
      <c r="E300" s="8"/>
      <c r="F300" s="8"/>
      <c r="G300" s="8"/>
      <c r="H300" s="19"/>
      <c r="I300" s="12"/>
      <c r="J300" s="13"/>
      <c r="K300" s="13"/>
      <c r="L300" s="112"/>
      <c r="M300" s="13"/>
      <c r="N300" s="112"/>
      <c r="O300" s="112"/>
      <c r="P300" s="29"/>
      <c r="Q300" s="8"/>
    </row>
    <row r="301" spans="1:17" x14ac:dyDescent="0.25">
      <c r="A301" s="12"/>
      <c r="B301" s="18"/>
      <c r="C301" s="12"/>
      <c r="D301" s="12"/>
      <c r="E301" s="8"/>
      <c r="F301" s="8"/>
      <c r="G301" s="8"/>
      <c r="H301" s="19"/>
      <c r="I301" s="12"/>
      <c r="J301" s="13"/>
      <c r="K301" s="13"/>
      <c r="L301" s="112"/>
      <c r="M301" s="13"/>
      <c r="N301" s="112"/>
      <c r="O301" s="112"/>
      <c r="P301" s="29"/>
      <c r="Q301" s="8"/>
    </row>
    <row r="302" spans="1:17" x14ac:dyDescent="0.25">
      <c r="A302" s="12"/>
      <c r="B302" s="18"/>
      <c r="C302" s="12"/>
      <c r="D302" s="12"/>
      <c r="E302" s="8"/>
      <c r="F302" s="8"/>
      <c r="G302" s="8"/>
      <c r="H302" s="19"/>
      <c r="I302" s="12"/>
      <c r="J302" s="13"/>
      <c r="K302" s="13"/>
      <c r="L302" s="112"/>
      <c r="M302" s="13"/>
      <c r="N302" s="112"/>
      <c r="O302" s="112"/>
      <c r="P302" s="29"/>
      <c r="Q302" s="8"/>
    </row>
    <row r="303" spans="1:17" x14ac:dyDescent="0.25">
      <c r="A303" s="12"/>
      <c r="B303" s="18"/>
      <c r="C303" s="12"/>
      <c r="D303" s="12"/>
      <c r="E303" s="8"/>
      <c r="F303" s="8"/>
      <c r="G303" s="8"/>
      <c r="H303" s="19"/>
      <c r="I303" s="12"/>
      <c r="J303" s="13"/>
      <c r="K303" s="13"/>
      <c r="L303" s="112"/>
      <c r="M303" s="13"/>
      <c r="N303" s="112"/>
      <c r="O303" s="112"/>
      <c r="P303" s="29"/>
      <c r="Q303" s="8"/>
    </row>
    <row r="304" spans="1:17" x14ac:dyDescent="0.25">
      <c r="A304" s="12"/>
      <c r="B304" s="18"/>
      <c r="C304" s="12"/>
      <c r="D304" s="12"/>
      <c r="E304" s="8"/>
      <c r="F304" s="8"/>
      <c r="G304" s="8"/>
      <c r="H304" s="19"/>
      <c r="I304" s="12"/>
      <c r="J304" s="13"/>
      <c r="K304" s="13"/>
      <c r="L304" s="112"/>
      <c r="M304" s="13"/>
      <c r="N304" s="112"/>
      <c r="O304" s="112"/>
      <c r="P304" s="29"/>
      <c r="Q304" s="8"/>
    </row>
    <row r="305" spans="1:17" x14ac:dyDescent="0.25">
      <c r="A305" s="12"/>
      <c r="B305" s="18"/>
      <c r="C305" s="12"/>
      <c r="D305" s="12"/>
      <c r="E305" s="8"/>
      <c r="F305" s="8"/>
      <c r="G305" s="8"/>
      <c r="H305" s="19"/>
      <c r="I305" s="12"/>
      <c r="J305" s="13"/>
      <c r="K305" s="13"/>
      <c r="L305" s="112"/>
      <c r="M305" s="13"/>
      <c r="N305" s="112"/>
      <c r="O305" s="112"/>
      <c r="P305" s="29"/>
      <c r="Q305" s="8"/>
    </row>
    <row r="306" spans="1:17" x14ac:dyDescent="0.25">
      <c r="A306" s="12"/>
      <c r="B306" s="18"/>
      <c r="C306" s="12"/>
      <c r="D306" s="12"/>
      <c r="E306" s="8"/>
      <c r="F306" s="8"/>
      <c r="G306" s="8"/>
      <c r="H306" s="19"/>
      <c r="I306" s="12"/>
      <c r="J306" s="13"/>
      <c r="K306" s="13"/>
      <c r="L306" s="112"/>
      <c r="M306" s="13"/>
      <c r="N306" s="112"/>
      <c r="O306" s="112"/>
      <c r="P306" s="29"/>
      <c r="Q306" s="8"/>
    </row>
    <row r="307" spans="1:17" x14ac:dyDescent="0.25">
      <c r="A307" s="12"/>
      <c r="B307" s="18"/>
      <c r="C307" s="12"/>
      <c r="D307" s="12"/>
      <c r="E307" s="8"/>
      <c r="F307" s="8"/>
      <c r="G307" s="8"/>
      <c r="H307" s="19"/>
      <c r="I307" s="12"/>
      <c r="J307" s="13"/>
      <c r="K307" s="13"/>
      <c r="L307" s="112"/>
      <c r="M307" s="13"/>
      <c r="N307" s="112"/>
      <c r="O307" s="112"/>
      <c r="P307" s="29"/>
      <c r="Q307" s="8"/>
    </row>
    <row r="308" spans="1:17" x14ac:dyDescent="0.25">
      <c r="A308" s="12"/>
      <c r="B308" s="18"/>
      <c r="C308" s="12"/>
      <c r="D308" s="12"/>
      <c r="E308" s="8"/>
      <c r="F308" s="8"/>
      <c r="G308" s="8"/>
      <c r="H308" s="19"/>
      <c r="I308" s="12"/>
      <c r="J308" s="13"/>
      <c r="K308" s="13"/>
      <c r="L308" s="112"/>
      <c r="M308" s="13"/>
      <c r="N308" s="112"/>
      <c r="O308" s="112"/>
      <c r="P308" s="29"/>
      <c r="Q308" s="8"/>
    </row>
    <row r="309" spans="1:17" x14ac:dyDescent="0.25">
      <c r="A309" s="12"/>
      <c r="B309" s="18"/>
      <c r="C309" s="12"/>
      <c r="D309" s="12"/>
      <c r="E309" s="8"/>
      <c r="F309" s="8"/>
      <c r="G309" s="8"/>
      <c r="H309" s="19"/>
      <c r="I309" s="12"/>
      <c r="J309" s="13"/>
      <c r="K309" s="13"/>
      <c r="L309" s="112"/>
      <c r="M309" s="13"/>
      <c r="N309" s="112"/>
      <c r="O309" s="112"/>
      <c r="P309" s="29"/>
      <c r="Q309" s="8"/>
    </row>
    <row r="310" spans="1:17" x14ac:dyDescent="0.25">
      <c r="A310" s="12"/>
      <c r="B310" s="18"/>
      <c r="C310" s="12"/>
      <c r="D310" s="12"/>
      <c r="E310" s="8"/>
      <c r="F310" s="8"/>
      <c r="G310" s="8"/>
      <c r="H310" s="19"/>
      <c r="I310" s="12"/>
      <c r="J310" s="13"/>
      <c r="K310" s="13"/>
      <c r="L310" s="112"/>
      <c r="M310" s="13"/>
      <c r="N310" s="112"/>
      <c r="O310" s="112"/>
      <c r="P310" s="29"/>
      <c r="Q310" s="8"/>
    </row>
    <row r="311" spans="1:17" x14ac:dyDescent="0.25">
      <c r="A311" s="12"/>
      <c r="B311" s="18"/>
      <c r="C311" s="12"/>
      <c r="D311" s="12"/>
      <c r="E311" s="8"/>
      <c r="F311" s="8"/>
      <c r="G311" s="8"/>
      <c r="H311" s="19"/>
      <c r="I311" s="12"/>
      <c r="J311" s="13"/>
      <c r="K311" s="13"/>
      <c r="L311" s="112"/>
      <c r="M311" s="13"/>
      <c r="N311" s="112"/>
      <c r="O311" s="112"/>
      <c r="P311" s="29"/>
      <c r="Q311" s="8"/>
    </row>
    <row r="312" spans="1:17" x14ac:dyDescent="0.25">
      <c r="A312" s="12"/>
      <c r="B312" s="18"/>
      <c r="C312" s="12"/>
      <c r="D312" s="12"/>
      <c r="E312" s="8"/>
      <c r="F312" s="8"/>
      <c r="G312" s="8"/>
      <c r="H312" s="19"/>
      <c r="I312" s="12"/>
      <c r="J312" s="13"/>
      <c r="K312" s="13"/>
      <c r="L312" s="112"/>
      <c r="M312" s="13"/>
      <c r="N312" s="112"/>
      <c r="O312" s="112"/>
      <c r="P312" s="29"/>
      <c r="Q312" s="8"/>
    </row>
    <row r="313" spans="1:17" x14ac:dyDescent="0.25">
      <c r="A313" s="12"/>
      <c r="B313" s="18"/>
      <c r="C313" s="12"/>
      <c r="D313" s="12"/>
      <c r="E313" s="8"/>
      <c r="F313" s="8"/>
      <c r="G313" s="8"/>
      <c r="H313" s="19"/>
      <c r="I313" s="12"/>
      <c r="J313" s="13"/>
      <c r="K313" s="13"/>
      <c r="L313" s="112"/>
      <c r="M313" s="13"/>
      <c r="N313" s="112"/>
      <c r="O313" s="112"/>
      <c r="P313" s="29"/>
      <c r="Q313" s="8"/>
    </row>
    <row r="314" spans="1:17" x14ac:dyDescent="0.25">
      <c r="A314" s="12"/>
      <c r="B314" s="18"/>
      <c r="C314" s="12"/>
      <c r="D314" s="12"/>
      <c r="E314" s="8"/>
      <c r="F314" s="8"/>
      <c r="G314" s="8"/>
      <c r="H314" s="19"/>
      <c r="I314" s="12"/>
      <c r="J314" s="13"/>
      <c r="K314" s="13"/>
      <c r="L314" s="112"/>
      <c r="M314" s="13"/>
      <c r="N314" s="112"/>
      <c r="O314" s="112"/>
      <c r="P314" s="29"/>
      <c r="Q314" s="8"/>
    </row>
    <row r="315" spans="1:17" x14ac:dyDescent="0.25">
      <c r="A315" s="12"/>
      <c r="B315" s="18"/>
      <c r="C315" s="12"/>
      <c r="D315" s="12"/>
      <c r="E315" s="8"/>
      <c r="F315" s="8"/>
      <c r="G315" s="8"/>
      <c r="H315" s="19"/>
      <c r="I315" s="12"/>
      <c r="J315" s="13"/>
      <c r="K315" s="13"/>
      <c r="L315" s="112"/>
      <c r="M315" s="13"/>
      <c r="N315" s="112"/>
      <c r="O315" s="112"/>
      <c r="P315" s="29"/>
      <c r="Q315" s="8"/>
    </row>
    <row r="316" spans="1:17" x14ac:dyDescent="0.25">
      <c r="A316" s="12"/>
      <c r="B316" s="18"/>
      <c r="C316" s="12"/>
      <c r="D316" s="12"/>
      <c r="E316" s="8"/>
      <c r="F316" s="8"/>
      <c r="G316" s="8"/>
      <c r="H316" s="19"/>
      <c r="I316" s="12"/>
      <c r="J316" s="13"/>
      <c r="K316" s="13"/>
      <c r="L316" s="112"/>
      <c r="M316" s="13"/>
      <c r="N316" s="112"/>
      <c r="O316" s="112"/>
      <c r="P316" s="29"/>
      <c r="Q316" s="8"/>
    </row>
    <row r="317" spans="1:17" x14ac:dyDescent="0.25">
      <c r="A317" s="12"/>
      <c r="B317" s="18"/>
      <c r="C317" s="12"/>
      <c r="D317" s="12"/>
      <c r="E317" s="8"/>
      <c r="F317" s="8"/>
      <c r="G317" s="8"/>
      <c r="H317" s="19"/>
      <c r="I317" s="12"/>
      <c r="J317" s="13"/>
      <c r="K317" s="13"/>
      <c r="L317" s="112"/>
      <c r="M317" s="13"/>
      <c r="N317" s="112"/>
      <c r="O317" s="112"/>
      <c r="P317" s="29"/>
      <c r="Q317" s="8"/>
    </row>
    <row r="318" spans="1:17" x14ac:dyDescent="0.25">
      <c r="A318" s="12"/>
      <c r="B318" s="18"/>
      <c r="C318" s="12"/>
      <c r="D318" s="12"/>
      <c r="E318" s="8"/>
      <c r="F318" s="8"/>
      <c r="G318" s="8"/>
      <c r="H318" s="19"/>
      <c r="I318" s="12"/>
      <c r="J318" s="13"/>
      <c r="K318" s="13"/>
      <c r="L318" s="112"/>
      <c r="M318" s="13"/>
      <c r="N318" s="112"/>
      <c r="O318" s="112"/>
      <c r="P318" s="29"/>
      <c r="Q318" s="8"/>
    </row>
    <row r="319" spans="1:17" x14ac:dyDescent="0.25">
      <c r="A319" s="12"/>
      <c r="B319" s="18"/>
      <c r="C319" s="12"/>
      <c r="D319" s="12"/>
      <c r="E319" s="8"/>
      <c r="F319" s="8"/>
      <c r="G319" s="8"/>
      <c r="H319" s="19"/>
      <c r="I319" s="12"/>
      <c r="J319" s="13"/>
      <c r="K319" s="13"/>
      <c r="L319" s="112"/>
      <c r="M319" s="13"/>
      <c r="N319" s="112"/>
      <c r="O319" s="112"/>
      <c r="P319" s="29"/>
      <c r="Q319" s="8"/>
    </row>
    <row r="320" spans="1:17" x14ac:dyDescent="0.25">
      <c r="A320" s="12"/>
      <c r="B320" s="18"/>
      <c r="C320" s="12"/>
      <c r="D320" s="12"/>
      <c r="E320" s="8"/>
      <c r="F320" s="8"/>
      <c r="G320" s="8"/>
      <c r="H320" s="19"/>
      <c r="I320" s="12"/>
      <c r="J320" s="13"/>
      <c r="K320" s="13"/>
      <c r="L320" s="112"/>
      <c r="M320" s="13"/>
      <c r="N320" s="112"/>
      <c r="O320" s="112"/>
      <c r="P320" s="29"/>
      <c r="Q320" s="8"/>
    </row>
    <row r="321" spans="1:17" x14ac:dyDescent="0.25">
      <c r="A321" s="12"/>
      <c r="B321" s="18"/>
      <c r="C321" s="12"/>
      <c r="D321" s="12"/>
      <c r="E321" s="8"/>
      <c r="F321" s="8"/>
      <c r="G321" s="8"/>
      <c r="H321" s="19"/>
      <c r="I321" s="12"/>
      <c r="J321" s="13"/>
      <c r="K321" s="13"/>
      <c r="L321" s="112"/>
      <c r="M321" s="13"/>
      <c r="N321" s="112"/>
      <c r="O321" s="112"/>
      <c r="P321" s="29"/>
      <c r="Q321" s="8"/>
    </row>
    <row r="322" spans="1:17" x14ac:dyDescent="0.25">
      <c r="A322" s="12"/>
      <c r="B322" s="18"/>
      <c r="C322" s="12"/>
      <c r="D322" s="12"/>
      <c r="E322" s="8"/>
      <c r="F322" s="8"/>
      <c r="G322" s="8"/>
      <c r="H322" s="19"/>
      <c r="I322" s="12"/>
      <c r="J322" s="13"/>
      <c r="K322" s="13"/>
      <c r="L322" s="112"/>
      <c r="M322" s="13"/>
      <c r="N322" s="112"/>
      <c r="O322" s="112"/>
      <c r="P322" s="29"/>
      <c r="Q322" s="8"/>
    </row>
    <row r="323" spans="1:17" x14ac:dyDescent="0.25">
      <c r="A323" s="12"/>
      <c r="B323" s="18"/>
      <c r="C323" s="12"/>
      <c r="D323" s="12"/>
      <c r="E323" s="8"/>
      <c r="F323" s="8"/>
      <c r="G323" s="8"/>
      <c r="H323" s="19"/>
      <c r="I323" s="12"/>
      <c r="J323" s="13"/>
      <c r="K323" s="13"/>
      <c r="L323" s="112"/>
      <c r="M323" s="13"/>
      <c r="N323" s="112"/>
      <c r="O323" s="112"/>
      <c r="P323" s="29"/>
      <c r="Q323" s="8"/>
    </row>
    <row r="324" spans="1:17" x14ac:dyDescent="0.25">
      <c r="A324" s="12"/>
      <c r="B324" s="18"/>
      <c r="C324" s="12"/>
      <c r="D324" s="12"/>
      <c r="E324" s="8"/>
      <c r="F324" s="8"/>
      <c r="G324" s="8"/>
      <c r="H324" s="19"/>
      <c r="I324" s="12"/>
      <c r="J324" s="13"/>
      <c r="K324" s="13"/>
      <c r="L324" s="112"/>
      <c r="M324" s="13"/>
      <c r="N324" s="112"/>
      <c r="O324" s="112"/>
      <c r="P324" s="29"/>
      <c r="Q324" s="8"/>
    </row>
    <row r="325" spans="1:17" x14ac:dyDescent="0.25">
      <c r="A325" s="12"/>
      <c r="B325" s="18"/>
      <c r="C325" s="12"/>
      <c r="D325" s="12"/>
      <c r="E325" s="8"/>
      <c r="F325" s="8"/>
      <c r="G325" s="8"/>
      <c r="H325" s="19"/>
      <c r="I325" s="12"/>
      <c r="J325" s="13"/>
      <c r="K325" s="13"/>
      <c r="L325" s="112"/>
      <c r="M325" s="13"/>
      <c r="N325" s="112"/>
      <c r="O325" s="112"/>
      <c r="P325" s="29"/>
      <c r="Q325" s="8"/>
    </row>
    <row r="326" spans="1:17" x14ac:dyDescent="0.25">
      <c r="A326" s="12"/>
      <c r="B326" s="18"/>
      <c r="C326" s="12"/>
      <c r="D326" s="12"/>
      <c r="E326" s="8"/>
      <c r="F326" s="8"/>
      <c r="G326" s="8"/>
      <c r="H326" s="19"/>
      <c r="I326" s="12"/>
      <c r="J326" s="13"/>
      <c r="K326" s="13"/>
      <c r="L326" s="112"/>
      <c r="M326" s="13"/>
      <c r="N326" s="112"/>
      <c r="O326" s="112"/>
      <c r="P326" s="29"/>
      <c r="Q326" s="8"/>
    </row>
    <row r="327" spans="1:17" x14ac:dyDescent="0.25">
      <c r="A327" s="12"/>
      <c r="B327" s="18"/>
      <c r="C327" s="12"/>
      <c r="D327" s="12"/>
      <c r="E327" s="8"/>
      <c r="F327" s="8"/>
      <c r="G327" s="8"/>
      <c r="H327" s="19"/>
      <c r="I327" s="12"/>
      <c r="J327" s="13"/>
      <c r="K327" s="13"/>
      <c r="L327" s="112"/>
      <c r="M327" s="13"/>
      <c r="N327" s="112"/>
      <c r="O327" s="112"/>
      <c r="P327" s="29"/>
      <c r="Q327" s="8"/>
    </row>
    <row r="328" spans="1:17" x14ac:dyDescent="0.25">
      <c r="A328" s="12"/>
      <c r="B328" s="18"/>
      <c r="C328" s="12"/>
      <c r="D328" s="12"/>
      <c r="E328" s="8"/>
      <c r="F328" s="8"/>
      <c r="G328" s="8"/>
      <c r="H328" s="19"/>
      <c r="I328" s="12"/>
      <c r="J328" s="13"/>
      <c r="K328" s="13"/>
      <c r="L328" s="112"/>
      <c r="M328" s="13"/>
      <c r="N328" s="112"/>
      <c r="O328" s="112"/>
      <c r="P328" s="29"/>
      <c r="Q328" s="8"/>
    </row>
    <row r="329" spans="1:17" x14ac:dyDescent="0.25">
      <c r="A329" s="12"/>
      <c r="B329" s="18"/>
      <c r="C329" s="12"/>
      <c r="D329" s="12"/>
      <c r="E329" s="8"/>
      <c r="F329" s="8"/>
      <c r="G329" s="8"/>
      <c r="H329" s="19"/>
      <c r="I329" s="12"/>
      <c r="J329" s="13"/>
      <c r="K329" s="13"/>
      <c r="L329" s="112"/>
      <c r="M329" s="13"/>
      <c r="N329" s="112"/>
      <c r="O329" s="112"/>
      <c r="P329" s="29"/>
      <c r="Q329" s="8"/>
    </row>
    <row r="330" spans="1:17" x14ac:dyDescent="0.25">
      <c r="A330" s="12"/>
      <c r="B330" s="18"/>
      <c r="C330" s="12"/>
      <c r="D330" s="12"/>
      <c r="E330" s="8"/>
      <c r="F330" s="8"/>
      <c r="G330" s="8"/>
      <c r="H330" s="19"/>
      <c r="I330" s="12"/>
      <c r="J330" s="13"/>
      <c r="K330" s="13"/>
      <c r="L330" s="112"/>
      <c r="M330" s="13"/>
      <c r="N330" s="112"/>
      <c r="O330" s="112"/>
      <c r="P330" s="29"/>
      <c r="Q330" s="8"/>
    </row>
    <row r="331" spans="1:17" x14ac:dyDescent="0.25">
      <c r="A331" s="12"/>
      <c r="B331" s="18"/>
      <c r="C331" s="12"/>
      <c r="D331" s="12"/>
      <c r="E331" s="8"/>
      <c r="F331" s="8"/>
      <c r="G331" s="8"/>
      <c r="H331" s="19"/>
      <c r="I331" s="12"/>
      <c r="J331" s="13"/>
      <c r="K331" s="13"/>
      <c r="L331" s="112"/>
      <c r="M331" s="13"/>
      <c r="N331" s="112"/>
      <c r="O331" s="112"/>
      <c r="P331" s="29"/>
      <c r="Q331" s="8"/>
    </row>
    <row r="332" spans="1:17" x14ac:dyDescent="0.25">
      <c r="A332" s="12"/>
      <c r="B332" s="18"/>
      <c r="C332" s="12"/>
      <c r="D332" s="12"/>
      <c r="E332" s="8"/>
      <c r="F332" s="8"/>
      <c r="G332" s="8"/>
      <c r="H332" s="19"/>
      <c r="I332" s="12"/>
      <c r="J332" s="13"/>
      <c r="K332" s="13"/>
      <c r="L332" s="112"/>
      <c r="M332" s="13"/>
      <c r="N332" s="112"/>
      <c r="O332" s="112"/>
      <c r="P332" s="29"/>
      <c r="Q332" s="8"/>
    </row>
    <row r="333" spans="1:17" x14ac:dyDescent="0.25">
      <c r="A333" s="12"/>
      <c r="B333" s="18"/>
      <c r="C333" s="12"/>
      <c r="D333" s="12"/>
      <c r="E333" s="8"/>
      <c r="F333" s="8"/>
      <c r="G333" s="8"/>
      <c r="H333" s="19"/>
      <c r="I333" s="12"/>
      <c r="J333" s="13"/>
      <c r="K333" s="13"/>
      <c r="L333" s="112"/>
      <c r="M333" s="13"/>
      <c r="N333" s="112"/>
      <c r="O333" s="112"/>
      <c r="P333" s="29"/>
      <c r="Q333" s="8"/>
    </row>
    <row r="334" spans="1:17" x14ac:dyDescent="0.25">
      <c r="A334" s="12"/>
      <c r="B334" s="18"/>
      <c r="C334" s="12"/>
      <c r="D334" s="12"/>
      <c r="E334" s="8"/>
      <c r="F334" s="8"/>
      <c r="G334" s="8"/>
      <c r="H334" s="19"/>
      <c r="I334" s="12"/>
      <c r="J334" s="13"/>
      <c r="K334" s="13"/>
      <c r="L334" s="112"/>
      <c r="M334" s="13"/>
      <c r="N334" s="112"/>
      <c r="O334" s="112"/>
      <c r="P334" s="29"/>
      <c r="Q334" s="8"/>
    </row>
    <row r="335" spans="1:17" x14ac:dyDescent="0.25">
      <c r="A335" s="12"/>
      <c r="B335" s="18"/>
      <c r="C335" s="12"/>
      <c r="D335" s="12"/>
      <c r="E335" s="8"/>
      <c r="F335" s="8"/>
      <c r="G335" s="8"/>
      <c r="H335" s="19"/>
      <c r="I335" s="12"/>
      <c r="J335" s="13"/>
      <c r="K335" s="13"/>
      <c r="L335" s="112"/>
      <c r="M335" s="13"/>
      <c r="N335" s="112"/>
      <c r="O335" s="112"/>
      <c r="P335" s="29"/>
      <c r="Q335" s="8"/>
    </row>
    <row r="336" spans="1:17" x14ac:dyDescent="0.25">
      <c r="A336" s="12"/>
      <c r="B336" s="18"/>
      <c r="C336" s="12"/>
      <c r="D336" s="12"/>
      <c r="E336" s="8"/>
      <c r="F336" s="8"/>
      <c r="G336" s="8"/>
      <c r="H336" s="19"/>
      <c r="I336" s="12"/>
      <c r="J336" s="13"/>
      <c r="K336" s="13"/>
      <c r="L336" s="112"/>
      <c r="M336" s="13"/>
      <c r="N336" s="112"/>
      <c r="O336" s="112"/>
      <c r="P336" s="29"/>
      <c r="Q336" s="8"/>
    </row>
    <row r="337" spans="1:17" x14ac:dyDescent="0.25">
      <c r="A337" s="12"/>
      <c r="B337" s="18"/>
      <c r="C337" s="12"/>
      <c r="D337" s="12"/>
      <c r="E337" s="8"/>
      <c r="F337" s="8"/>
      <c r="G337" s="8"/>
      <c r="H337" s="19"/>
      <c r="I337" s="12"/>
      <c r="J337" s="13"/>
      <c r="K337" s="13"/>
      <c r="L337" s="112"/>
      <c r="M337" s="13"/>
      <c r="N337" s="112"/>
      <c r="O337" s="112"/>
      <c r="P337" s="29"/>
      <c r="Q337" s="8"/>
    </row>
    <row r="338" spans="1:17" x14ac:dyDescent="0.25">
      <c r="A338" s="12"/>
      <c r="B338" s="18"/>
      <c r="C338" s="12"/>
      <c r="D338" s="12"/>
      <c r="E338" s="8"/>
      <c r="F338" s="8"/>
      <c r="G338" s="8"/>
      <c r="H338" s="19"/>
      <c r="I338" s="12"/>
      <c r="J338" s="13"/>
      <c r="K338" s="13"/>
      <c r="L338" s="112"/>
      <c r="M338" s="13"/>
      <c r="N338" s="112"/>
      <c r="O338" s="112"/>
      <c r="P338" s="29"/>
      <c r="Q338" s="8"/>
    </row>
    <row r="339" spans="1:17" x14ac:dyDescent="0.25">
      <c r="A339" s="12"/>
      <c r="B339" s="18"/>
      <c r="C339" s="12"/>
      <c r="D339" s="12"/>
      <c r="E339" s="8"/>
      <c r="F339" s="8"/>
      <c r="G339" s="8"/>
      <c r="H339" s="19"/>
      <c r="I339" s="12"/>
      <c r="J339" s="13"/>
      <c r="K339" s="13"/>
      <c r="L339" s="112"/>
      <c r="M339" s="13"/>
      <c r="N339" s="112"/>
      <c r="O339" s="112"/>
      <c r="P339" s="29"/>
      <c r="Q339" s="8"/>
    </row>
    <row r="340" spans="1:17" x14ac:dyDescent="0.25">
      <c r="A340" s="12"/>
      <c r="B340" s="18"/>
      <c r="C340" s="12"/>
      <c r="D340" s="12"/>
      <c r="E340" s="8"/>
      <c r="F340" s="8"/>
      <c r="G340" s="8"/>
      <c r="H340" s="19"/>
      <c r="I340" s="12"/>
      <c r="J340" s="13"/>
      <c r="K340" s="13"/>
      <c r="L340" s="112"/>
      <c r="M340" s="13"/>
      <c r="N340" s="112"/>
      <c r="O340" s="112"/>
      <c r="P340" s="29"/>
      <c r="Q340" s="8"/>
    </row>
    <row r="341" spans="1:17" x14ac:dyDescent="0.25">
      <c r="A341" s="12"/>
      <c r="B341" s="18"/>
      <c r="C341" s="12"/>
      <c r="D341" s="12"/>
      <c r="E341" s="8"/>
      <c r="F341" s="8"/>
      <c r="G341" s="8"/>
      <c r="H341" s="19"/>
      <c r="I341" s="12"/>
      <c r="J341" s="13"/>
      <c r="K341" s="13"/>
      <c r="L341" s="112"/>
      <c r="M341" s="13"/>
      <c r="N341" s="112"/>
      <c r="O341" s="112"/>
      <c r="P341" s="29"/>
      <c r="Q341" s="8"/>
    </row>
    <row r="342" spans="1:17" x14ac:dyDescent="0.25">
      <c r="A342" s="12"/>
      <c r="B342" s="18"/>
      <c r="C342" s="12"/>
      <c r="D342" s="12"/>
      <c r="E342" s="8"/>
      <c r="F342" s="8"/>
      <c r="G342" s="8"/>
      <c r="H342" s="19"/>
      <c r="I342" s="12"/>
      <c r="J342" s="13"/>
      <c r="K342" s="13"/>
      <c r="L342" s="112"/>
      <c r="M342" s="13"/>
      <c r="N342" s="112"/>
      <c r="O342" s="112"/>
      <c r="P342" s="29"/>
      <c r="Q342" s="8"/>
    </row>
    <row r="343" spans="1:17" x14ac:dyDescent="0.25">
      <c r="A343" s="12"/>
      <c r="B343" s="18"/>
      <c r="C343" s="12"/>
      <c r="D343" s="12"/>
      <c r="E343" s="8"/>
      <c r="F343" s="8"/>
      <c r="G343" s="8"/>
      <c r="H343" s="19"/>
      <c r="I343" s="12"/>
      <c r="J343" s="13"/>
      <c r="K343" s="13"/>
      <c r="L343" s="112"/>
      <c r="M343" s="13"/>
      <c r="N343" s="112"/>
      <c r="O343" s="112"/>
      <c r="P343" s="29"/>
      <c r="Q343" s="8"/>
    </row>
    <row r="344" spans="1:17" x14ac:dyDescent="0.25">
      <c r="A344" s="12"/>
      <c r="B344" s="18"/>
      <c r="C344" s="12"/>
      <c r="D344" s="12"/>
      <c r="E344" s="8"/>
      <c r="F344" s="8"/>
      <c r="G344" s="8"/>
      <c r="H344" s="19"/>
      <c r="I344" s="12"/>
      <c r="J344" s="13"/>
      <c r="K344" s="13"/>
      <c r="L344" s="112"/>
      <c r="M344" s="13"/>
      <c r="N344" s="112"/>
      <c r="O344" s="112"/>
      <c r="P344" s="29"/>
      <c r="Q344" s="8"/>
    </row>
    <row r="345" spans="1:17" x14ac:dyDescent="0.25">
      <c r="A345" s="12"/>
      <c r="B345" s="18"/>
      <c r="C345" s="12"/>
      <c r="D345" s="12"/>
      <c r="E345" s="8"/>
      <c r="F345" s="8"/>
      <c r="G345" s="8"/>
      <c r="H345" s="19"/>
      <c r="I345" s="12"/>
      <c r="J345" s="13"/>
      <c r="K345" s="13"/>
      <c r="L345" s="112"/>
      <c r="M345" s="13"/>
      <c r="N345" s="112"/>
      <c r="O345" s="112"/>
      <c r="P345" s="29"/>
      <c r="Q345" s="8"/>
    </row>
    <row r="346" spans="1:17" x14ac:dyDescent="0.25">
      <c r="A346" s="12"/>
      <c r="B346" s="18"/>
      <c r="C346" s="12"/>
      <c r="D346" s="12"/>
      <c r="E346" s="8"/>
      <c r="F346" s="8"/>
      <c r="G346" s="8"/>
      <c r="H346" s="19"/>
      <c r="I346" s="12"/>
      <c r="J346" s="13"/>
      <c r="K346" s="13"/>
      <c r="L346" s="112"/>
      <c r="M346" s="13"/>
      <c r="N346" s="112"/>
      <c r="O346" s="112"/>
      <c r="P346" s="29"/>
      <c r="Q346" s="8"/>
    </row>
    <row r="347" spans="1:17" x14ac:dyDescent="0.25">
      <c r="A347" s="12"/>
      <c r="B347" s="18"/>
      <c r="C347" s="12"/>
      <c r="D347" s="12"/>
      <c r="E347" s="8"/>
      <c r="F347" s="8"/>
      <c r="G347" s="8"/>
      <c r="H347" s="19"/>
      <c r="I347" s="12"/>
      <c r="J347" s="13"/>
      <c r="K347" s="13"/>
      <c r="L347" s="112"/>
      <c r="M347" s="13"/>
      <c r="N347" s="112"/>
      <c r="O347" s="112"/>
      <c r="P347" s="29"/>
      <c r="Q347" s="8"/>
    </row>
    <row r="348" spans="1:17" x14ac:dyDescent="0.25">
      <c r="A348" s="12"/>
      <c r="B348" s="18"/>
      <c r="C348" s="12"/>
      <c r="D348" s="12"/>
      <c r="E348" s="8"/>
      <c r="F348" s="8"/>
      <c r="G348" s="8"/>
      <c r="H348" s="19"/>
      <c r="I348" s="12"/>
      <c r="J348" s="13"/>
      <c r="K348" s="13"/>
      <c r="L348" s="112"/>
      <c r="M348" s="13"/>
      <c r="N348" s="112"/>
      <c r="O348" s="112"/>
      <c r="P348" s="29"/>
      <c r="Q348" s="8"/>
    </row>
    <row r="349" spans="1:17" x14ac:dyDescent="0.25">
      <c r="A349" s="12"/>
      <c r="B349" s="18"/>
      <c r="C349" s="12"/>
      <c r="D349" s="12"/>
      <c r="E349" s="8"/>
      <c r="F349" s="8"/>
      <c r="G349" s="8"/>
      <c r="H349" s="19"/>
      <c r="I349" s="12"/>
      <c r="J349" s="13"/>
      <c r="K349" s="13"/>
      <c r="L349" s="112"/>
      <c r="M349" s="13"/>
      <c r="N349" s="112"/>
      <c r="O349" s="112"/>
      <c r="P349" s="29"/>
      <c r="Q349" s="8"/>
    </row>
    <row r="350" spans="1:17" x14ac:dyDescent="0.25">
      <c r="A350" s="12"/>
      <c r="B350" s="18"/>
      <c r="C350" s="12"/>
      <c r="D350" s="12"/>
      <c r="E350" s="8"/>
      <c r="F350" s="8"/>
      <c r="G350" s="8"/>
      <c r="H350" s="19"/>
      <c r="I350" s="12"/>
      <c r="J350" s="13"/>
      <c r="K350" s="13"/>
      <c r="L350" s="112"/>
      <c r="M350" s="13"/>
      <c r="N350" s="112"/>
      <c r="O350" s="112"/>
      <c r="P350" s="29"/>
      <c r="Q350" s="8"/>
    </row>
    <row r="351" spans="1:17" x14ac:dyDescent="0.25">
      <c r="A351" s="12"/>
      <c r="B351" s="18"/>
      <c r="C351" s="12"/>
      <c r="D351" s="12"/>
      <c r="E351" s="8"/>
      <c r="F351" s="8"/>
      <c r="G351" s="8"/>
      <c r="H351" s="19"/>
      <c r="I351" s="12"/>
      <c r="J351" s="13"/>
      <c r="K351" s="13"/>
      <c r="L351" s="112"/>
      <c r="M351" s="13"/>
      <c r="N351" s="112"/>
      <c r="O351" s="112"/>
      <c r="P351" s="29"/>
      <c r="Q351" s="8"/>
    </row>
    <row r="352" spans="1:17" x14ac:dyDescent="0.25">
      <c r="A352" s="12"/>
      <c r="B352" s="18"/>
      <c r="C352" s="12"/>
      <c r="D352" s="12"/>
      <c r="E352" s="8"/>
      <c r="F352" s="8"/>
      <c r="G352" s="8"/>
      <c r="H352" s="19"/>
      <c r="I352" s="12"/>
      <c r="J352" s="13"/>
      <c r="K352" s="13"/>
      <c r="L352" s="112"/>
      <c r="M352" s="13"/>
      <c r="N352" s="112"/>
      <c r="O352" s="112"/>
      <c r="P352" s="29"/>
      <c r="Q352" s="8"/>
    </row>
    <row r="353" spans="1:17" x14ac:dyDescent="0.25">
      <c r="A353" s="12"/>
      <c r="B353" s="18"/>
      <c r="C353" s="12"/>
      <c r="D353" s="12"/>
      <c r="E353" s="8"/>
      <c r="F353" s="8"/>
      <c r="G353" s="8"/>
      <c r="H353" s="19"/>
      <c r="I353" s="12"/>
      <c r="J353" s="13"/>
      <c r="K353" s="13"/>
      <c r="L353" s="112"/>
      <c r="M353" s="13"/>
      <c r="N353" s="112"/>
      <c r="O353" s="112"/>
      <c r="P353" s="29"/>
      <c r="Q353" s="8"/>
    </row>
    <row r="354" spans="1:17" x14ac:dyDescent="0.25">
      <c r="A354" s="12"/>
      <c r="B354" s="18"/>
      <c r="C354" s="12"/>
      <c r="D354" s="12"/>
      <c r="E354" s="8"/>
      <c r="F354" s="8"/>
      <c r="G354" s="8"/>
      <c r="H354" s="19"/>
      <c r="I354" s="12"/>
      <c r="J354" s="13"/>
      <c r="K354" s="13"/>
      <c r="L354" s="112"/>
      <c r="M354" s="13"/>
      <c r="N354" s="112"/>
      <c r="O354" s="112"/>
      <c r="P354" s="29"/>
      <c r="Q354" s="8"/>
    </row>
    <row r="355" spans="1:17" x14ac:dyDescent="0.25">
      <c r="A355" s="12"/>
      <c r="B355" s="18"/>
      <c r="C355" s="12"/>
      <c r="D355" s="12"/>
      <c r="E355" s="8"/>
      <c r="F355" s="8"/>
      <c r="G355" s="8"/>
      <c r="H355" s="19"/>
      <c r="I355" s="12"/>
      <c r="J355" s="13"/>
      <c r="K355" s="13"/>
      <c r="L355" s="112"/>
      <c r="M355" s="13"/>
      <c r="N355" s="112"/>
      <c r="O355" s="112"/>
      <c r="P355" s="29"/>
      <c r="Q355" s="8"/>
    </row>
    <row r="356" spans="1:17" x14ac:dyDescent="0.25">
      <c r="A356" s="12"/>
      <c r="B356" s="18"/>
      <c r="C356" s="12"/>
      <c r="D356" s="12"/>
      <c r="E356" s="8"/>
      <c r="F356" s="8"/>
      <c r="G356" s="8"/>
      <c r="H356" s="19"/>
      <c r="I356" s="12"/>
      <c r="J356" s="13"/>
      <c r="K356" s="13"/>
      <c r="L356" s="112"/>
      <c r="M356" s="13"/>
      <c r="N356" s="112"/>
      <c r="O356" s="112"/>
      <c r="P356" s="29"/>
      <c r="Q356" s="8"/>
    </row>
    <row r="357" spans="1:17" x14ac:dyDescent="0.25">
      <c r="A357" s="12"/>
      <c r="B357" s="18"/>
      <c r="C357" s="12"/>
      <c r="D357" s="12"/>
      <c r="E357" s="8"/>
      <c r="F357" s="8"/>
      <c r="G357" s="8"/>
      <c r="H357" s="19"/>
      <c r="I357" s="12"/>
      <c r="J357" s="13"/>
      <c r="K357" s="13"/>
      <c r="L357" s="112"/>
      <c r="M357" s="13"/>
      <c r="N357" s="112"/>
      <c r="O357" s="112"/>
      <c r="P357" s="29"/>
      <c r="Q357" s="8"/>
    </row>
    <row r="358" spans="1:17" x14ac:dyDescent="0.25">
      <c r="A358" s="12"/>
      <c r="B358" s="18"/>
      <c r="C358" s="12"/>
      <c r="D358" s="12"/>
      <c r="E358" s="8"/>
      <c r="F358" s="8"/>
      <c r="G358" s="8"/>
      <c r="H358" s="19"/>
      <c r="I358" s="12"/>
      <c r="J358" s="13"/>
      <c r="K358" s="13"/>
      <c r="L358" s="112"/>
      <c r="M358" s="13"/>
      <c r="N358" s="112"/>
      <c r="O358" s="112"/>
      <c r="P358" s="29"/>
      <c r="Q358" s="8"/>
    </row>
    <row r="359" spans="1:17" x14ac:dyDescent="0.25">
      <c r="A359" s="12"/>
      <c r="B359" s="18"/>
      <c r="C359" s="12"/>
      <c r="D359" s="12"/>
      <c r="E359" s="8"/>
      <c r="F359" s="8"/>
      <c r="G359" s="8"/>
      <c r="H359" s="19"/>
      <c r="I359" s="12"/>
      <c r="J359" s="13"/>
      <c r="K359" s="13"/>
      <c r="L359" s="112"/>
      <c r="M359" s="13"/>
      <c r="N359" s="112"/>
      <c r="O359" s="112"/>
      <c r="P359" s="29"/>
      <c r="Q359" s="8"/>
    </row>
    <row r="360" spans="1:17" x14ac:dyDescent="0.25">
      <c r="A360" s="12"/>
      <c r="B360" s="18"/>
      <c r="C360" s="12"/>
      <c r="D360" s="12"/>
      <c r="E360" s="8"/>
      <c r="F360" s="8"/>
      <c r="G360" s="8"/>
      <c r="H360" s="19"/>
      <c r="I360" s="12"/>
      <c r="J360" s="13"/>
      <c r="K360" s="13"/>
      <c r="L360" s="112"/>
      <c r="M360" s="13"/>
      <c r="N360" s="112"/>
      <c r="O360" s="112"/>
      <c r="P360" s="29"/>
      <c r="Q360" s="8"/>
    </row>
    <row r="361" spans="1:17" x14ac:dyDescent="0.25">
      <c r="A361" s="12"/>
      <c r="B361" s="18"/>
      <c r="C361" s="12"/>
      <c r="D361" s="12"/>
      <c r="E361" s="8"/>
      <c r="F361" s="8"/>
      <c r="G361" s="8"/>
      <c r="H361" s="19"/>
      <c r="I361" s="12"/>
      <c r="J361" s="13"/>
      <c r="K361" s="13"/>
      <c r="L361" s="112"/>
      <c r="M361" s="13"/>
      <c r="N361" s="112"/>
      <c r="O361" s="112"/>
      <c r="P361" s="29"/>
      <c r="Q361" s="8"/>
    </row>
    <row r="362" spans="1:17" x14ac:dyDescent="0.25">
      <c r="A362" s="12"/>
      <c r="B362" s="18"/>
      <c r="C362" s="12"/>
      <c r="D362" s="12"/>
      <c r="E362" s="8"/>
      <c r="F362" s="8"/>
      <c r="G362" s="8"/>
      <c r="H362" s="19"/>
      <c r="I362" s="12"/>
      <c r="J362" s="13"/>
      <c r="K362" s="13"/>
      <c r="L362" s="112"/>
      <c r="M362" s="13"/>
      <c r="N362" s="112"/>
      <c r="O362" s="112"/>
      <c r="P362" s="29"/>
      <c r="Q362" s="8"/>
    </row>
    <row r="363" spans="1:17" x14ac:dyDescent="0.25">
      <c r="A363" s="12"/>
      <c r="B363" s="18"/>
      <c r="C363" s="12"/>
      <c r="D363" s="12"/>
      <c r="E363" s="8"/>
      <c r="F363" s="8"/>
      <c r="G363" s="8"/>
      <c r="H363" s="19"/>
      <c r="I363" s="12"/>
      <c r="J363" s="13"/>
      <c r="K363" s="13"/>
      <c r="L363" s="112"/>
      <c r="M363" s="13"/>
      <c r="N363" s="112"/>
      <c r="O363" s="112"/>
      <c r="P363" s="29"/>
      <c r="Q363" s="8"/>
    </row>
    <row r="364" spans="1:17" x14ac:dyDescent="0.25">
      <c r="A364" s="12"/>
      <c r="B364" s="18"/>
      <c r="C364" s="12"/>
      <c r="D364" s="12"/>
      <c r="E364" s="8"/>
      <c r="F364" s="8"/>
      <c r="G364" s="8"/>
      <c r="H364" s="19"/>
      <c r="I364" s="12"/>
      <c r="J364" s="13"/>
      <c r="K364" s="13"/>
      <c r="L364" s="112"/>
      <c r="M364" s="13"/>
      <c r="N364" s="112"/>
      <c r="O364" s="112"/>
      <c r="P364" s="29"/>
      <c r="Q364" s="8"/>
    </row>
    <row r="365" spans="1:17" x14ac:dyDescent="0.25">
      <c r="A365" s="12"/>
      <c r="B365" s="18"/>
      <c r="C365" s="12"/>
      <c r="D365" s="12"/>
      <c r="E365" s="8"/>
      <c r="F365" s="8"/>
      <c r="G365" s="8"/>
      <c r="H365" s="19"/>
      <c r="I365" s="12"/>
      <c r="J365" s="13"/>
      <c r="K365" s="13"/>
      <c r="L365" s="112"/>
      <c r="M365" s="13"/>
      <c r="N365" s="112"/>
      <c r="O365" s="112"/>
      <c r="P365" s="29"/>
      <c r="Q365" s="8"/>
    </row>
    <row r="366" spans="1:17" x14ac:dyDescent="0.25">
      <c r="A366" s="12"/>
      <c r="B366" s="18"/>
      <c r="C366" s="12"/>
      <c r="D366" s="12"/>
      <c r="E366" s="8"/>
      <c r="F366" s="8"/>
      <c r="G366" s="8"/>
      <c r="H366" s="19"/>
      <c r="I366" s="12"/>
      <c r="J366" s="13"/>
      <c r="K366" s="13"/>
      <c r="L366" s="112"/>
      <c r="M366" s="13"/>
      <c r="N366" s="112"/>
      <c r="O366" s="112"/>
      <c r="P366" s="29"/>
      <c r="Q366" s="8"/>
    </row>
    <row r="367" spans="1:17" x14ac:dyDescent="0.25">
      <c r="A367" s="12"/>
      <c r="B367" s="18"/>
      <c r="C367" s="12"/>
      <c r="D367" s="12"/>
      <c r="E367" s="8"/>
      <c r="F367" s="8"/>
      <c r="G367" s="8"/>
      <c r="H367" s="19"/>
      <c r="I367" s="12"/>
      <c r="J367" s="13"/>
      <c r="K367" s="13"/>
      <c r="L367" s="112"/>
      <c r="M367" s="13"/>
      <c r="N367" s="112"/>
      <c r="O367" s="112"/>
      <c r="P367" s="29"/>
      <c r="Q367" s="8"/>
    </row>
    <row r="368" spans="1:17" x14ac:dyDescent="0.25">
      <c r="A368" s="12"/>
      <c r="B368" s="18"/>
      <c r="C368" s="12"/>
      <c r="D368" s="12"/>
      <c r="E368" s="8"/>
      <c r="F368" s="8"/>
      <c r="G368" s="8"/>
      <c r="H368" s="19"/>
      <c r="I368" s="12"/>
      <c r="J368" s="13"/>
      <c r="K368" s="13"/>
      <c r="L368" s="112"/>
      <c r="M368" s="13"/>
      <c r="N368" s="112"/>
      <c r="O368" s="112"/>
      <c r="P368" s="29"/>
      <c r="Q368" s="8"/>
    </row>
    <row r="369" spans="1:17" x14ac:dyDescent="0.25">
      <c r="A369" s="12"/>
      <c r="B369" s="18"/>
      <c r="C369" s="12"/>
      <c r="D369" s="12"/>
      <c r="E369" s="8"/>
      <c r="F369" s="8"/>
      <c r="G369" s="8"/>
      <c r="H369" s="19"/>
      <c r="I369" s="12"/>
      <c r="J369" s="13"/>
      <c r="K369" s="13"/>
      <c r="L369" s="112"/>
      <c r="M369" s="13"/>
      <c r="N369" s="112"/>
      <c r="O369" s="112"/>
      <c r="P369" s="29"/>
      <c r="Q369" s="8"/>
    </row>
    <row r="370" spans="1:17" x14ac:dyDescent="0.25">
      <c r="A370" s="12"/>
      <c r="B370" s="18"/>
      <c r="C370" s="12"/>
      <c r="D370" s="12"/>
      <c r="E370" s="8"/>
      <c r="F370" s="8"/>
      <c r="G370" s="8"/>
      <c r="H370" s="19"/>
      <c r="I370" s="12"/>
      <c r="J370" s="13"/>
      <c r="K370" s="13"/>
      <c r="L370" s="112"/>
      <c r="M370" s="13"/>
      <c r="N370" s="112"/>
      <c r="O370" s="112"/>
      <c r="P370" s="29"/>
      <c r="Q370" s="8"/>
    </row>
    <row r="371" spans="1:17" x14ac:dyDescent="0.25">
      <c r="A371" s="12"/>
      <c r="B371" s="18"/>
      <c r="C371" s="12"/>
      <c r="D371" s="12"/>
      <c r="E371" s="8"/>
      <c r="F371" s="8"/>
      <c r="G371" s="8"/>
      <c r="H371" s="19"/>
      <c r="I371" s="12"/>
      <c r="J371" s="13"/>
      <c r="K371" s="13"/>
      <c r="L371" s="112"/>
      <c r="M371" s="13"/>
      <c r="N371" s="112"/>
      <c r="O371" s="112"/>
      <c r="P371" s="29"/>
      <c r="Q371" s="8"/>
    </row>
    <row r="372" spans="1:17" x14ac:dyDescent="0.25">
      <c r="A372" s="12"/>
      <c r="B372" s="18"/>
      <c r="C372" s="12"/>
      <c r="D372" s="12"/>
      <c r="E372" s="8"/>
      <c r="F372" s="8"/>
      <c r="G372" s="8"/>
      <c r="H372" s="19"/>
      <c r="I372" s="12"/>
      <c r="J372" s="13"/>
      <c r="K372" s="13"/>
      <c r="L372" s="112"/>
      <c r="M372" s="13"/>
      <c r="N372" s="112"/>
      <c r="O372" s="112"/>
      <c r="P372" s="29"/>
      <c r="Q372" s="8"/>
    </row>
    <row r="373" spans="1:17" x14ac:dyDescent="0.25">
      <c r="A373" s="12"/>
      <c r="B373" s="18"/>
      <c r="C373" s="12"/>
      <c r="D373" s="12"/>
      <c r="E373" s="8"/>
      <c r="F373" s="8"/>
      <c r="G373" s="8"/>
      <c r="H373" s="19"/>
      <c r="I373" s="12"/>
      <c r="J373" s="13"/>
      <c r="K373" s="13"/>
      <c r="L373" s="112"/>
      <c r="M373" s="13"/>
      <c r="N373" s="112"/>
      <c r="O373" s="112"/>
      <c r="P373" s="29"/>
      <c r="Q373" s="8"/>
    </row>
    <row r="374" spans="1:17" x14ac:dyDescent="0.25">
      <c r="A374" s="12"/>
      <c r="B374" s="18"/>
      <c r="C374" s="12"/>
      <c r="D374" s="12"/>
      <c r="E374" s="8"/>
      <c r="F374" s="8"/>
      <c r="G374" s="8"/>
      <c r="H374" s="19"/>
      <c r="I374" s="12"/>
      <c r="J374" s="13"/>
      <c r="K374" s="13"/>
      <c r="L374" s="112"/>
      <c r="M374" s="13"/>
      <c r="N374" s="112"/>
      <c r="O374" s="112"/>
      <c r="P374" s="29"/>
      <c r="Q374" s="8"/>
    </row>
    <row r="375" spans="1:17" x14ac:dyDescent="0.25">
      <c r="A375" s="12"/>
      <c r="B375" s="18"/>
      <c r="C375" s="12"/>
      <c r="D375" s="12"/>
      <c r="E375" s="8"/>
      <c r="F375" s="8"/>
      <c r="G375" s="8"/>
      <c r="H375" s="19"/>
      <c r="I375" s="12"/>
      <c r="J375" s="13"/>
      <c r="K375" s="13"/>
      <c r="L375" s="112"/>
      <c r="M375" s="13"/>
      <c r="N375" s="112"/>
      <c r="O375" s="112"/>
      <c r="P375" s="29"/>
      <c r="Q375" s="8"/>
    </row>
    <row r="376" spans="1:17" x14ac:dyDescent="0.25">
      <c r="A376" s="12"/>
      <c r="B376" s="18"/>
      <c r="C376" s="12"/>
      <c r="D376" s="12"/>
      <c r="E376" s="8"/>
      <c r="F376" s="8"/>
      <c r="G376" s="8"/>
      <c r="H376" s="19"/>
      <c r="I376" s="12"/>
      <c r="J376" s="13"/>
      <c r="K376" s="13"/>
      <c r="L376" s="112"/>
      <c r="M376" s="13"/>
      <c r="N376" s="112"/>
      <c r="O376" s="112"/>
      <c r="P376" s="29"/>
      <c r="Q376" s="8"/>
    </row>
    <row r="377" spans="1:17" x14ac:dyDescent="0.25">
      <c r="A377" s="12"/>
      <c r="B377" s="18"/>
      <c r="C377" s="12"/>
      <c r="D377" s="12"/>
      <c r="E377" s="8"/>
      <c r="F377" s="8"/>
      <c r="G377" s="8"/>
      <c r="H377" s="19"/>
      <c r="I377" s="12"/>
      <c r="J377" s="13"/>
      <c r="K377" s="13"/>
      <c r="L377" s="112"/>
      <c r="M377" s="13"/>
      <c r="N377" s="112"/>
      <c r="O377" s="112"/>
      <c r="P377" s="29"/>
      <c r="Q377" s="8"/>
    </row>
    <row r="378" spans="1:17" x14ac:dyDescent="0.25">
      <c r="A378" s="12"/>
      <c r="B378" s="18"/>
      <c r="C378" s="12"/>
      <c r="D378" s="12"/>
      <c r="E378" s="8"/>
      <c r="F378" s="8"/>
      <c r="G378" s="8"/>
      <c r="H378" s="19"/>
      <c r="I378" s="12"/>
      <c r="J378" s="13"/>
      <c r="K378" s="13"/>
      <c r="L378" s="112"/>
      <c r="M378" s="13"/>
      <c r="N378" s="112"/>
      <c r="O378" s="112"/>
      <c r="P378" s="29"/>
      <c r="Q378" s="8"/>
    </row>
    <row r="379" spans="1:17" x14ac:dyDescent="0.25">
      <c r="A379" s="12"/>
      <c r="B379" s="18"/>
      <c r="C379" s="12"/>
      <c r="D379" s="12"/>
      <c r="E379" s="8"/>
      <c r="F379" s="8"/>
      <c r="G379" s="8"/>
      <c r="H379" s="19"/>
      <c r="I379" s="12"/>
      <c r="J379" s="13"/>
      <c r="K379" s="13"/>
      <c r="L379" s="112"/>
      <c r="M379" s="13"/>
      <c r="N379" s="112"/>
      <c r="O379" s="112"/>
      <c r="P379" s="29"/>
      <c r="Q379" s="8"/>
    </row>
    <row r="380" spans="1:17" x14ac:dyDescent="0.25">
      <c r="A380" s="12"/>
      <c r="B380" s="18"/>
      <c r="C380" s="12"/>
      <c r="D380" s="12"/>
      <c r="E380" s="8"/>
      <c r="F380" s="8"/>
      <c r="G380" s="8"/>
      <c r="H380" s="19"/>
      <c r="I380" s="12"/>
      <c r="J380" s="13"/>
      <c r="K380" s="13"/>
      <c r="L380" s="112"/>
      <c r="M380" s="13"/>
      <c r="N380" s="112"/>
      <c r="O380" s="112"/>
      <c r="P380" s="29"/>
      <c r="Q380" s="8"/>
    </row>
    <row r="381" spans="1:17" x14ac:dyDescent="0.25">
      <c r="A381" s="12"/>
      <c r="B381" s="18"/>
      <c r="C381" s="12"/>
      <c r="D381" s="12"/>
      <c r="E381" s="8"/>
      <c r="F381" s="8"/>
      <c r="G381" s="8"/>
      <c r="H381" s="19"/>
      <c r="I381" s="12"/>
      <c r="J381" s="13"/>
      <c r="K381" s="13"/>
      <c r="L381" s="112"/>
      <c r="M381" s="13"/>
      <c r="N381" s="112"/>
      <c r="O381" s="112"/>
      <c r="P381" s="29"/>
      <c r="Q381" s="8"/>
    </row>
    <row r="382" spans="1:17" x14ac:dyDescent="0.25">
      <c r="A382" s="12"/>
      <c r="B382" s="18"/>
      <c r="C382" s="12"/>
      <c r="D382" s="12"/>
      <c r="E382" s="8"/>
      <c r="F382" s="8"/>
      <c r="G382" s="8"/>
      <c r="H382" s="19"/>
      <c r="I382" s="12"/>
      <c r="J382" s="13"/>
      <c r="K382" s="13"/>
      <c r="L382" s="112"/>
      <c r="M382" s="13"/>
      <c r="N382" s="112"/>
      <c r="O382" s="112"/>
      <c r="P382" s="29"/>
      <c r="Q382" s="8"/>
    </row>
    <row r="383" spans="1:17" x14ac:dyDescent="0.25">
      <c r="A383" s="12"/>
      <c r="B383" s="18"/>
      <c r="C383" s="12"/>
      <c r="D383" s="12"/>
      <c r="E383" s="8"/>
      <c r="F383" s="8"/>
      <c r="G383" s="8"/>
      <c r="H383" s="19"/>
      <c r="I383" s="12"/>
      <c r="J383" s="13"/>
      <c r="K383" s="13"/>
      <c r="L383" s="112"/>
      <c r="M383" s="13"/>
      <c r="N383" s="112"/>
      <c r="O383" s="112"/>
      <c r="P383" s="29"/>
      <c r="Q383" s="8"/>
    </row>
    <row r="384" spans="1:17" x14ac:dyDescent="0.25">
      <c r="A384" s="12"/>
      <c r="B384" s="18"/>
      <c r="C384" s="12"/>
      <c r="D384" s="12"/>
      <c r="E384" s="8"/>
      <c r="F384" s="8"/>
      <c r="G384" s="8"/>
      <c r="H384" s="19"/>
      <c r="I384" s="12"/>
      <c r="J384" s="13"/>
      <c r="K384" s="13"/>
      <c r="L384" s="112"/>
      <c r="M384" s="13"/>
      <c r="N384" s="112"/>
      <c r="O384" s="112"/>
      <c r="P384" s="29"/>
      <c r="Q384" s="8"/>
    </row>
    <row r="385" spans="1:17" x14ac:dyDescent="0.25">
      <c r="A385" s="12"/>
      <c r="B385" s="18"/>
      <c r="C385" s="12"/>
      <c r="D385" s="12"/>
      <c r="E385" s="8"/>
      <c r="F385" s="8"/>
      <c r="G385" s="8"/>
      <c r="H385" s="19"/>
      <c r="I385" s="12"/>
      <c r="J385" s="13"/>
      <c r="K385" s="13"/>
      <c r="L385" s="112"/>
      <c r="M385" s="13"/>
      <c r="N385" s="112"/>
      <c r="O385" s="112"/>
      <c r="P385" s="29"/>
      <c r="Q385" s="8"/>
    </row>
    <row r="386" spans="1:17" x14ac:dyDescent="0.25">
      <c r="A386" s="12"/>
      <c r="B386" s="18"/>
      <c r="C386" s="12"/>
      <c r="D386" s="12"/>
      <c r="E386" s="8"/>
      <c r="F386" s="8"/>
      <c r="G386" s="8"/>
      <c r="H386" s="19"/>
      <c r="I386" s="12"/>
      <c r="J386" s="13"/>
      <c r="K386" s="13"/>
      <c r="L386" s="112"/>
      <c r="M386" s="13"/>
      <c r="N386" s="112"/>
      <c r="O386" s="112"/>
      <c r="P386" s="29"/>
      <c r="Q386" s="8"/>
    </row>
    <row r="387" spans="1:17" x14ac:dyDescent="0.25">
      <c r="A387" s="12"/>
      <c r="B387" s="18"/>
      <c r="C387" s="12"/>
      <c r="D387" s="12"/>
      <c r="E387" s="8"/>
      <c r="F387" s="8"/>
      <c r="G387" s="8"/>
      <c r="H387" s="19"/>
      <c r="I387" s="12"/>
      <c r="J387" s="13"/>
      <c r="K387" s="13"/>
      <c r="L387" s="112"/>
      <c r="M387" s="13"/>
      <c r="N387" s="112"/>
      <c r="O387" s="112"/>
      <c r="P387" s="29"/>
      <c r="Q387" s="8"/>
    </row>
    <row r="388" spans="1:17" x14ac:dyDescent="0.25">
      <c r="A388" s="12"/>
      <c r="B388" s="18"/>
      <c r="C388" s="12"/>
      <c r="D388" s="12"/>
      <c r="E388" s="8"/>
      <c r="F388" s="8"/>
      <c r="G388" s="8"/>
      <c r="H388" s="19"/>
      <c r="I388" s="12"/>
      <c r="J388" s="13"/>
      <c r="K388" s="13"/>
      <c r="L388" s="112"/>
      <c r="M388" s="13"/>
      <c r="N388" s="112"/>
      <c r="O388" s="112"/>
      <c r="P388" s="29"/>
      <c r="Q388" s="8"/>
    </row>
    <row r="389" spans="1:17" x14ac:dyDescent="0.25">
      <c r="A389" s="12"/>
      <c r="B389" s="18"/>
      <c r="C389" s="12"/>
      <c r="D389" s="12"/>
      <c r="E389" s="8"/>
      <c r="F389" s="8"/>
      <c r="G389" s="8"/>
      <c r="H389" s="19"/>
      <c r="I389" s="12"/>
      <c r="J389" s="13"/>
      <c r="K389" s="13"/>
      <c r="L389" s="112"/>
      <c r="M389" s="13"/>
      <c r="N389" s="112"/>
      <c r="O389" s="112"/>
      <c r="P389" s="29"/>
      <c r="Q389" s="8"/>
    </row>
    <row r="390" spans="1:17" x14ac:dyDescent="0.25">
      <c r="A390" s="12"/>
      <c r="B390" s="18"/>
      <c r="C390" s="12"/>
      <c r="D390" s="12"/>
      <c r="E390" s="8"/>
      <c r="F390" s="8"/>
      <c r="G390" s="8"/>
      <c r="H390" s="19"/>
      <c r="I390" s="12"/>
      <c r="J390" s="13"/>
      <c r="K390" s="13"/>
      <c r="L390" s="112"/>
      <c r="M390" s="13"/>
      <c r="N390" s="112"/>
      <c r="O390" s="112"/>
      <c r="P390" s="29"/>
      <c r="Q390" s="8"/>
    </row>
    <row r="391" spans="1:17" x14ac:dyDescent="0.25">
      <c r="A391" s="12"/>
      <c r="B391" s="18"/>
      <c r="C391" s="12"/>
      <c r="D391" s="12"/>
      <c r="E391" s="8"/>
      <c r="F391" s="8"/>
      <c r="G391" s="8"/>
      <c r="H391" s="19"/>
      <c r="I391" s="12"/>
      <c r="J391" s="13"/>
      <c r="K391" s="13"/>
      <c r="L391" s="112"/>
      <c r="M391" s="13"/>
      <c r="N391" s="112"/>
      <c r="O391" s="112"/>
      <c r="P391" s="29"/>
      <c r="Q391" s="8"/>
    </row>
    <row r="392" spans="1:17" x14ac:dyDescent="0.25">
      <c r="A392" s="12"/>
      <c r="B392" s="18"/>
      <c r="C392" s="12"/>
      <c r="D392" s="12"/>
      <c r="E392" s="8"/>
      <c r="F392" s="8"/>
      <c r="G392" s="8"/>
      <c r="H392" s="19"/>
      <c r="I392" s="12"/>
      <c r="J392" s="13"/>
      <c r="K392" s="13"/>
      <c r="L392" s="112"/>
      <c r="M392" s="13"/>
      <c r="N392" s="112"/>
      <c r="O392" s="112"/>
      <c r="P392" s="29"/>
      <c r="Q392" s="8"/>
    </row>
    <row r="393" spans="1:17" x14ac:dyDescent="0.25">
      <c r="A393" s="12"/>
      <c r="B393" s="18"/>
      <c r="C393" s="12"/>
      <c r="D393" s="12"/>
      <c r="E393" s="8"/>
      <c r="F393" s="8"/>
      <c r="G393" s="8"/>
      <c r="H393" s="19"/>
      <c r="I393" s="12"/>
      <c r="J393" s="13"/>
      <c r="K393" s="13"/>
      <c r="L393" s="112"/>
      <c r="M393" s="13"/>
      <c r="N393" s="112"/>
      <c r="O393" s="112"/>
      <c r="P393" s="29"/>
      <c r="Q393" s="8"/>
    </row>
    <row r="394" spans="1:17" x14ac:dyDescent="0.25">
      <c r="A394" s="12"/>
      <c r="B394" s="18"/>
      <c r="C394" s="12"/>
      <c r="D394" s="12"/>
      <c r="E394" s="8"/>
      <c r="F394" s="8"/>
      <c r="G394" s="8"/>
      <c r="H394" s="19"/>
      <c r="I394" s="12"/>
      <c r="J394" s="13"/>
      <c r="K394" s="13"/>
      <c r="L394" s="112"/>
      <c r="M394" s="13"/>
      <c r="N394" s="112"/>
      <c r="O394" s="112"/>
      <c r="P394" s="29"/>
      <c r="Q394" s="8"/>
    </row>
    <row r="395" spans="1:17" x14ac:dyDescent="0.25">
      <c r="A395" s="12"/>
      <c r="B395" s="18"/>
      <c r="C395" s="12"/>
      <c r="D395" s="12"/>
      <c r="E395" s="8"/>
      <c r="F395" s="8"/>
      <c r="G395" s="8"/>
      <c r="H395" s="19"/>
      <c r="I395" s="12"/>
      <c r="J395" s="13"/>
      <c r="K395" s="13"/>
      <c r="L395" s="112"/>
      <c r="M395" s="13"/>
      <c r="N395" s="112"/>
      <c r="O395" s="112"/>
      <c r="P395" s="29"/>
      <c r="Q395" s="8"/>
    </row>
    <row r="396" spans="1:17" x14ac:dyDescent="0.25">
      <c r="A396" s="12"/>
      <c r="B396" s="18"/>
      <c r="C396" s="12"/>
      <c r="D396" s="12"/>
      <c r="E396" s="8"/>
      <c r="F396" s="8"/>
      <c r="G396" s="8"/>
      <c r="H396" s="19"/>
      <c r="I396" s="12"/>
      <c r="J396" s="13"/>
      <c r="K396" s="13"/>
      <c r="L396" s="112"/>
      <c r="M396" s="13"/>
      <c r="N396" s="112"/>
      <c r="O396" s="112"/>
      <c r="P396" s="29"/>
      <c r="Q396" s="8"/>
    </row>
    <row r="397" spans="1:17" x14ac:dyDescent="0.25">
      <c r="A397" s="12"/>
      <c r="B397" s="18"/>
      <c r="C397" s="12"/>
      <c r="D397" s="12"/>
      <c r="E397" s="8"/>
      <c r="F397" s="8"/>
      <c r="G397" s="8"/>
      <c r="H397" s="19"/>
      <c r="I397" s="12"/>
      <c r="J397" s="13"/>
      <c r="K397" s="13"/>
      <c r="L397" s="112"/>
      <c r="M397" s="13"/>
      <c r="N397" s="112"/>
      <c r="O397" s="112"/>
      <c r="P397" s="29"/>
      <c r="Q397" s="8"/>
    </row>
    <row r="398" spans="1:17" x14ac:dyDescent="0.25">
      <c r="A398" s="12"/>
      <c r="B398" s="18"/>
      <c r="C398" s="12"/>
      <c r="D398" s="12"/>
      <c r="E398" s="8"/>
      <c r="F398" s="8"/>
      <c r="G398" s="8"/>
      <c r="H398" s="19"/>
      <c r="I398" s="12"/>
      <c r="J398" s="13"/>
      <c r="K398" s="13"/>
      <c r="L398" s="112"/>
      <c r="M398" s="13"/>
      <c r="N398" s="112"/>
      <c r="O398" s="112"/>
      <c r="P398" s="29"/>
      <c r="Q398" s="8"/>
    </row>
    <row r="399" spans="1:17" x14ac:dyDescent="0.25">
      <c r="A399" s="12"/>
      <c r="B399" s="18"/>
      <c r="C399" s="12"/>
      <c r="D399" s="12"/>
      <c r="E399" s="8"/>
      <c r="F399" s="8"/>
      <c r="G399" s="8"/>
      <c r="H399" s="19"/>
      <c r="I399" s="12"/>
      <c r="J399" s="13"/>
      <c r="K399" s="13"/>
      <c r="L399" s="112"/>
      <c r="M399" s="13"/>
      <c r="N399" s="112"/>
      <c r="O399" s="112"/>
      <c r="P399" s="29"/>
      <c r="Q399" s="8"/>
    </row>
    <row r="400" spans="1:17" x14ac:dyDescent="0.25">
      <c r="A400" s="12"/>
      <c r="B400" s="18"/>
      <c r="C400" s="12"/>
      <c r="D400" s="12"/>
      <c r="E400" s="8"/>
      <c r="F400" s="8"/>
      <c r="G400" s="8"/>
      <c r="H400" s="19"/>
      <c r="I400" s="12"/>
      <c r="J400" s="13"/>
      <c r="K400" s="13"/>
      <c r="L400" s="112"/>
      <c r="M400" s="13"/>
      <c r="N400" s="112"/>
      <c r="O400" s="112"/>
      <c r="P400" s="29"/>
      <c r="Q400" s="8"/>
    </row>
    <row r="401" spans="1:17" x14ac:dyDescent="0.25">
      <c r="A401" s="12"/>
      <c r="B401" s="18"/>
      <c r="C401" s="12"/>
      <c r="D401" s="12"/>
      <c r="E401" s="8"/>
      <c r="F401" s="8"/>
      <c r="G401" s="8"/>
      <c r="H401" s="19"/>
      <c r="I401" s="12"/>
      <c r="J401" s="13"/>
      <c r="K401" s="13"/>
      <c r="L401" s="112"/>
      <c r="M401" s="13"/>
      <c r="N401" s="112"/>
      <c r="O401" s="112"/>
      <c r="P401" s="29"/>
      <c r="Q401" s="8"/>
    </row>
    <row r="402" spans="1:17" x14ac:dyDescent="0.25">
      <c r="A402" s="12"/>
      <c r="B402" s="18"/>
      <c r="C402" s="12"/>
      <c r="D402" s="12"/>
      <c r="E402" s="8"/>
      <c r="F402" s="8"/>
      <c r="G402" s="8"/>
      <c r="H402" s="19"/>
      <c r="I402" s="12"/>
      <c r="J402" s="13"/>
      <c r="K402" s="13"/>
      <c r="L402" s="112"/>
      <c r="M402" s="13"/>
      <c r="N402" s="112"/>
      <c r="O402" s="112"/>
      <c r="P402" s="29"/>
      <c r="Q402" s="8"/>
    </row>
    <row r="403" spans="1:17" x14ac:dyDescent="0.25">
      <c r="A403" s="12"/>
      <c r="B403" s="18"/>
      <c r="C403" s="12"/>
      <c r="D403" s="12"/>
      <c r="E403" s="8"/>
      <c r="F403" s="8"/>
      <c r="G403" s="8"/>
      <c r="H403" s="19"/>
      <c r="I403" s="12"/>
      <c r="J403" s="13"/>
      <c r="K403" s="13"/>
      <c r="L403" s="112"/>
      <c r="M403" s="13"/>
      <c r="N403" s="112"/>
      <c r="O403" s="112"/>
      <c r="P403" s="29"/>
      <c r="Q403" s="8"/>
    </row>
    <row r="404" spans="1:17" x14ac:dyDescent="0.25">
      <c r="A404" s="12"/>
      <c r="B404" s="18"/>
      <c r="C404" s="12"/>
      <c r="D404" s="12"/>
      <c r="E404" s="8"/>
      <c r="F404" s="8"/>
      <c r="G404" s="8"/>
      <c r="H404" s="19"/>
      <c r="I404" s="12"/>
      <c r="J404" s="13"/>
      <c r="K404" s="13"/>
      <c r="L404" s="112"/>
      <c r="M404" s="13"/>
      <c r="N404" s="112"/>
      <c r="O404" s="112"/>
      <c r="P404" s="29"/>
      <c r="Q404" s="8"/>
    </row>
    <row r="405" spans="1:17" x14ac:dyDescent="0.25">
      <c r="A405" s="12"/>
      <c r="B405" s="18"/>
      <c r="C405" s="12"/>
      <c r="D405" s="12"/>
      <c r="E405" s="8"/>
      <c r="F405" s="8"/>
      <c r="G405" s="8"/>
      <c r="H405" s="19"/>
      <c r="I405" s="12"/>
      <c r="J405" s="13"/>
      <c r="K405" s="13"/>
      <c r="L405" s="112"/>
      <c r="M405" s="13"/>
      <c r="N405" s="112"/>
      <c r="O405" s="112"/>
      <c r="P405" s="29"/>
      <c r="Q405" s="8"/>
    </row>
    <row r="406" spans="1:17" x14ac:dyDescent="0.25">
      <c r="A406" s="12"/>
      <c r="B406" s="18"/>
      <c r="C406" s="12"/>
      <c r="D406" s="12"/>
      <c r="E406" s="8"/>
      <c r="F406" s="8"/>
      <c r="G406" s="8"/>
      <c r="H406" s="19"/>
      <c r="I406" s="12"/>
      <c r="J406" s="13"/>
      <c r="K406" s="13"/>
      <c r="L406" s="112"/>
      <c r="M406" s="13"/>
      <c r="N406" s="112"/>
      <c r="O406" s="112"/>
      <c r="P406" s="29"/>
      <c r="Q406" s="8"/>
    </row>
    <row r="407" spans="1:17" x14ac:dyDescent="0.25">
      <c r="A407" s="12"/>
      <c r="B407" s="18"/>
      <c r="C407" s="12"/>
      <c r="D407" s="12"/>
      <c r="E407" s="8"/>
      <c r="F407" s="8"/>
      <c r="G407" s="8"/>
      <c r="H407" s="19"/>
      <c r="I407" s="12"/>
      <c r="J407" s="13"/>
      <c r="K407" s="13"/>
      <c r="L407" s="112"/>
      <c r="M407" s="13"/>
      <c r="N407" s="112"/>
      <c r="O407" s="112"/>
      <c r="P407" s="29"/>
      <c r="Q407" s="8"/>
    </row>
    <row r="408" spans="1:17" x14ac:dyDescent="0.25">
      <c r="A408" s="12"/>
      <c r="B408" s="18"/>
      <c r="C408" s="12"/>
      <c r="D408" s="12"/>
      <c r="E408" s="8"/>
      <c r="F408" s="8"/>
      <c r="G408" s="8"/>
      <c r="H408" s="19"/>
      <c r="I408" s="12"/>
      <c r="J408" s="13"/>
      <c r="K408" s="13"/>
      <c r="L408" s="112"/>
      <c r="M408" s="13"/>
      <c r="N408" s="112"/>
      <c r="O408" s="112"/>
      <c r="P408" s="29"/>
      <c r="Q408" s="8"/>
    </row>
    <row r="409" spans="1:17" x14ac:dyDescent="0.25">
      <c r="A409" s="12"/>
      <c r="B409" s="18"/>
      <c r="C409" s="12"/>
      <c r="D409" s="12"/>
      <c r="E409" s="8"/>
      <c r="F409" s="8"/>
      <c r="G409" s="8"/>
      <c r="H409" s="19"/>
      <c r="I409" s="12"/>
      <c r="J409" s="13"/>
      <c r="K409" s="13"/>
      <c r="L409" s="112"/>
      <c r="M409" s="13"/>
      <c r="N409" s="112"/>
      <c r="O409" s="112"/>
      <c r="P409" s="29"/>
      <c r="Q409" s="8"/>
    </row>
    <row r="410" spans="1:17" x14ac:dyDescent="0.25">
      <c r="A410" s="12"/>
      <c r="B410" s="18"/>
      <c r="C410" s="12"/>
      <c r="D410" s="12"/>
      <c r="E410" s="8"/>
      <c r="F410" s="8"/>
      <c r="G410" s="8"/>
      <c r="H410" s="19"/>
      <c r="I410" s="12"/>
      <c r="J410" s="13"/>
      <c r="K410" s="13"/>
      <c r="L410" s="112"/>
      <c r="M410" s="13"/>
      <c r="N410" s="112"/>
      <c r="O410" s="112"/>
      <c r="P410" s="29"/>
      <c r="Q410" s="8"/>
    </row>
    <row r="411" spans="1:17" x14ac:dyDescent="0.25">
      <c r="A411" s="12"/>
      <c r="B411" s="18"/>
      <c r="C411" s="12"/>
      <c r="D411" s="12"/>
      <c r="E411" s="8"/>
      <c r="F411" s="8"/>
      <c r="G411" s="8"/>
      <c r="H411" s="19"/>
      <c r="I411" s="12"/>
      <c r="J411" s="13"/>
      <c r="K411" s="13"/>
      <c r="L411" s="112"/>
      <c r="M411" s="13"/>
      <c r="N411" s="112"/>
      <c r="O411" s="112"/>
      <c r="P411" s="29"/>
      <c r="Q411" s="8"/>
    </row>
    <row r="412" spans="1:17" x14ac:dyDescent="0.25">
      <c r="A412" s="12"/>
      <c r="B412" s="18"/>
      <c r="C412" s="12"/>
      <c r="D412" s="12"/>
      <c r="E412" s="8"/>
      <c r="F412" s="8"/>
      <c r="G412" s="8"/>
      <c r="H412" s="19"/>
      <c r="I412" s="12"/>
      <c r="J412" s="13"/>
      <c r="K412" s="13"/>
      <c r="L412" s="112"/>
      <c r="M412" s="13"/>
      <c r="N412" s="112"/>
      <c r="O412" s="112"/>
      <c r="P412" s="29"/>
      <c r="Q412" s="8"/>
    </row>
    <row r="413" spans="1:17" x14ac:dyDescent="0.25">
      <c r="A413" s="12"/>
      <c r="B413" s="18"/>
      <c r="C413" s="12"/>
      <c r="D413" s="12"/>
      <c r="E413" s="8"/>
      <c r="F413" s="8"/>
      <c r="G413" s="8"/>
      <c r="H413" s="19"/>
      <c r="I413" s="12"/>
      <c r="J413" s="13"/>
      <c r="K413" s="13"/>
      <c r="L413" s="112"/>
      <c r="M413" s="13"/>
      <c r="N413" s="112"/>
      <c r="O413" s="112"/>
      <c r="P413" s="29"/>
      <c r="Q413" s="8"/>
    </row>
    <row r="414" spans="1:17" x14ac:dyDescent="0.25">
      <c r="A414" s="12"/>
      <c r="B414" s="18"/>
      <c r="C414" s="12"/>
      <c r="D414" s="12"/>
      <c r="E414" s="8"/>
      <c r="F414" s="8"/>
      <c r="G414" s="8"/>
      <c r="H414" s="19"/>
      <c r="I414" s="12"/>
      <c r="J414" s="13"/>
      <c r="K414" s="13"/>
      <c r="L414" s="112"/>
      <c r="M414" s="13"/>
      <c r="N414" s="112"/>
      <c r="O414" s="112"/>
      <c r="P414" s="29"/>
      <c r="Q414" s="8"/>
    </row>
    <row r="415" spans="1:17" x14ac:dyDescent="0.25">
      <c r="A415" s="12"/>
      <c r="B415" s="18"/>
      <c r="C415" s="12"/>
      <c r="D415" s="12"/>
      <c r="E415" s="8"/>
      <c r="F415" s="8"/>
      <c r="G415" s="8"/>
      <c r="H415" s="19"/>
      <c r="I415" s="12"/>
      <c r="J415" s="13"/>
      <c r="K415" s="13"/>
      <c r="L415" s="112"/>
      <c r="M415" s="13"/>
      <c r="N415" s="112"/>
      <c r="O415" s="112"/>
      <c r="P415" s="29"/>
      <c r="Q415" s="8"/>
    </row>
    <row r="416" spans="1:17" x14ac:dyDescent="0.25">
      <c r="A416" s="12"/>
      <c r="B416" s="18"/>
      <c r="C416" s="12"/>
      <c r="D416" s="12"/>
      <c r="E416" s="8"/>
      <c r="F416" s="8"/>
      <c r="G416" s="8"/>
      <c r="H416" s="19"/>
      <c r="I416" s="12"/>
      <c r="J416" s="13"/>
      <c r="K416" s="13"/>
      <c r="L416" s="112"/>
      <c r="M416" s="13"/>
      <c r="N416" s="112"/>
      <c r="O416" s="112"/>
      <c r="P416" s="29"/>
      <c r="Q416" s="8"/>
    </row>
    <row r="417" spans="1:17" x14ac:dyDescent="0.25">
      <c r="A417" s="12"/>
      <c r="B417" s="18"/>
      <c r="C417" s="12"/>
      <c r="D417" s="12"/>
      <c r="E417" s="8"/>
      <c r="F417" s="8"/>
      <c r="G417" s="8"/>
      <c r="H417" s="19"/>
      <c r="I417" s="12"/>
      <c r="J417" s="13"/>
      <c r="K417" s="13"/>
      <c r="L417" s="112"/>
      <c r="M417" s="13"/>
      <c r="N417" s="112"/>
      <c r="O417" s="112"/>
      <c r="P417" s="29"/>
      <c r="Q417" s="8"/>
    </row>
    <row r="418" spans="1:17" x14ac:dyDescent="0.25">
      <c r="A418" s="12"/>
      <c r="B418" s="18"/>
      <c r="C418" s="12"/>
      <c r="D418" s="12"/>
      <c r="E418" s="8"/>
      <c r="F418" s="8"/>
      <c r="G418" s="8"/>
      <c r="H418" s="19"/>
      <c r="I418" s="12"/>
      <c r="J418" s="13"/>
      <c r="K418" s="13"/>
      <c r="L418" s="112"/>
      <c r="M418" s="13"/>
      <c r="N418" s="112"/>
      <c r="O418" s="112"/>
      <c r="P418" s="29"/>
      <c r="Q418" s="8"/>
    </row>
    <row r="419" spans="1:17" x14ac:dyDescent="0.25">
      <c r="A419" s="12"/>
      <c r="B419" s="18"/>
      <c r="C419" s="12"/>
      <c r="D419" s="12"/>
      <c r="E419" s="8"/>
      <c r="F419" s="8"/>
      <c r="G419" s="8"/>
      <c r="H419" s="19"/>
      <c r="I419" s="12"/>
      <c r="J419" s="13"/>
      <c r="K419" s="13"/>
      <c r="L419" s="112"/>
      <c r="M419" s="13"/>
      <c r="N419" s="112"/>
      <c r="O419" s="112"/>
      <c r="P419" s="29"/>
      <c r="Q419" s="8"/>
    </row>
    <row r="420" spans="1:17" x14ac:dyDescent="0.25">
      <c r="A420" s="12"/>
      <c r="B420" s="18"/>
      <c r="C420" s="12"/>
      <c r="D420" s="12"/>
      <c r="E420" s="8"/>
      <c r="F420" s="8"/>
      <c r="G420" s="8"/>
      <c r="H420" s="19"/>
      <c r="I420" s="12"/>
      <c r="J420" s="13"/>
      <c r="K420" s="13"/>
      <c r="L420" s="112"/>
      <c r="M420" s="13"/>
      <c r="N420" s="112"/>
      <c r="O420" s="112"/>
      <c r="P420" s="29"/>
      <c r="Q420" s="8"/>
    </row>
    <row r="421" spans="1:17" x14ac:dyDescent="0.25">
      <c r="A421" s="12"/>
      <c r="B421" s="18"/>
      <c r="C421" s="12"/>
      <c r="D421" s="12"/>
      <c r="E421" s="8"/>
      <c r="F421" s="8"/>
      <c r="G421" s="8"/>
      <c r="H421" s="19"/>
      <c r="I421" s="12"/>
      <c r="J421" s="13"/>
      <c r="K421" s="13"/>
      <c r="L421" s="112"/>
      <c r="M421" s="13"/>
      <c r="N421" s="112"/>
      <c r="O421" s="112"/>
      <c r="P421" s="29"/>
      <c r="Q421" s="8"/>
    </row>
    <row r="422" spans="1:17" x14ac:dyDescent="0.25">
      <c r="A422" s="12"/>
      <c r="B422" s="18"/>
      <c r="C422" s="12"/>
      <c r="D422" s="12"/>
      <c r="E422" s="8"/>
      <c r="F422" s="8"/>
      <c r="G422" s="8"/>
      <c r="H422" s="19"/>
      <c r="I422" s="12"/>
      <c r="J422" s="13"/>
      <c r="K422" s="13"/>
      <c r="L422" s="112"/>
      <c r="M422" s="13"/>
      <c r="N422" s="112"/>
      <c r="O422" s="112"/>
      <c r="P422" s="29"/>
      <c r="Q422" s="8"/>
    </row>
    <row r="423" spans="1:17" x14ac:dyDescent="0.25">
      <c r="A423" s="12"/>
      <c r="B423" s="18"/>
      <c r="C423" s="12"/>
      <c r="D423" s="12"/>
      <c r="E423" s="8"/>
      <c r="F423" s="8"/>
      <c r="G423" s="8"/>
      <c r="H423" s="19"/>
      <c r="I423" s="12"/>
      <c r="J423" s="13"/>
      <c r="K423" s="13"/>
      <c r="L423" s="112"/>
      <c r="M423" s="13"/>
      <c r="N423" s="112"/>
      <c r="O423" s="112"/>
      <c r="P423" s="29"/>
      <c r="Q423" s="8"/>
    </row>
    <row r="424" spans="1:17" x14ac:dyDescent="0.25">
      <c r="A424" s="12"/>
      <c r="B424" s="18"/>
      <c r="C424" s="12"/>
      <c r="D424" s="12"/>
      <c r="E424" s="8"/>
      <c r="F424" s="8"/>
      <c r="G424" s="8"/>
      <c r="H424" s="19"/>
      <c r="I424" s="12"/>
      <c r="J424" s="13"/>
      <c r="K424" s="13"/>
      <c r="L424" s="112"/>
      <c r="M424" s="13"/>
      <c r="N424" s="112"/>
      <c r="O424" s="112"/>
      <c r="P424" s="29"/>
      <c r="Q424" s="8"/>
    </row>
    <row r="425" spans="1:17" x14ac:dyDescent="0.25">
      <c r="A425" s="12"/>
      <c r="B425" s="18"/>
      <c r="C425" s="12"/>
      <c r="D425" s="12"/>
      <c r="E425" s="8"/>
      <c r="F425" s="8"/>
      <c r="G425" s="8"/>
      <c r="H425" s="19"/>
      <c r="I425" s="12"/>
      <c r="J425" s="13"/>
      <c r="K425" s="13"/>
      <c r="L425" s="112"/>
      <c r="M425" s="13"/>
      <c r="N425" s="112"/>
      <c r="O425" s="112"/>
      <c r="P425" s="29"/>
      <c r="Q425" s="8"/>
    </row>
    <row r="426" spans="1:17" x14ac:dyDescent="0.25">
      <c r="A426" s="12"/>
      <c r="B426" s="18"/>
      <c r="C426" s="12"/>
      <c r="D426" s="12"/>
      <c r="E426" s="8"/>
      <c r="F426" s="8"/>
      <c r="G426" s="8"/>
      <c r="H426" s="19"/>
      <c r="I426" s="12"/>
      <c r="J426" s="13"/>
      <c r="K426" s="13"/>
      <c r="L426" s="112"/>
      <c r="M426" s="13"/>
      <c r="N426" s="112"/>
      <c r="O426" s="112"/>
      <c r="P426" s="29"/>
      <c r="Q426" s="8"/>
    </row>
    <row r="427" spans="1:17" x14ac:dyDescent="0.25">
      <c r="A427" s="12"/>
      <c r="B427" s="18"/>
      <c r="C427" s="12"/>
      <c r="D427" s="12"/>
      <c r="E427" s="8"/>
      <c r="F427" s="8"/>
      <c r="G427" s="8"/>
      <c r="H427" s="19"/>
      <c r="I427" s="12"/>
      <c r="J427" s="13"/>
      <c r="K427" s="13"/>
      <c r="L427" s="112"/>
      <c r="M427" s="13"/>
      <c r="N427" s="112"/>
      <c r="O427" s="112"/>
      <c r="P427" s="29"/>
      <c r="Q427" s="8"/>
    </row>
    <row r="428" spans="1:17" x14ac:dyDescent="0.25">
      <c r="A428" s="12"/>
      <c r="B428" s="18"/>
      <c r="C428" s="12"/>
      <c r="D428" s="12"/>
      <c r="E428" s="8"/>
      <c r="F428" s="8"/>
      <c r="G428" s="8"/>
      <c r="H428" s="19"/>
      <c r="I428" s="12"/>
      <c r="J428" s="13"/>
      <c r="K428" s="13"/>
      <c r="L428" s="112"/>
      <c r="M428" s="13"/>
      <c r="N428" s="112"/>
      <c r="O428" s="112"/>
      <c r="P428" s="29"/>
      <c r="Q428" s="8"/>
    </row>
    <row r="429" spans="1:17" x14ac:dyDescent="0.25">
      <c r="A429" s="12"/>
      <c r="B429" s="18"/>
      <c r="C429" s="12"/>
      <c r="D429" s="12"/>
      <c r="E429" s="8"/>
      <c r="F429" s="8"/>
      <c r="G429" s="8"/>
      <c r="H429" s="19"/>
      <c r="I429" s="12"/>
      <c r="J429" s="13"/>
      <c r="K429" s="13"/>
      <c r="L429" s="112"/>
      <c r="M429" s="13"/>
      <c r="N429" s="112"/>
      <c r="O429" s="112"/>
      <c r="P429" s="29"/>
      <c r="Q429" s="8"/>
    </row>
    <row r="430" spans="1:17" x14ac:dyDescent="0.25">
      <c r="A430" s="12"/>
      <c r="B430" s="18"/>
      <c r="C430" s="12"/>
      <c r="D430" s="12"/>
      <c r="E430" s="8"/>
      <c r="F430" s="8"/>
      <c r="G430" s="8"/>
      <c r="H430" s="19"/>
      <c r="I430" s="12"/>
      <c r="J430" s="13"/>
      <c r="K430" s="13"/>
      <c r="L430" s="112"/>
      <c r="M430" s="13"/>
      <c r="N430" s="112"/>
      <c r="O430" s="112"/>
      <c r="P430" s="29"/>
      <c r="Q430" s="8"/>
    </row>
    <row r="431" spans="1:17" x14ac:dyDescent="0.25">
      <c r="A431" s="12"/>
      <c r="B431" s="18"/>
      <c r="C431" s="12"/>
      <c r="D431" s="12"/>
      <c r="E431" s="8"/>
      <c r="F431" s="8"/>
      <c r="G431" s="8"/>
      <c r="H431" s="19"/>
      <c r="I431" s="12"/>
      <c r="J431" s="13"/>
      <c r="K431" s="13"/>
      <c r="L431" s="112"/>
      <c r="M431" s="13"/>
      <c r="N431" s="112"/>
      <c r="O431" s="112"/>
      <c r="P431" s="29"/>
      <c r="Q431" s="8"/>
    </row>
    <row r="432" spans="1:17" x14ac:dyDescent="0.25">
      <c r="A432" s="12"/>
      <c r="B432" s="18"/>
      <c r="C432" s="12"/>
      <c r="D432" s="12"/>
      <c r="E432" s="8"/>
      <c r="F432" s="8"/>
      <c r="G432" s="8"/>
      <c r="H432" s="19"/>
      <c r="I432" s="12"/>
      <c r="J432" s="13"/>
      <c r="K432" s="13"/>
      <c r="L432" s="112"/>
      <c r="M432" s="13"/>
      <c r="N432" s="112"/>
      <c r="O432" s="112"/>
      <c r="P432" s="29"/>
      <c r="Q432" s="8"/>
    </row>
    <row r="433" spans="1:17" x14ac:dyDescent="0.25">
      <c r="A433" s="12"/>
      <c r="B433" s="18"/>
      <c r="C433" s="12"/>
      <c r="D433" s="12"/>
      <c r="E433" s="8"/>
      <c r="F433" s="8"/>
      <c r="G433" s="8"/>
      <c r="H433" s="19"/>
      <c r="I433" s="12"/>
      <c r="J433" s="13"/>
      <c r="K433" s="13"/>
      <c r="L433" s="112"/>
      <c r="M433" s="13"/>
      <c r="N433" s="112"/>
      <c r="O433" s="112"/>
      <c r="P433" s="29"/>
      <c r="Q433" s="8"/>
    </row>
    <row r="434" spans="1:17" x14ac:dyDescent="0.25">
      <c r="A434" s="12"/>
      <c r="B434" s="18"/>
      <c r="C434" s="12"/>
      <c r="D434" s="12"/>
      <c r="E434" s="8"/>
      <c r="F434" s="8"/>
      <c r="G434" s="8"/>
      <c r="H434" s="19"/>
      <c r="I434" s="12"/>
      <c r="J434" s="13"/>
      <c r="K434" s="13"/>
      <c r="L434" s="112"/>
      <c r="M434" s="13"/>
      <c r="N434" s="112"/>
      <c r="O434" s="112"/>
      <c r="P434" s="29"/>
      <c r="Q434" s="8"/>
    </row>
    <row r="435" spans="1:17" x14ac:dyDescent="0.25">
      <c r="A435" s="12"/>
      <c r="B435" s="18"/>
      <c r="C435" s="12"/>
      <c r="D435" s="12"/>
      <c r="E435" s="8"/>
      <c r="F435" s="8"/>
      <c r="G435" s="8"/>
      <c r="H435" s="19"/>
      <c r="I435" s="12"/>
      <c r="J435" s="13"/>
      <c r="K435" s="13"/>
      <c r="L435" s="112"/>
      <c r="M435" s="13"/>
      <c r="N435" s="112"/>
      <c r="O435" s="112"/>
      <c r="P435" s="29"/>
      <c r="Q435" s="8"/>
    </row>
    <row r="436" spans="1:17" x14ac:dyDescent="0.25">
      <c r="A436" s="12"/>
      <c r="B436" s="18"/>
      <c r="C436" s="12"/>
      <c r="D436" s="12"/>
      <c r="E436" s="8"/>
      <c r="F436" s="8"/>
      <c r="G436" s="8"/>
      <c r="H436" s="19"/>
      <c r="I436" s="12"/>
      <c r="J436" s="13"/>
      <c r="K436" s="13"/>
      <c r="L436" s="112"/>
      <c r="M436" s="13"/>
      <c r="N436" s="112"/>
      <c r="O436" s="112"/>
      <c r="P436" s="29"/>
      <c r="Q436" s="8"/>
    </row>
    <row r="437" spans="1:17" x14ac:dyDescent="0.25">
      <c r="A437" s="12"/>
      <c r="B437" s="18"/>
      <c r="C437" s="12"/>
      <c r="D437" s="12"/>
      <c r="E437" s="8"/>
      <c r="F437" s="8"/>
      <c r="G437" s="8"/>
      <c r="H437" s="19"/>
      <c r="I437" s="12"/>
      <c r="J437" s="13"/>
      <c r="K437" s="13"/>
      <c r="L437" s="112"/>
      <c r="M437" s="13"/>
      <c r="N437" s="112"/>
      <c r="O437" s="112"/>
      <c r="P437" s="29"/>
      <c r="Q437" s="8"/>
    </row>
    <row r="438" spans="1:17" x14ac:dyDescent="0.25">
      <c r="A438" s="12"/>
      <c r="B438" s="18"/>
      <c r="C438" s="12"/>
      <c r="D438" s="12"/>
      <c r="E438" s="8"/>
      <c r="F438" s="8"/>
      <c r="G438" s="8"/>
      <c r="H438" s="19"/>
      <c r="I438" s="12"/>
      <c r="J438" s="13"/>
      <c r="K438" s="13"/>
      <c r="L438" s="112"/>
      <c r="M438" s="13"/>
      <c r="N438" s="112"/>
      <c r="O438" s="112"/>
      <c r="P438" s="29"/>
      <c r="Q438" s="8"/>
    </row>
    <row r="439" spans="1:17" x14ac:dyDescent="0.25">
      <c r="A439" s="12"/>
      <c r="B439" s="18"/>
      <c r="C439" s="12"/>
      <c r="D439" s="12"/>
      <c r="E439" s="8"/>
      <c r="F439" s="8"/>
      <c r="G439" s="8"/>
      <c r="H439" s="19"/>
      <c r="I439" s="12"/>
      <c r="J439" s="13"/>
      <c r="K439" s="13"/>
      <c r="L439" s="112"/>
      <c r="M439" s="13"/>
      <c r="N439" s="112"/>
      <c r="O439" s="112"/>
      <c r="P439" s="29"/>
      <c r="Q439" s="8"/>
    </row>
    <row r="440" spans="1:17" x14ac:dyDescent="0.25">
      <c r="A440" s="12"/>
      <c r="B440" s="18"/>
      <c r="C440" s="12"/>
      <c r="D440" s="12"/>
      <c r="E440" s="8"/>
      <c r="F440" s="8"/>
      <c r="G440" s="8"/>
      <c r="H440" s="19"/>
      <c r="I440" s="12"/>
      <c r="J440" s="13"/>
      <c r="K440" s="13"/>
      <c r="L440" s="112"/>
      <c r="M440" s="13"/>
      <c r="N440" s="112"/>
      <c r="O440" s="112"/>
      <c r="P440" s="29"/>
      <c r="Q440" s="8"/>
    </row>
    <row r="441" spans="1:17" x14ac:dyDescent="0.25">
      <c r="A441" s="12"/>
      <c r="B441" s="18"/>
      <c r="C441" s="12"/>
      <c r="D441" s="12"/>
      <c r="E441" s="8"/>
      <c r="F441" s="8"/>
      <c r="G441" s="8"/>
      <c r="H441" s="19"/>
      <c r="I441" s="12"/>
      <c r="J441" s="13"/>
      <c r="K441" s="13"/>
      <c r="L441" s="112"/>
      <c r="M441" s="13"/>
      <c r="N441" s="112"/>
      <c r="O441" s="112"/>
      <c r="P441" s="29"/>
      <c r="Q441" s="8"/>
    </row>
    <row r="442" spans="1:17" x14ac:dyDescent="0.25">
      <c r="A442" s="12"/>
      <c r="B442" s="18"/>
      <c r="C442" s="12"/>
      <c r="D442" s="12"/>
      <c r="E442" s="8"/>
      <c r="F442" s="8"/>
      <c r="G442" s="8"/>
      <c r="H442" s="19"/>
      <c r="I442" s="12"/>
      <c r="J442" s="13"/>
      <c r="K442" s="13"/>
      <c r="L442" s="112"/>
      <c r="M442" s="13"/>
      <c r="N442" s="112"/>
      <c r="O442" s="112"/>
      <c r="P442" s="29"/>
      <c r="Q442" s="8"/>
    </row>
    <row r="443" spans="1:17" x14ac:dyDescent="0.25">
      <c r="A443" s="12"/>
      <c r="B443" s="18"/>
      <c r="C443" s="12"/>
      <c r="D443" s="12"/>
      <c r="E443" s="8"/>
      <c r="F443" s="8"/>
      <c r="G443" s="8"/>
      <c r="H443" s="19"/>
      <c r="I443" s="12"/>
      <c r="J443" s="13"/>
      <c r="K443" s="13"/>
      <c r="L443" s="112"/>
      <c r="M443" s="13"/>
      <c r="N443" s="112"/>
      <c r="O443" s="112"/>
      <c r="P443" s="29"/>
      <c r="Q443" s="8"/>
    </row>
    <row r="444" spans="1:17" x14ac:dyDescent="0.25">
      <c r="A444" s="12"/>
      <c r="B444" s="18"/>
      <c r="C444" s="12"/>
      <c r="D444" s="12"/>
      <c r="E444" s="8"/>
      <c r="F444" s="8"/>
      <c r="G444" s="8"/>
      <c r="H444" s="19"/>
      <c r="I444" s="12"/>
      <c r="J444" s="13"/>
      <c r="K444" s="13"/>
      <c r="L444" s="112"/>
      <c r="M444" s="13"/>
      <c r="N444" s="112"/>
      <c r="O444" s="112"/>
      <c r="P444" s="29"/>
      <c r="Q444" s="8"/>
    </row>
    <row r="445" spans="1:17" x14ac:dyDescent="0.25">
      <c r="A445" s="12"/>
      <c r="B445" s="18"/>
      <c r="C445" s="12"/>
      <c r="D445" s="12"/>
      <c r="E445" s="8"/>
      <c r="F445" s="8"/>
      <c r="G445" s="8"/>
      <c r="H445" s="19"/>
      <c r="I445" s="12"/>
      <c r="J445" s="13"/>
      <c r="K445" s="13"/>
      <c r="L445" s="112"/>
      <c r="M445" s="13"/>
      <c r="N445" s="112"/>
      <c r="O445" s="112"/>
      <c r="P445" s="29"/>
      <c r="Q445" s="8"/>
    </row>
    <row r="446" spans="1:17" x14ac:dyDescent="0.25">
      <c r="A446" s="12"/>
      <c r="B446" s="18"/>
      <c r="C446" s="12"/>
      <c r="D446" s="12"/>
      <c r="E446" s="8"/>
      <c r="F446" s="8"/>
      <c r="G446" s="8"/>
      <c r="H446" s="19"/>
      <c r="I446" s="12"/>
      <c r="J446" s="13"/>
      <c r="K446" s="13"/>
      <c r="L446" s="112"/>
      <c r="M446" s="13"/>
      <c r="N446" s="112"/>
      <c r="O446" s="112"/>
      <c r="P446" s="29"/>
      <c r="Q446" s="8"/>
    </row>
    <row r="447" spans="1:17" x14ac:dyDescent="0.25">
      <c r="A447" s="12"/>
      <c r="B447" s="18"/>
      <c r="C447" s="12"/>
      <c r="D447" s="12"/>
      <c r="E447" s="8"/>
      <c r="F447" s="8"/>
      <c r="G447" s="8"/>
      <c r="H447" s="19"/>
      <c r="I447" s="12"/>
      <c r="J447" s="13"/>
      <c r="K447" s="13"/>
      <c r="L447" s="112"/>
      <c r="M447" s="13"/>
      <c r="N447" s="112"/>
      <c r="O447" s="112"/>
      <c r="P447" s="29"/>
      <c r="Q447" s="8"/>
    </row>
    <row r="448" spans="1:17" x14ac:dyDescent="0.25">
      <c r="A448" s="12"/>
      <c r="B448" s="18"/>
      <c r="C448" s="12"/>
      <c r="D448" s="12"/>
      <c r="E448" s="8"/>
      <c r="F448" s="8"/>
      <c r="G448" s="8"/>
      <c r="H448" s="19"/>
      <c r="I448" s="12"/>
      <c r="J448" s="13"/>
      <c r="K448" s="13"/>
      <c r="L448" s="112"/>
      <c r="M448" s="13"/>
      <c r="N448" s="112"/>
      <c r="O448" s="112"/>
      <c r="P448" s="29"/>
      <c r="Q448" s="8"/>
    </row>
    <row r="449" spans="1:17" x14ac:dyDescent="0.25">
      <c r="A449" s="12"/>
      <c r="B449" s="18"/>
      <c r="C449" s="12"/>
      <c r="D449" s="12"/>
      <c r="E449" s="8"/>
      <c r="F449" s="8"/>
      <c r="G449" s="8"/>
      <c r="H449" s="19"/>
      <c r="I449" s="12"/>
      <c r="J449" s="13"/>
      <c r="K449" s="13"/>
      <c r="L449" s="112"/>
      <c r="M449" s="13"/>
      <c r="N449" s="112"/>
      <c r="O449" s="112"/>
      <c r="P449" s="29"/>
      <c r="Q449" s="8"/>
    </row>
    <row r="450" spans="1:17" x14ac:dyDescent="0.25">
      <c r="A450" s="12"/>
      <c r="B450" s="18"/>
      <c r="C450" s="12"/>
      <c r="D450" s="12"/>
      <c r="E450" s="8"/>
      <c r="F450" s="8"/>
      <c r="G450" s="8"/>
      <c r="H450" s="19"/>
      <c r="I450" s="12"/>
      <c r="J450" s="13"/>
      <c r="K450" s="13"/>
      <c r="L450" s="112"/>
      <c r="M450" s="13"/>
      <c r="N450" s="112"/>
      <c r="O450" s="112"/>
      <c r="P450" s="29"/>
      <c r="Q450" s="8"/>
    </row>
    <row r="451" spans="1:17" x14ac:dyDescent="0.25">
      <c r="A451" s="12"/>
      <c r="B451" s="18"/>
      <c r="C451" s="12"/>
      <c r="D451" s="12"/>
      <c r="E451" s="8"/>
      <c r="F451" s="8"/>
      <c r="G451" s="8"/>
      <c r="H451" s="19"/>
      <c r="I451" s="12"/>
      <c r="J451" s="13"/>
      <c r="K451" s="13"/>
      <c r="L451" s="112"/>
      <c r="M451" s="13"/>
      <c r="N451" s="112"/>
      <c r="O451" s="112"/>
      <c r="P451" s="29"/>
      <c r="Q451" s="8"/>
    </row>
    <row r="452" spans="1:17" x14ac:dyDescent="0.25">
      <c r="A452" s="12"/>
      <c r="B452" s="18"/>
      <c r="C452" s="12"/>
      <c r="D452" s="12"/>
      <c r="E452" s="8"/>
      <c r="F452" s="8"/>
      <c r="G452" s="8"/>
      <c r="H452" s="19"/>
      <c r="I452" s="12"/>
      <c r="J452" s="13"/>
      <c r="K452" s="13"/>
      <c r="L452" s="112"/>
      <c r="M452" s="13"/>
      <c r="N452" s="112"/>
      <c r="O452" s="112"/>
      <c r="P452" s="29"/>
      <c r="Q452" s="8"/>
    </row>
    <row r="453" spans="1:17" x14ac:dyDescent="0.25">
      <c r="A453" s="12"/>
      <c r="B453" s="18"/>
      <c r="C453" s="12"/>
      <c r="D453" s="12"/>
      <c r="E453" s="8"/>
      <c r="F453" s="8"/>
      <c r="G453" s="8"/>
      <c r="H453" s="19"/>
      <c r="I453" s="12"/>
      <c r="J453" s="13"/>
      <c r="K453" s="13"/>
      <c r="L453" s="112"/>
      <c r="M453" s="13"/>
      <c r="N453" s="112"/>
      <c r="O453" s="112"/>
      <c r="P453" s="29"/>
      <c r="Q453" s="8"/>
    </row>
    <row r="454" spans="1:17" x14ac:dyDescent="0.25">
      <c r="A454" s="12"/>
      <c r="B454" s="18"/>
      <c r="C454" s="12"/>
      <c r="D454" s="12"/>
      <c r="E454" s="8"/>
      <c r="F454" s="8"/>
      <c r="G454" s="8"/>
      <c r="H454" s="19"/>
      <c r="I454" s="12"/>
      <c r="J454" s="13"/>
      <c r="K454" s="13"/>
      <c r="L454" s="112"/>
      <c r="M454" s="13"/>
      <c r="N454" s="112"/>
      <c r="O454" s="112"/>
      <c r="P454" s="29"/>
      <c r="Q454" s="8"/>
    </row>
    <row r="455" spans="1:17" x14ac:dyDescent="0.25">
      <c r="A455" s="12"/>
      <c r="B455" s="18"/>
      <c r="C455" s="12"/>
      <c r="D455" s="12"/>
      <c r="E455" s="8"/>
      <c r="F455" s="8"/>
      <c r="G455" s="8"/>
      <c r="H455" s="19"/>
      <c r="I455" s="12"/>
      <c r="J455" s="13"/>
      <c r="K455" s="13"/>
      <c r="L455" s="112"/>
      <c r="M455" s="13"/>
      <c r="N455" s="112"/>
      <c r="O455" s="112"/>
      <c r="P455" s="29"/>
      <c r="Q455" s="8"/>
    </row>
    <row r="456" spans="1:17" x14ac:dyDescent="0.25">
      <c r="A456" s="12"/>
      <c r="B456" s="18"/>
      <c r="C456" s="12"/>
      <c r="D456" s="12"/>
      <c r="E456" s="8"/>
      <c r="F456" s="8"/>
      <c r="G456" s="8"/>
      <c r="H456" s="19"/>
      <c r="I456" s="12"/>
      <c r="J456" s="13"/>
      <c r="K456" s="13"/>
      <c r="L456" s="112"/>
      <c r="M456" s="13"/>
      <c r="N456" s="112"/>
      <c r="O456" s="112"/>
      <c r="P456" s="29"/>
      <c r="Q456" s="8"/>
    </row>
    <row r="457" spans="1:17" x14ac:dyDescent="0.25">
      <c r="A457" s="12"/>
      <c r="B457" s="18"/>
      <c r="C457" s="12"/>
      <c r="D457" s="12"/>
      <c r="E457" s="8"/>
      <c r="F457" s="8"/>
      <c r="G457" s="8"/>
      <c r="H457" s="19"/>
      <c r="I457" s="12"/>
      <c r="J457" s="13"/>
      <c r="K457" s="13"/>
      <c r="L457" s="112"/>
      <c r="M457" s="13"/>
      <c r="N457" s="112"/>
      <c r="O457" s="112"/>
      <c r="P457" s="29"/>
      <c r="Q457" s="8"/>
    </row>
    <row r="458" spans="1:17" x14ac:dyDescent="0.25">
      <c r="A458" s="12"/>
      <c r="B458" s="18"/>
      <c r="C458" s="12"/>
      <c r="D458" s="12"/>
      <c r="E458" s="8"/>
      <c r="F458" s="8"/>
      <c r="G458" s="8"/>
      <c r="H458" s="19"/>
      <c r="I458" s="12"/>
      <c r="J458" s="13"/>
      <c r="K458" s="13"/>
      <c r="L458" s="112"/>
      <c r="M458" s="13"/>
      <c r="N458" s="112"/>
      <c r="O458" s="112"/>
      <c r="P458" s="29"/>
      <c r="Q458" s="8"/>
    </row>
    <row r="459" spans="1:17" x14ac:dyDescent="0.25">
      <c r="A459" s="12"/>
      <c r="B459" s="18"/>
      <c r="C459" s="12"/>
      <c r="D459" s="12"/>
      <c r="E459" s="8"/>
      <c r="F459" s="8"/>
      <c r="G459" s="8"/>
      <c r="H459" s="19"/>
      <c r="I459" s="12"/>
      <c r="J459" s="13"/>
      <c r="K459" s="13"/>
      <c r="L459" s="112"/>
      <c r="M459" s="13"/>
      <c r="N459" s="112"/>
      <c r="O459" s="112"/>
      <c r="P459" s="29"/>
      <c r="Q459" s="8"/>
    </row>
    <row r="460" spans="1:17" x14ac:dyDescent="0.25">
      <c r="A460" s="12"/>
      <c r="B460" s="18"/>
      <c r="C460" s="12"/>
      <c r="D460" s="12"/>
      <c r="E460" s="8"/>
      <c r="F460" s="8"/>
      <c r="G460" s="8"/>
      <c r="H460" s="19"/>
      <c r="I460" s="12"/>
      <c r="J460" s="13"/>
      <c r="K460" s="13"/>
      <c r="L460" s="112"/>
      <c r="M460" s="13"/>
      <c r="N460" s="112"/>
      <c r="O460" s="112"/>
      <c r="P460" s="29"/>
      <c r="Q460" s="8"/>
    </row>
    <row r="461" spans="1:17" x14ac:dyDescent="0.25">
      <c r="A461" s="12"/>
      <c r="B461" s="18"/>
      <c r="C461" s="12"/>
      <c r="D461" s="12"/>
      <c r="E461" s="8"/>
      <c r="F461" s="8"/>
      <c r="G461" s="8"/>
      <c r="H461" s="19"/>
      <c r="I461" s="12"/>
      <c r="J461" s="13"/>
      <c r="K461" s="13"/>
      <c r="L461" s="112"/>
      <c r="M461" s="13"/>
      <c r="N461" s="112"/>
      <c r="O461" s="112"/>
      <c r="P461" s="29"/>
      <c r="Q461" s="8"/>
    </row>
    <row r="462" spans="1:17" x14ac:dyDescent="0.25">
      <c r="A462" s="12"/>
      <c r="B462" s="18"/>
      <c r="C462" s="12"/>
      <c r="D462" s="12"/>
      <c r="E462" s="8"/>
      <c r="F462" s="8"/>
      <c r="G462" s="8"/>
      <c r="H462" s="19"/>
      <c r="I462" s="12"/>
      <c r="J462" s="13"/>
      <c r="K462" s="13"/>
      <c r="L462" s="112"/>
      <c r="M462" s="13"/>
      <c r="N462" s="112"/>
      <c r="O462" s="112"/>
      <c r="P462" s="29"/>
      <c r="Q462" s="8"/>
    </row>
    <row r="463" spans="1:17" x14ac:dyDescent="0.25">
      <c r="A463" s="12"/>
      <c r="B463" s="18"/>
      <c r="C463" s="12"/>
      <c r="D463" s="12"/>
      <c r="E463" s="8"/>
      <c r="F463" s="8"/>
      <c r="G463" s="8"/>
      <c r="H463" s="19"/>
      <c r="I463" s="12"/>
      <c r="J463" s="13"/>
      <c r="K463" s="13"/>
      <c r="L463" s="112"/>
      <c r="M463" s="13"/>
      <c r="N463" s="112"/>
      <c r="O463" s="112"/>
      <c r="P463" s="29"/>
      <c r="Q463" s="8"/>
    </row>
    <row r="464" spans="1:17" x14ac:dyDescent="0.25">
      <c r="A464" s="12"/>
      <c r="B464" s="18"/>
      <c r="C464" s="12"/>
      <c r="D464" s="12"/>
      <c r="E464" s="8"/>
      <c r="F464" s="8"/>
      <c r="G464" s="8"/>
      <c r="H464" s="19"/>
      <c r="I464" s="12"/>
      <c r="J464" s="13"/>
      <c r="K464" s="13"/>
      <c r="L464" s="112"/>
      <c r="M464" s="13"/>
      <c r="N464" s="112"/>
      <c r="O464" s="112"/>
      <c r="P464" s="29"/>
      <c r="Q464" s="8"/>
    </row>
    <row r="465" spans="1:17" x14ac:dyDescent="0.25">
      <c r="A465" s="12"/>
      <c r="B465" s="18"/>
      <c r="C465" s="12"/>
      <c r="D465" s="12"/>
      <c r="E465" s="8"/>
      <c r="F465" s="8"/>
      <c r="G465" s="8"/>
      <c r="H465" s="19"/>
      <c r="I465" s="12"/>
      <c r="J465" s="13"/>
      <c r="K465" s="13"/>
      <c r="L465" s="112"/>
      <c r="M465" s="13"/>
      <c r="N465" s="112"/>
      <c r="O465" s="112"/>
      <c r="P465" s="29"/>
      <c r="Q465" s="8"/>
    </row>
    <row r="466" spans="1:17" x14ac:dyDescent="0.25">
      <c r="A466" s="12"/>
      <c r="B466" s="18"/>
      <c r="C466" s="12"/>
      <c r="D466" s="12"/>
      <c r="E466" s="8"/>
      <c r="F466" s="8"/>
      <c r="G466" s="8"/>
      <c r="H466" s="19"/>
      <c r="I466" s="12"/>
      <c r="J466" s="13"/>
      <c r="K466" s="13"/>
      <c r="L466" s="112"/>
      <c r="M466" s="13"/>
      <c r="N466" s="112"/>
      <c r="O466" s="112"/>
      <c r="P466" s="29"/>
      <c r="Q466" s="8"/>
    </row>
    <row r="467" spans="1:17" x14ac:dyDescent="0.25">
      <c r="A467" s="12"/>
      <c r="B467" s="18"/>
      <c r="C467" s="12"/>
      <c r="D467" s="12"/>
      <c r="E467" s="8"/>
      <c r="F467" s="8"/>
      <c r="G467" s="8"/>
      <c r="H467" s="19"/>
      <c r="I467" s="12"/>
      <c r="J467" s="13"/>
      <c r="K467" s="13"/>
      <c r="L467" s="112"/>
      <c r="M467" s="13"/>
      <c r="N467" s="112"/>
      <c r="O467" s="112"/>
      <c r="P467" s="29"/>
      <c r="Q467" s="8"/>
    </row>
    <row r="468" spans="1:17" x14ac:dyDescent="0.25">
      <c r="A468" s="12"/>
      <c r="B468" s="18"/>
      <c r="C468" s="12"/>
      <c r="D468" s="12"/>
      <c r="E468" s="8"/>
      <c r="F468" s="8"/>
      <c r="G468" s="8"/>
      <c r="H468" s="19"/>
      <c r="I468" s="12"/>
      <c r="J468" s="13"/>
      <c r="K468" s="13"/>
      <c r="L468" s="112"/>
      <c r="M468" s="13"/>
      <c r="N468" s="112"/>
      <c r="O468" s="112"/>
      <c r="P468" s="29"/>
      <c r="Q468" s="8"/>
    </row>
    <row r="469" spans="1:17" x14ac:dyDescent="0.25">
      <c r="A469" s="12"/>
      <c r="B469" s="18"/>
      <c r="C469" s="12"/>
      <c r="D469" s="12"/>
      <c r="E469" s="8"/>
      <c r="F469" s="8"/>
      <c r="G469" s="8"/>
      <c r="H469" s="19"/>
      <c r="I469" s="12"/>
      <c r="J469" s="13"/>
      <c r="K469" s="13"/>
      <c r="L469" s="112"/>
      <c r="M469" s="13"/>
      <c r="N469" s="112"/>
      <c r="O469" s="112"/>
      <c r="P469" s="29"/>
      <c r="Q469" s="8"/>
    </row>
    <row r="470" spans="1:17" x14ac:dyDescent="0.25">
      <c r="A470" s="12"/>
      <c r="B470" s="18"/>
      <c r="C470" s="12"/>
      <c r="D470" s="12"/>
      <c r="E470" s="8"/>
      <c r="F470" s="8"/>
      <c r="G470" s="8"/>
      <c r="H470" s="19"/>
      <c r="I470" s="12"/>
      <c r="J470" s="13"/>
      <c r="K470" s="13"/>
      <c r="L470" s="112"/>
      <c r="M470" s="13"/>
      <c r="N470" s="112"/>
      <c r="O470" s="112"/>
      <c r="P470" s="29"/>
      <c r="Q470" s="8"/>
    </row>
    <row r="471" spans="1:17" x14ac:dyDescent="0.25">
      <c r="A471" s="12"/>
      <c r="B471" s="18"/>
      <c r="C471" s="12"/>
      <c r="D471" s="12"/>
      <c r="E471" s="8"/>
      <c r="F471" s="8"/>
      <c r="G471" s="8"/>
      <c r="H471" s="19"/>
      <c r="I471" s="12"/>
      <c r="J471" s="13"/>
      <c r="K471" s="13"/>
      <c r="L471" s="112"/>
      <c r="M471" s="13"/>
      <c r="N471" s="112"/>
      <c r="O471" s="112"/>
      <c r="P471" s="29"/>
      <c r="Q471" s="8"/>
    </row>
    <row r="472" spans="1:17" x14ac:dyDescent="0.25">
      <c r="A472" s="12"/>
      <c r="B472" s="18"/>
      <c r="C472" s="12"/>
      <c r="D472" s="12"/>
      <c r="E472" s="8"/>
      <c r="F472" s="8"/>
      <c r="G472" s="8"/>
      <c r="H472" s="19"/>
      <c r="I472" s="12"/>
      <c r="J472" s="13"/>
      <c r="K472" s="13"/>
      <c r="L472" s="112"/>
      <c r="M472" s="13"/>
      <c r="N472" s="112"/>
      <c r="O472" s="112"/>
      <c r="P472" s="29"/>
      <c r="Q472" s="8"/>
    </row>
    <row r="473" spans="1:17" x14ac:dyDescent="0.25">
      <c r="A473" s="12"/>
      <c r="B473" s="18"/>
      <c r="C473" s="12"/>
      <c r="D473" s="12"/>
      <c r="E473" s="8"/>
      <c r="F473" s="8"/>
      <c r="G473" s="8"/>
      <c r="H473" s="19"/>
      <c r="I473" s="12"/>
      <c r="J473" s="13"/>
      <c r="K473" s="13"/>
      <c r="L473" s="112"/>
      <c r="M473" s="13"/>
      <c r="N473" s="112"/>
      <c r="O473" s="112"/>
      <c r="P473" s="29"/>
      <c r="Q473" s="8"/>
    </row>
    <row r="474" spans="1:17" x14ac:dyDescent="0.25">
      <c r="A474" s="12"/>
      <c r="B474" s="18"/>
      <c r="C474" s="12"/>
      <c r="D474" s="12"/>
      <c r="E474" s="8"/>
      <c r="F474" s="8"/>
      <c r="G474" s="8"/>
      <c r="H474" s="19"/>
      <c r="I474" s="12"/>
      <c r="J474" s="13"/>
      <c r="K474" s="13"/>
      <c r="L474" s="112"/>
      <c r="M474" s="13"/>
      <c r="N474" s="112"/>
      <c r="O474" s="112"/>
      <c r="P474" s="29"/>
      <c r="Q474" s="8"/>
    </row>
    <row r="475" spans="1:17" x14ac:dyDescent="0.25">
      <c r="A475" s="12"/>
      <c r="B475" s="18"/>
      <c r="C475" s="12"/>
      <c r="D475" s="12"/>
      <c r="E475" s="8"/>
      <c r="F475" s="8"/>
      <c r="G475" s="8"/>
      <c r="H475" s="19"/>
      <c r="I475" s="12"/>
      <c r="J475" s="13"/>
      <c r="K475" s="13"/>
      <c r="L475" s="112"/>
      <c r="M475" s="13"/>
      <c r="N475" s="112"/>
      <c r="O475" s="112"/>
      <c r="P475" s="29"/>
      <c r="Q475" s="8"/>
    </row>
    <row r="476" spans="1:17" x14ac:dyDescent="0.25">
      <c r="A476" s="12"/>
      <c r="B476" s="18"/>
      <c r="C476" s="12"/>
      <c r="D476" s="12"/>
      <c r="E476" s="8"/>
      <c r="F476" s="8"/>
      <c r="G476" s="8"/>
      <c r="H476" s="19"/>
      <c r="I476" s="12"/>
      <c r="J476" s="13"/>
      <c r="K476" s="13"/>
      <c r="L476" s="112"/>
      <c r="M476" s="13"/>
      <c r="N476" s="112"/>
      <c r="O476" s="112"/>
      <c r="P476" s="29"/>
      <c r="Q476" s="8"/>
    </row>
    <row r="477" spans="1:17" x14ac:dyDescent="0.25">
      <c r="A477" s="12"/>
      <c r="B477" s="18"/>
      <c r="C477" s="12"/>
      <c r="D477" s="12"/>
      <c r="E477" s="8"/>
      <c r="F477" s="8"/>
      <c r="G477" s="8"/>
      <c r="H477" s="19"/>
      <c r="I477" s="12"/>
      <c r="J477" s="13"/>
      <c r="K477" s="13"/>
      <c r="L477" s="112"/>
      <c r="M477" s="13"/>
      <c r="N477" s="112"/>
      <c r="O477" s="112"/>
      <c r="P477" s="29"/>
      <c r="Q477" s="8"/>
    </row>
    <row r="478" spans="1:17" x14ac:dyDescent="0.25">
      <c r="A478" s="12"/>
      <c r="B478" s="18"/>
      <c r="C478" s="12"/>
      <c r="D478" s="12"/>
      <c r="E478" s="8"/>
      <c r="F478" s="8"/>
      <c r="G478" s="8"/>
      <c r="H478" s="19"/>
      <c r="I478" s="12"/>
      <c r="J478" s="13"/>
      <c r="K478" s="13"/>
      <c r="L478" s="112"/>
      <c r="M478" s="13"/>
      <c r="N478" s="112"/>
      <c r="O478" s="112"/>
      <c r="P478" s="29"/>
      <c r="Q478" s="8"/>
    </row>
    <row r="479" spans="1:17" x14ac:dyDescent="0.25">
      <c r="A479" s="12"/>
      <c r="B479" s="18"/>
      <c r="C479" s="12"/>
      <c r="D479" s="12"/>
      <c r="E479" s="8"/>
      <c r="F479" s="8"/>
      <c r="G479" s="8"/>
      <c r="H479" s="19"/>
      <c r="I479" s="12"/>
      <c r="J479" s="13"/>
      <c r="K479" s="13"/>
      <c r="L479" s="112"/>
      <c r="M479" s="13"/>
      <c r="N479" s="112"/>
      <c r="O479" s="112"/>
      <c r="P479" s="29"/>
      <c r="Q479" s="8"/>
    </row>
    <row r="480" spans="1:17" x14ac:dyDescent="0.25">
      <c r="A480" s="12"/>
      <c r="B480" s="18"/>
      <c r="C480" s="12"/>
      <c r="D480" s="12"/>
      <c r="E480" s="8"/>
      <c r="F480" s="8"/>
      <c r="G480" s="8"/>
      <c r="H480" s="19"/>
      <c r="I480" s="12"/>
      <c r="J480" s="13"/>
      <c r="K480" s="13"/>
      <c r="L480" s="112"/>
      <c r="M480" s="13"/>
      <c r="N480" s="112"/>
      <c r="O480" s="112"/>
      <c r="P480" s="29"/>
      <c r="Q480" s="8"/>
    </row>
    <row r="481" spans="1:17" x14ac:dyDescent="0.25">
      <c r="A481" s="12"/>
      <c r="B481" s="18"/>
      <c r="C481" s="12"/>
      <c r="D481" s="12"/>
      <c r="E481" s="8"/>
      <c r="F481" s="8"/>
      <c r="G481" s="8"/>
      <c r="H481" s="19"/>
      <c r="I481" s="12"/>
      <c r="J481" s="13"/>
      <c r="K481" s="13"/>
      <c r="L481" s="112"/>
      <c r="M481" s="13"/>
      <c r="N481" s="112"/>
      <c r="O481" s="112"/>
      <c r="P481" s="29"/>
      <c r="Q481" s="8"/>
    </row>
    <row r="482" spans="1:17" x14ac:dyDescent="0.25">
      <c r="A482" s="12"/>
      <c r="B482" s="18"/>
      <c r="C482" s="12"/>
      <c r="D482" s="12"/>
      <c r="E482" s="8"/>
      <c r="F482" s="8"/>
      <c r="G482" s="8"/>
      <c r="H482" s="19"/>
      <c r="I482" s="12"/>
      <c r="J482" s="13"/>
      <c r="K482" s="13"/>
      <c r="L482" s="112"/>
      <c r="M482" s="13"/>
      <c r="N482" s="112"/>
      <c r="O482" s="112"/>
      <c r="P482" s="29"/>
      <c r="Q482" s="8"/>
    </row>
    <row r="483" spans="1:17" x14ac:dyDescent="0.25">
      <c r="A483" s="12"/>
      <c r="B483" s="18"/>
      <c r="C483" s="12"/>
      <c r="D483" s="12"/>
      <c r="E483" s="8"/>
      <c r="F483" s="8"/>
      <c r="G483" s="8"/>
      <c r="H483" s="19"/>
      <c r="I483" s="12"/>
      <c r="J483" s="13"/>
      <c r="K483" s="13"/>
      <c r="L483" s="112"/>
      <c r="M483" s="13"/>
      <c r="N483" s="112"/>
      <c r="O483" s="112"/>
      <c r="P483" s="29"/>
      <c r="Q483" s="8"/>
    </row>
    <row r="484" spans="1:17" x14ac:dyDescent="0.25">
      <c r="A484" s="12"/>
      <c r="B484" s="18"/>
      <c r="C484" s="12"/>
      <c r="D484" s="12"/>
      <c r="E484" s="8"/>
      <c r="F484" s="8"/>
      <c r="G484" s="8"/>
      <c r="H484" s="19"/>
      <c r="I484" s="12"/>
      <c r="J484" s="13"/>
      <c r="K484" s="13"/>
      <c r="L484" s="112"/>
      <c r="M484" s="13"/>
      <c r="N484" s="112"/>
      <c r="O484" s="112"/>
      <c r="P484" s="29"/>
      <c r="Q484" s="8"/>
    </row>
    <row r="485" spans="1:17" x14ac:dyDescent="0.25">
      <c r="A485" s="12"/>
      <c r="B485" s="18"/>
      <c r="C485" s="12"/>
      <c r="D485" s="12"/>
      <c r="E485" s="8"/>
      <c r="F485" s="8"/>
      <c r="G485" s="8"/>
      <c r="H485" s="19"/>
      <c r="I485" s="12"/>
      <c r="J485" s="13"/>
      <c r="K485" s="13"/>
      <c r="L485" s="112"/>
      <c r="M485" s="13"/>
      <c r="N485" s="112"/>
      <c r="O485" s="112"/>
      <c r="P485" s="29"/>
      <c r="Q485" s="8"/>
    </row>
    <row r="486" spans="1:17" x14ac:dyDescent="0.25">
      <c r="A486" s="12"/>
      <c r="B486" s="18"/>
      <c r="C486" s="12"/>
      <c r="D486" s="12"/>
      <c r="E486" s="8"/>
      <c r="F486" s="8"/>
      <c r="G486" s="8"/>
      <c r="H486" s="19"/>
      <c r="I486" s="12"/>
      <c r="J486" s="13"/>
      <c r="K486" s="13"/>
      <c r="L486" s="112"/>
      <c r="M486" s="13"/>
      <c r="N486" s="112"/>
      <c r="O486" s="112"/>
      <c r="P486" s="29"/>
      <c r="Q486" s="8"/>
    </row>
    <row r="487" spans="1:17" x14ac:dyDescent="0.25">
      <c r="A487" s="12"/>
      <c r="B487" s="18"/>
      <c r="C487" s="12"/>
      <c r="D487" s="12"/>
      <c r="E487" s="8"/>
      <c r="F487" s="8"/>
      <c r="G487" s="8"/>
      <c r="H487" s="19"/>
      <c r="I487" s="12"/>
      <c r="J487" s="13"/>
      <c r="K487" s="13"/>
      <c r="L487" s="112"/>
      <c r="M487" s="13"/>
      <c r="N487" s="112"/>
      <c r="O487" s="112"/>
      <c r="P487" s="29"/>
      <c r="Q487" s="8"/>
    </row>
    <row r="488" spans="1:17" x14ac:dyDescent="0.25">
      <c r="A488" s="12"/>
      <c r="B488" s="18"/>
      <c r="C488" s="12"/>
      <c r="D488" s="12"/>
      <c r="E488" s="8"/>
      <c r="F488" s="8"/>
      <c r="G488" s="8"/>
      <c r="H488" s="19"/>
      <c r="I488" s="12"/>
      <c r="J488" s="13"/>
      <c r="K488" s="13"/>
      <c r="L488" s="112"/>
      <c r="M488" s="13"/>
      <c r="N488" s="112"/>
      <c r="O488" s="112"/>
      <c r="P488" s="29"/>
      <c r="Q488" s="8"/>
    </row>
    <row r="489" spans="1:17" x14ac:dyDescent="0.25">
      <c r="A489" s="12"/>
      <c r="B489" s="18"/>
      <c r="C489" s="12"/>
      <c r="D489" s="12"/>
      <c r="E489" s="8"/>
      <c r="F489" s="8"/>
      <c r="G489" s="8"/>
      <c r="H489" s="19"/>
      <c r="I489" s="12"/>
      <c r="J489" s="13"/>
      <c r="K489" s="13"/>
      <c r="L489" s="112"/>
      <c r="M489" s="13"/>
      <c r="N489" s="112"/>
      <c r="O489" s="112"/>
      <c r="P489" s="29"/>
      <c r="Q489" s="8"/>
    </row>
    <row r="490" spans="1:17" x14ac:dyDescent="0.25">
      <c r="A490" s="12"/>
      <c r="B490" s="18"/>
      <c r="C490" s="12"/>
      <c r="D490" s="12"/>
      <c r="E490" s="8"/>
      <c r="F490" s="8"/>
      <c r="G490" s="8"/>
      <c r="H490" s="19"/>
      <c r="I490" s="12"/>
      <c r="J490" s="13"/>
      <c r="K490" s="13"/>
      <c r="L490" s="112"/>
      <c r="M490" s="13"/>
      <c r="N490" s="112"/>
      <c r="O490" s="112"/>
      <c r="P490" s="29"/>
      <c r="Q490" s="8"/>
    </row>
    <row r="491" spans="1:17" x14ac:dyDescent="0.25">
      <c r="A491" s="12"/>
      <c r="B491" s="18"/>
      <c r="C491" s="12"/>
      <c r="D491" s="12"/>
      <c r="E491" s="8"/>
      <c r="F491" s="8"/>
      <c r="G491" s="8"/>
      <c r="H491" s="19"/>
      <c r="I491" s="12"/>
      <c r="J491" s="13"/>
      <c r="K491" s="13"/>
      <c r="L491" s="112"/>
      <c r="M491" s="13"/>
      <c r="N491" s="112"/>
      <c r="O491" s="112"/>
      <c r="P491" s="29"/>
      <c r="Q491" s="8"/>
    </row>
    <row r="492" spans="1:17" x14ac:dyDescent="0.25">
      <c r="A492" s="12"/>
      <c r="B492" s="18"/>
      <c r="C492" s="12"/>
      <c r="D492" s="12"/>
      <c r="E492" s="8"/>
      <c r="F492" s="8"/>
      <c r="G492" s="8"/>
      <c r="H492" s="19"/>
      <c r="I492" s="12"/>
      <c r="J492" s="13"/>
      <c r="K492" s="13"/>
      <c r="L492" s="112"/>
      <c r="M492" s="13"/>
      <c r="N492" s="112"/>
      <c r="O492" s="112"/>
      <c r="P492" s="29"/>
      <c r="Q492" s="8"/>
    </row>
    <row r="493" spans="1:17" x14ac:dyDescent="0.25">
      <c r="A493" s="12"/>
      <c r="B493" s="18"/>
      <c r="C493" s="12"/>
      <c r="D493" s="12"/>
      <c r="E493" s="8"/>
      <c r="F493" s="8"/>
      <c r="G493" s="8"/>
      <c r="H493" s="19"/>
      <c r="I493" s="12"/>
      <c r="J493" s="13"/>
      <c r="K493" s="13"/>
      <c r="L493" s="112"/>
      <c r="M493" s="13"/>
      <c r="N493" s="112"/>
      <c r="O493" s="112"/>
      <c r="P493" s="29"/>
      <c r="Q493" s="8"/>
    </row>
    <row r="494" spans="1:17" x14ac:dyDescent="0.25">
      <c r="A494" s="12"/>
      <c r="B494" s="18"/>
      <c r="C494" s="12"/>
      <c r="D494" s="12"/>
      <c r="E494" s="8"/>
      <c r="F494" s="8"/>
      <c r="G494" s="8"/>
      <c r="H494" s="19"/>
      <c r="I494" s="12"/>
      <c r="J494" s="13"/>
      <c r="K494" s="13"/>
      <c r="L494" s="112"/>
      <c r="M494" s="13"/>
      <c r="N494" s="112"/>
      <c r="O494" s="112"/>
      <c r="P494" s="29"/>
      <c r="Q494" s="8"/>
    </row>
    <row r="495" spans="1:17" x14ac:dyDescent="0.25">
      <c r="A495" s="12"/>
      <c r="B495" s="18"/>
      <c r="C495" s="12"/>
      <c r="D495" s="12"/>
      <c r="E495" s="8"/>
      <c r="F495" s="8"/>
      <c r="G495" s="8"/>
      <c r="H495" s="19"/>
      <c r="I495" s="12"/>
      <c r="J495" s="13"/>
      <c r="K495" s="13"/>
      <c r="L495" s="112"/>
      <c r="M495" s="13"/>
      <c r="N495" s="112"/>
      <c r="O495" s="112"/>
      <c r="P495" s="29"/>
      <c r="Q495" s="8"/>
    </row>
    <row r="496" spans="1:17" x14ac:dyDescent="0.25">
      <c r="A496" s="12"/>
      <c r="B496" s="18"/>
      <c r="C496" s="12"/>
      <c r="D496" s="12"/>
      <c r="E496" s="8"/>
      <c r="F496" s="8"/>
      <c r="G496" s="8"/>
      <c r="H496" s="19"/>
      <c r="I496" s="12"/>
      <c r="J496" s="13"/>
      <c r="K496" s="13"/>
      <c r="L496" s="112"/>
      <c r="M496" s="13"/>
      <c r="N496" s="112"/>
      <c r="O496" s="112"/>
      <c r="P496" s="29"/>
      <c r="Q496" s="8"/>
    </row>
    <row r="497" spans="1:17" x14ac:dyDescent="0.25">
      <c r="A497" s="12"/>
      <c r="B497" s="18"/>
      <c r="C497" s="12"/>
      <c r="D497" s="12"/>
      <c r="E497" s="8"/>
      <c r="F497" s="8"/>
      <c r="G497" s="8"/>
      <c r="H497" s="19"/>
      <c r="I497" s="12"/>
      <c r="J497" s="13"/>
      <c r="K497" s="13"/>
      <c r="L497" s="112"/>
      <c r="M497" s="13"/>
      <c r="N497" s="112"/>
      <c r="O497" s="112"/>
      <c r="P497" s="29"/>
      <c r="Q497" s="8"/>
    </row>
    <row r="498" spans="1:17" x14ac:dyDescent="0.25">
      <c r="A498" s="12"/>
      <c r="B498" s="18"/>
      <c r="C498" s="12"/>
      <c r="D498" s="12"/>
      <c r="E498" s="8"/>
      <c r="F498" s="8"/>
      <c r="G498" s="8"/>
      <c r="H498" s="19"/>
      <c r="I498" s="12"/>
      <c r="J498" s="13"/>
      <c r="K498" s="13"/>
      <c r="L498" s="112"/>
      <c r="M498" s="13"/>
      <c r="N498" s="112"/>
      <c r="O498" s="112"/>
      <c r="P498" s="29"/>
      <c r="Q498" s="8"/>
    </row>
    <row r="499" spans="1:17" x14ac:dyDescent="0.25">
      <c r="A499" s="12"/>
      <c r="B499" s="18"/>
      <c r="C499" s="12"/>
      <c r="D499" s="12"/>
      <c r="E499" s="8"/>
      <c r="F499" s="8"/>
      <c r="G499" s="8"/>
      <c r="H499" s="19"/>
      <c r="I499" s="12"/>
      <c r="J499" s="13"/>
      <c r="K499" s="13"/>
      <c r="L499" s="112"/>
      <c r="M499" s="13"/>
      <c r="N499" s="112"/>
      <c r="O499" s="112"/>
      <c r="P499" s="29"/>
      <c r="Q499" s="8"/>
    </row>
    <row r="500" spans="1:17" x14ac:dyDescent="0.25">
      <c r="A500" s="12"/>
      <c r="B500" s="18"/>
      <c r="C500" s="12"/>
      <c r="D500" s="12"/>
      <c r="E500" s="8"/>
      <c r="F500" s="8"/>
      <c r="G500" s="8"/>
      <c r="H500" s="19"/>
      <c r="I500" s="12"/>
      <c r="J500" s="13"/>
      <c r="K500" s="13"/>
      <c r="L500" s="112"/>
      <c r="M500" s="13"/>
      <c r="N500" s="112"/>
      <c r="O500" s="112"/>
      <c r="P500" s="29"/>
      <c r="Q500" s="8"/>
    </row>
    <row r="501" spans="1:17" x14ac:dyDescent="0.25">
      <c r="A501" s="12"/>
      <c r="B501" s="18"/>
      <c r="C501" s="12"/>
      <c r="D501" s="12"/>
      <c r="E501" s="8"/>
      <c r="F501" s="8"/>
      <c r="G501" s="8"/>
      <c r="H501" s="19"/>
      <c r="I501" s="12"/>
      <c r="J501" s="13"/>
      <c r="K501" s="13"/>
      <c r="L501" s="112"/>
      <c r="M501" s="13"/>
      <c r="N501" s="112"/>
      <c r="O501" s="112"/>
      <c r="P501" s="29"/>
      <c r="Q501" s="8"/>
    </row>
    <row r="502" spans="1:17" x14ac:dyDescent="0.25">
      <c r="A502" s="12"/>
      <c r="B502" s="18"/>
      <c r="C502" s="12"/>
      <c r="D502" s="12"/>
      <c r="E502" s="8"/>
      <c r="F502" s="8"/>
      <c r="G502" s="8"/>
      <c r="H502" s="19"/>
      <c r="I502" s="12"/>
      <c r="J502" s="13"/>
      <c r="K502" s="13"/>
      <c r="L502" s="112"/>
      <c r="M502" s="13"/>
      <c r="N502" s="112"/>
      <c r="O502" s="112"/>
      <c r="P502" s="29"/>
      <c r="Q502" s="8"/>
    </row>
    <row r="503" spans="1:17" x14ac:dyDescent="0.25">
      <c r="A503" s="12"/>
      <c r="B503" s="18"/>
      <c r="C503" s="12"/>
      <c r="D503" s="12"/>
      <c r="E503" s="8"/>
      <c r="F503" s="8"/>
      <c r="G503" s="8"/>
      <c r="H503" s="19"/>
      <c r="I503" s="12"/>
      <c r="J503" s="13"/>
      <c r="K503" s="13"/>
      <c r="L503" s="112"/>
      <c r="M503" s="13"/>
      <c r="N503" s="112"/>
      <c r="O503" s="112"/>
      <c r="P503" s="29"/>
      <c r="Q503" s="8"/>
    </row>
    <row r="504" spans="1:17" x14ac:dyDescent="0.25">
      <c r="A504" s="12"/>
      <c r="B504" s="18"/>
      <c r="C504" s="12"/>
      <c r="D504" s="12"/>
      <c r="E504" s="8"/>
      <c r="F504" s="8"/>
      <c r="G504" s="8"/>
      <c r="H504" s="19"/>
      <c r="I504" s="12"/>
      <c r="J504" s="13"/>
      <c r="K504" s="13"/>
      <c r="L504" s="112"/>
      <c r="M504" s="13"/>
      <c r="N504" s="112"/>
      <c r="O504" s="112"/>
      <c r="P504" s="29"/>
      <c r="Q504" s="8"/>
    </row>
    <row r="505" spans="1:17" x14ac:dyDescent="0.25">
      <c r="A505" s="12"/>
      <c r="B505" s="18"/>
      <c r="C505" s="12"/>
      <c r="D505" s="12"/>
      <c r="E505" s="8"/>
      <c r="F505" s="8"/>
      <c r="G505" s="8"/>
      <c r="H505" s="19"/>
      <c r="I505" s="12"/>
      <c r="J505" s="13"/>
      <c r="K505" s="13"/>
      <c r="L505" s="112"/>
      <c r="M505" s="13"/>
      <c r="N505" s="112"/>
      <c r="O505" s="112"/>
      <c r="P505" s="29"/>
      <c r="Q505" s="8"/>
    </row>
    <row r="506" spans="1:17" x14ac:dyDescent="0.25">
      <c r="A506" s="12"/>
      <c r="B506" s="18"/>
      <c r="C506" s="12"/>
      <c r="D506" s="12"/>
      <c r="E506" s="8"/>
      <c r="F506" s="8"/>
      <c r="G506" s="8"/>
      <c r="H506" s="19"/>
      <c r="I506" s="12"/>
      <c r="J506" s="13"/>
      <c r="K506" s="13"/>
      <c r="L506" s="112"/>
      <c r="M506" s="13"/>
      <c r="N506" s="112"/>
      <c r="O506" s="112"/>
      <c r="P506" s="29"/>
      <c r="Q506" s="8"/>
    </row>
    <row r="507" spans="1:17" x14ac:dyDescent="0.25">
      <c r="A507" s="12"/>
      <c r="B507" s="18"/>
      <c r="C507" s="12"/>
      <c r="D507" s="12"/>
      <c r="E507" s="8"/>
      <c r="F507" s="8"/>
      <c r="G507" s="8"/>
      <c r="H507" s="19"/>
      <c r="I507" s="12"/>
      <c r="J507" s="13"/>
      <c r="K507" s="13"/>
      <c r="L507" s="112"/>
      <c r="M507" s="13"/>
      <c r="N507" s="112"/>
      <c r="O507" s="112"/>
      <c r="P507" s="29"/>
      <c r="Q507" s="8"/>
    </row>
    <row r="508" spans="1:17" x14ac:dyDescent="0.25">
      <c r="A508" s="12"/>
      <c r="B508" s="18"/>
      <c r="C508" s="12"/>
      <c r="D508" s="12"/>
      <c r="E508" s="8"/>
      <c r="F508" s="8"/>
      <c r="G508" s="8"/>
      <c r="H508" s="19"/>
      <c r="I508" s="12"/>
      <c r="J508" s="13"/>
      <c r="K508" s="13"/>
      <c r="L508" s="112"/>
      <c r="M508" s="13"/>
      <c r="N508" s="112"/>
      <c r="O508" s="112"/>
      <c r="P508" s="29"/>
      <c r="Q508" s="8"/>
    </row>
    <row r="509" spans="1:17" x14ac:dyDescent="0.25">
      <c r="A509" s="12"/>
      <c r="B509" s="18"/>
      <c r="C509" s="12"/>
      <c r="D509" s="12"/>
      <c r="E509" s="8"/>
      <c r="F509" s="8"/>
      <c r="G509" s="8"/>
      <c r="H509" s="19"/>
      <c r="I509" s="12"/>
      <c r="J509" s="13"/>
      <c r="K509" s="13"/>
      <c r="L509" s="112"/>
      <c r="M509" s="13"/>
      <c r="N509" s="112"/>
      <c r="O509" s="112"/>
      <c r="P509" s="29"/>
      <c r="Q509" s="8"/>
    </row>
    <row r="510" spans="1:17" x14ac:dyDescent="0.25">
      <c r="A510" s="12"/>
      <c r="B510" s="18"/>
      <c r="C510" s="12"/>
      <c r="D510" s="12"/>
      <c r="E510" s="8"/>
      <c r="F510" s="8"/>
      <c r="G510" s="8"/>
      <c r="H510" s="19"/>
      <c r="I510" s="12"/>
      <c r="J510" s="13"/>
      <c r="K510" s="13"/>
      <c r="L510" s="112"/>
      <c r="M510" s="13"/>
      <c r="N510" s="112"/>
      <c r="O510" s="112"/>
      <c r="P510" s="29"/>
      <c r="Q510" s="8"/>
    </row>
    <row r="511" spans="1:17" x14ac:dyDescent="0.25">
      <c r="A511" s="12"/>
      <c r="B511" s="18"/>
      <c r="C511" s="12"/>
      <c r="D511" s="12"/>
      <c r="E511" s="8"/>
      <c r="F511" s="8"/>
      <c r="G511" s="8"/>
      <c r="H511" s="19"/>
      <c r="I511" s="12"/>
      <c r="J511" s="13"/>
      <c r="K511" s="13"/>
      <c r="L511" s="112"/>
      <c r="M511" s="13"/>
      <c r="N511" s="112"/>
      <c r="O511" s="112"/>
      <c r="P511" s="29"/>
      <c r="Q511" s="8"/>
    </row>
    <row r="512" spans="1:17" x14ac:dyDescent="0.25">
      <c r="A512" s="12"/>
      <c r="B512" s="18"/>
      <c r="C512" s="12"/>
      <c r="D512" s="12"/>
      <c r="E512" s="8"/>
      <c r="F512" s="8"/>
      <c r="G512" s="8"/>
      <c r="H512" s="19"/>
      <c r="I512" s="12"/>
      <c r="J512" s="13"/>
      <c r="K512" s="13"/>
      <c r="L512" s="112"/>
      <c r="M512" s="13"/>
      <c r="N512" s="112"/>
      <c r="O512" s="112"/>
      <c r="P512" s="29"/>
      <c r="Q512" s="8"/>
    </row>
    <row r="513" spans="1:17" x14ac:dyDescent="0.25">
      <c r="A513" s="12"/>
      <c r="B513" s="18"/>
      <c r="C513" s="12"/>
      <c r="D513" s="12"/>
      <c r="E513" s="8"/>
      <c r="F513" s="8"/>
      <c r="G513" s="8"/>
      <c r="H513" s="19"/>
      <c r="I513" s="12"/>
      <c r="J513" s="13"/>
      <c r="K513" s="13"/>
      <c r="L513" s="112"/>
      <c r="M513" s="13"/>
      <c r="N513" s="112"/>
      <c r="O513" s="112"/>
      <c r="P513" s="29"/>
      <c r="Q513" s="8"/>
    </row>
    <row r="514" spans="1:17" x14ac:dyDescent="0.25">
      <c r="A514" s="12"/>
      <c r="B514" s="18"/>
      <c r="C514" s="12"/>
      <c r="D514" s="12"/>
      <c r="E514" s="8"/>
      <c r="F514" s="8"/>
      <c r="G514" s="8"/>
      <c r="H514" s="19"/>
      <c r="I514" s="12"/>
      <c r="J514" s="13"/>
      <c r="K514" s="13"/>
      <c r="L514" s="112"/>
      <c r="M514" s="13"/>
      <c r="N514" s="112"/>
      <c r="O514" s="112"/>
      <c r="P514" s="29"/>
      <c r="Q514" s="8"/>
    </row>
    <row r="515" spans="1:17" x14ac:dyDescent="0.25">
      <c r="A515" s="12"/>
      <c r="B515" s="18"/>
      <c r="C515" s="12"/>
      <c r="D515" s="12"/>
      <c r="E515" s="8"/>
      <c r="F515" s="8"/>
      <c r="G515" s="8"/>
      <c r="H515" s="19"/>
      <c r="I515" s="12"/>
      <c r="J515" s="13"/>
      <c r="K515" s="13"/>
      <c r="L515" s="112"/>
      <c r="M515" s="13"/>
      <c r="N515" s="112"/>
      <c r="O515" s="112"/>
      <c r="P515" s="29"/>
      <c r="Q515" s="8"/>
    </row>
    <row r="516" spans="1:17" x14ac:dyDescent="0.25">
      <c r="A516" s="12"/>
      <c r="B516" s="18"/>
      <c r="C516" s="12"/>
      <c r="D516" s="12"/>
      <c r="E516" s="8"/>
      <c r="F516" s="8"/>
      <c r="G516" s="8"/>
      <c r="H516" s="19"/>
      <c r="I516" s="12"/>
      <c r="J516" s="13"/>
      <c r="K516" s="13"/>
      <c r="L516" s="112"/>
      <c r="M516" s="13"/>
      <c r="N516" s="112"/>
      <c r="O516" s="112"/>
      <c r="P516" s="29"/>
      <c r="Q516" s="8"/>
    </row>
    <row r="517" spans="1:17" x14ac:dyDescent="0.25">
      <c r="A517" s="12"/>
      <c r="B517" s="18"/>
      <c r="C517" s="12"/>
      <c r="D517" s="12"/>
      <c r="E517" s="8"/>
      <c r="F517" s="8"/>
      <c r="G517" s="8"/>
      <c r="H517" s="19"/>
      <c r="I517" s="12"/>
      <c r="J517" s="13"/>
      <c r="K517" s="13"/>
      <c r="L517" s="112"/>
      <c r="M517" s="13"/>
      <c r="N517" s="112"/>
      <c r="O517" s="112"/>
      <c r="P517" s="29"/>
      <c r="Q517" s="8"/>
    </row>
    <row r="518" spans="1:17" x14ac:dyDescent="0.25">
      <c r="A518" s="12"/>
      <c r="B518" s="18"/>
      <c r="C518" s="12"/>
      <c r="D518" s="12"/>
      <c r="E518" s="8"/>
      <c r="F518" s="8"/>
      <c r="G518" s="8"/>
      <c r="H518" s="19"/>
      <c r="I518" s="12"/>
      <c r="J518" s="13"/>
      <c r="K518" s="13"/>
      <c r="L518" s="112"/>
      <c r="M518" s="13"/>
      <c r="N518" s="112"/>
      <c r="O518" s="112"/>
      <c r="P518" s="29"/>
      <c r="Q518" s="8"/>
    </row>
    <row r="519" spans="1:17" x14ac:dyDescent="0.25">
      <c r="A519" s="12"/>
      <c r="B519" s="18"/>
      <c r="C519" s="12"/>
      <c r="D519" s="12"/>
      <c r="E519" s="8"/>
      <c r="F519" s="8"/>
      <c r="G519" s="8"/>
      <c r="H519" s="19"/>
      <c r="I519" s="12"/>
      <c r="J519" s="13"/>
      <c r="K519" s="13"/>
      <c r="L519" s="112"/>
      <c r="M519" s="13"/>
      <c r="N519" s="112"/>
      <c r="O519" s="112"/>
      <c r="P519" s="29"/>
      <c r="Q519" s="8"/>
    </row>
    <row r="520" spans="1:17" x14ac:dyDescent="0.25">
      <c r="A520" s="12"/>
      <c r="B520" s="18"/>
      <c r="C520" s="12"/>
      <c r="D520" s="12"/>
      <c r="E520" s="8"/>
      <c r="F520" s="8"/>
      <c r="G520" s="8"/>
      <c r="H520" s="19"/>
      <c r="I520" s="12"/>
      <c r="J520" s="13"/>
      <c r="K520" s="13"/>
      <c r="L520" s="112"/>
      <c r="M520" s="13"/>
      <c r="N520" s="112"/>
      <c r="O520" s="112"/>
      <c r="P520" s="29"/>
      <c r="Q520" s="8"/>
    </row>
    <row r="521" spans="1:17" x14ac:dyDescent="0.25">
      <c r="A521" s="12"/>
      <c r="B521" s="18"/>
      <c r="C521" s="12"/>
      <c r="D521" s="12"/>
      <c r="E521" s="8"/>
      <c r="F521" s="8"/>
      <c r="G521" s="8"/>
      <c r="H521" s="19"/>
      <c r="I521" s="12"/>
      <c r="J521" s="13"/>
      <c r="K521" s="13"/>
      <c r="L521" s="112"/>
      <c r="M521" s="13"/>
      <c r="N521" s="112"/>
      <c r="O521" s="112"/>
      <c r="P521" s="29"/>
      <c r="Q521" s="8"/>
    </row>
    <row r="522" spans="1:17" x14ac:dyDescent="0.25">
      <c r="A522" s="12"/>
      <c r="B522" s="18"/>
      <c r="C522" s="12"/>
      <c r="D522" s="12"/>
      <c r="E522" s="8"/>
      <c r="F522" s="8"/>
      <c r="G522" s="8"/>
      <c r="H522" s="19"/>
      <c r="I522" s="12"/>
      <c r="J522" s="13"/>
      <c r="K522" s="13"/>
      <c r="L522" s="112"/>
      <c r="M522" s="13"/>
      <c r="N522" s="112"/>
      <c r="O522" s="112"/>
      <c r="P522" s="29"/>
      <c r="Q522" s="8"/>
    </row>
    <row r="523" spans="1:17" x14ac:dyDescent="0.25">
      <c r="A523" s="12"/>
      <c r="B523" s="18"/>
      <c r="C523" s="12"/>
      <c r="D523" s="12"/>
      <c r="E523" s="8"/>
      <c r="F523" s="8"/>
      <c r="G523" s="8"/>
      <c r="H523" s="19"/>
      <c r="I523" s="12"/>
      <c r="J523" s="13"/>
      <c r="K523" s="13"/>
      <c r="L523" s="112"/>
      <c r="M523" s="13"/>
      <c r="N523" s="112"/>
      <c r="O523" s="112"/>
      <c r="P523" s="29"/>
      <c r="Q523" s="8"/>
    </row>
    <row r="524" spans="1:17" x14ac:dyDescent="0.25">
      <c r="A524" s="12"/>
      <c r="B524" s="18"/>
      <c r="C524" s="12"/>
      <c r="D524" s="12"/>
      <c r="E524" s="8"/>
      <c r="F524" s="8"/>
      <c r="G524" s="8"/>
      <c r="H524" s="19"/>
      <c r="I524" s="12"/>
      <c r="J524" s="13"/>
      <c r="K524" s="13"/>
      <c r="L524" s="112"/>
      <c r="M524" s="13"/>
      <c r="N524" s="112"/>
      <c r="O524" s="112"/>
      <c r="P524" s="29"/>
      <c r="Q524" s="8"/>
    </row>
    <row r="525" spans="1:17" x14ac:dyDescent="0.25">
      <c r="A525" s="12"/>
      <c r="B525" s="18"/>
      <c r="C525" s="12"/>
      <c r="D525" s="12"/>
      <c r="E525" s="8"/>
      <c r="F525" s="8"/>
      <c r="G525" s="8"/>
      <c r="H525" s="19"/>
      <c r="I525" s="12"/>
      <c r="J525" s="13"/>
      <c r="K525" s="13"/>
      <c r="L525" s="112"/>
      <c r="M525" s="13"/>
      <c r="N525" s="112"/>
      <c r="O525" s="112"/>
      <c r="P525" s="29"/>
      <c r="Q525" s="8"/>
    </row>
    <row r="526" spans="1:17" x14ac:dyDescent="0.25">
      <c r="A526" s="12"/>
      <c r="B526" s="18"/>
      <c r="C526" s="12"/>
      <c r="D526" s="12"/>
      <c r="E526" s="8"/>
      <c r="F526" s="8"/>
      <c r="G526" s="8"/>
      <c r="H526" s="19"/>
      <c r="I526" s="12"/>
      <c r="J526" s="13"/>
      <c r="K526" s="13"/>
      <c r="L526" s="112"/>
      <c r="M526" s="13"/>
      <c r="N526" s="112"/>
      <c r="O526" s="112"/>
      <c r="P526" s="29"/>
      <c r="Q526" s="8"/>
    </row>
    <row r="527" spans="1:17" x14ac:dyDescent="0.25">
      <c r="A527" s="12"/>
      <c r="B527" s="18"/>
      <c r="C527" s="12"/>
      <c r="D527" s="12"/>
      <c r="E527" s="8"/>
      <c r="F527" s="8"/>
      <c r="G527" s="8"/>
      <c r="H527" s="19"/>
      <c r="I527" s="12"/>
      <c r="J527" s="13"/>
      <c r="K527" s="13"/>
      <c r="L527" s="112"/>
      <c r="M527" s="13"/>
      <c r="N527" s="112"/>
      <c r="O527" s="112"/>
      <c r="P527" s="29"/>
      <c r="Q527" s="8"/>
    </row>
    <row r="528" spans="1:17" x14ac:dyDescent="0.25">
      <c r="A528" s="12"/>
      <c r="B528" s="18"/>
      <c r="C528" s="12"/>
      <c r="D528" s="12"/>
      <c r="E528" s="8"/>
      <c r="F528" s="8"/>
      <c r="G528" s="8"/>
      <c r="H528" s="19"/>
      <c r="I528" s="12"/>
      <c r="J528" s="13"/>
      <c r="K528" s="13"/>
      <c r="L528" s="112"/>
      <c r="M528" s="13"/>
      <c r="N528" s="112"/>
      <c r="O528" s="112"/>
      <c r="P528" s="29"/>
      <c r="Q528" s="8"/>
    </row>
    <row r="529" spans="1:17" x14ac:dyDescent="0.25">
      <c r="A529" s="12"/>
      <c r="B529" s="18"/>
      <c r="C529" s="12"/>
      <c r="D529" s="12"/>
      <c r="E529" s="8"/>
      <c r="F529" s="8"/>
      <c r="G529" s="8"/>
      <c r="H529" s="19"/>
      <c r="I529" s="12"/>
      <c r="J529" s="13"/>
      <c r="K529" s="13"/>
      <c r="L529" s="112"/>
      <c r="M529" s="13"/>
      <c r="N529" s="112"/>
      <c r="O529" s="112"/>
      <c r="P529" s="29"/>
      <c r="Q529" s="8"/>
    </row>
    <row r="530" spans="1:17" x14ac:dyDescent="0.25">
      <c r="A530" s="12"/>
      <c r="B530" s="18"/>
      <c r="C530" s="12"/>
      <c r="D530" s="12"/>
      <c r="E530" s="8"/>
      <c r="F530" s="8"/>
      <c r="G530" s="8"/>
      <c r="H530" s="19"/>
      <c r="I530" s="12"/>
      <c r="J530" s="13"/>
      <c r="K530" s="13"/>
      <c r="L530" s="112"/>
      <c r="M530" s="13"/>
      <c r="N530" s="112"/>
      <c r="O530" s="112"/>
      <c r="P530" s="29"/>
      <c r="Q530" s="8"/>
    </row>
    <row r="531" spans="1:17" x14ac:dyDescent="0.25">
      <c r="A531" s="12"/>
      <c r="B531" s="18"/>
      <c r="C531" s="12"/>
      <c r="D531" s="12"/>
      <c r="E531" s="8"/>
      <c r="F531" s="8"/>
      <c r="G531" s="8"/>
      <c r="H531" s="19"/>
      <c r="I531" s="12"/>
      <c r="J531" s="13"/>
      <c r="K531" s="13"/>
      <c r="L531" s="112"/>
      <c r="M531" s="13"/>
      <c r="N531" s="112"/>
      <c r="O531" s="112"/>
      <c r="P531" s="29"/>
      <c r="Q531" s="8"/>
    </row>
    <row r="532" spans="1:17" x14ac:dyDescent="0.25">
      <c r="A532" s="12"/>
      <c r="B532" s="18"/>
      <c r="C532" s="12"/>
      <c r="D532" s="12"/>
      <c r="E532" s="8"/>
      <c r="F532" s="8"/>
      <c r="G532" s="8"/>
      <c r="H532" s="19"/>
      <c r="I532" s="12"/>
      <c r="J532" s="13"/>
      <c r="K532" s="13"/>
      <c r="L532" s="112"/>
      <c r="M532" s="13"/>
      <c r="N532" s="112"/>
      <c r="O532" s="112"/>
      <c r="P532" s="29"/>
      <c r="Q532" s="8"/>
    </row>
    <row r="533" spans="1:17" x14ac:dyDescent="0.25">
      <c r="A533" s="12"/>
      <c r="B533" s="18"/>
      <c r="C533" s="12"/>
      <c r="D533" s="12"/>
      <c r="E533" s="8"/>
      <c r="F533" s="8"/>
      <c r="G533" s="8"/>
      <c r="H533" s="19"/>
      <c r="I533" s="12"/>
      <c r="J533" s="13"/>
      <c r="K533" s="13"/>
      <c r="L533" s="112"/>
      <c r="M533" s="13"/>
      <c r="N533" s="112"/>
      <c r="O533" s="112"/>
      <c r="P533" s="29"/>
      <c r="Q533" s="8"/>
    </row>
    <row r="534" spans="1:17" x14ac:dyDescent="0.25">
      <c r="A534" s="12"/>
      <c r="B534" s="18"/>
      <c r="C534" s="12"/>
      <c r="D534" s="12"/>
      <c r="E534" s="8"/>
      <c r="F534" s="8"/>
      <c r="G534" s="8"/>
      <c r="H534" s="19"/>
      <c r="I534" s="12"/>
      <c r="J534" s="13"/>
      <c r="K534" s="13"/>
      <c r="L534" s="112"/>
      <c r="M534" s="13"/>
      <c r="N534" s="112"/>
      <c r="O534" s="112"/>
      <c r="P534" s="29"/>
      <c r="Q534" s="8"/>
    </row>
    <row r="535" spans="1:17" x14ac:dyDescent="0.25">
      <c r="A535" s="12"/>
      <c r="B535" s="18"/>
      <c r="C535" s="12"/>
      <c r="D535" s="12"/>
      <c r="E535" s="8"/>
      <c r="F535" s="8"/>
      <c r="G535" s="8"/>
      <c r="H535" s="19"/>
      <c r="I535" s="12"/>
      <c r="J535" s="13"/>
      <c r="K535" s="13"/>
      <c r="L535" s="112"/>
      <c r="M535" s="13"/>
      <c r="N535" s="112"/>
      <c r="O535" s="112"/>
      <c r="P535" s="29"/>
      <c r="Q535" s="8"/>
    </row>
    <row r="536" spans="1:17" x14ac:dyDescent="0.25">
      <c r="A536" s="12"/>
      <c r="B536" s="18"/>
      <c r="C536" s="12"/>
      <c r="D536" s="12"/>
      <c r="E536" s="8"/>
      <c r="F536" s="8"/>
      <c r="G536" s="8"/>
      <c r="H536" s="19"/>
      <c r="I536" s="12"/>
      <c r="J536" s="13"/>
      <c r="K536" s="13"/>
      <c r="L536" s="112"/>
      <c r="M536" s="13"/>
      <c r="N536" s="112"/>
      <c r="O536" s="112"/>
      <c r="P536" s="29"/>
      <c r="Q536" s="8"/>
    </row>
    <row r="537" spans="1:17" x14ac:dyDescent="0.25">
      <c r="A537" s="12"/>
      <c r="B537" s="18"/>
      <c r="C537" s="12"/>
      <c r="D537" s="12"/>
      <c r="E537" s="8"/>
      <c r="F537" s="8"/>
      <c r="G537" s="8"/>
      <c r="H537" s="19"/>
      <c r="I537" s="12"/>
      <c r="J537" s="13"/>
      <c r="K537" s="13"/>
      <c r="L537" s="112"/>
      <c r="M537" s="13"/>
      <c r="N537" s="112"/>
      <c r="O537" s="112"/>
      <c r="P537" s="29"/>
      <c r="Q537" s="8"/>
    </row>
    <row r="538" spans="1:17" x14ac:dyDescent="0.25">
      <c r="A538" s="12"/>
      <c r="B538" s="18"/>
      <c r="C538" s="12"/>
      <c r="D538" s="12"/>
      <c r="E538" s="8"/>
      <c r="F538" s="8"/>
      <c r="G538" s="8"/>
      <c r="H538" s="19"/>
      <c r="I538" s="12"/>
      <c r="J538" s="13"/>
      <c r="K538" s="13"/>
      <c r="L538" s="112"/>
      <c r="M538" s="13"/>
      <c r="N538" s="112"/>
      <c r="O538" s="112"/>
      <c r="P538" s="29"/>
      <c r="Q538" s="8"/>
    </row>
    <row r="539" spans="1:17" x14ac:dyDescent="0.25">
      <c r="A539" s="12"/>
      <c r="B539" s="18"/>
      <c r="C539" s="12"/>
      <c r="D539" s="12"/>
      <c r="E539" s="8"/>
      <c r="F539" s="8"/>
      <c r="G539" s="8"/>
      <c r="H539" s="19"/>
      <c r="I539" s="12"/>
      <c r="J539" s="13"/>
      <c r="K539" s="13"/>
      <c r="L539" s="112"/>
      <c r="M539" s="13"/>
      <c r="N539" s="112"/>
      <c r="O539" s="112"/>
      <c r="P539" s="29"/>
      <c r="Q539" s="8"/>
    </row>
    <row r="540" spans="1:17" x14ac:dyDescent="0.25">
      <c r="A540" s="12"/>
      <c r="B540" s="18"/>
      <c r="C540" s="12"/>
      <c r="D540" s="12"/>
      <c r="E540" s="8"/>
      <c r="F540" s="8"/>
      <c r="G540" s="8"/>
      <c r="H540" s="19"/>
      <c r="I540" s="12"/>
      <c r="J540" s="13"/>
      <c r="K540" s="13"/>
      <c r="L540" s="112"/>
      <c r="M540" s="13"/>
      <c r="N540" s="112"/>
      <c r="O540" s="112"/>
      <c r="P540" s="29"/>
      <c r="Q540" s="8"/>
    </row>
    <row r="541" spans="1:17" x14ac:dyDescent="0.25">
      <c r="A541" s="12"/>
      <c r="B541" s="18"/>
      <c r="C541" s="12"/>
      <c r="D541" s="12"/>
      <c r="E541" s="8"/>
      <c r="F541" s="8"/>
      <c r="G541" s="8"/>
      <c r="H541" s="19"/>
      <c r="I541" s="12"/>
      <c r="J541" s="13"/>
      <c r="K541" s="13"/>
      <c r="L541" s="112"/>
      <c r="M541" s="13"/>
      <c r="N541" s="112"/>
      <c r="O541" s="112"/>
      <c r="P541" s="29"/>
      <c r="Q541" s="8"/>
    </row>
    <row r="542" spans="1:17" x14ac:dyDescent="0.25">
      <c r="A542" s="12"/>
      <c r="B542" s="18"/>
      <c r="C542" s="12"/>
      <c r="D542" s="12"/>
      <c r="E542" s="8"/>
      <c r="F542" s="8"/>
      <c r="G542" s="8"/>
      <c r="H542" s="19"/>
      <c r="I542" s="12"/>
      <c r="J542" s="13"/>
      <c r="K542" s="13"/>
      <c r="L542" s="112"/>
      <c r="M542" s="13"/>
      <c r="N542" s="112"/>
      <c r="O542" s="112"/>
      <c r="P542" s="29"/>
      <c r="Q542" s="8"/>
    </row>
    <row r="543" spans="1:17" x14ac:dyDescent="0.25">
      <c r="A543" s="12"/>
      <c r="B543" s="18"/>
      <c r="C543" s="12"/>
      <c r="D543" s="12"/>
      <c r="E543" s="8"/>
      <c r="F543" s="8"/>
      <c r="G543" s="8"/>
      <c r="H543" s="19"/>
      <c r="I543" s="12"/>
      <c r="J543" s="13"/>
      <c r="K543" s="13"/>
      <c r="L543" s="112"/>
      <c r="M543" s="13"/>
      <c r="N543" s="112"/>
      <c r="O543" s="112"/>
      <c r="P543" s="29"/>
      <c r="Q543" s="8"/>
    </row>
    <row r="544" spans="1:17" x14ac:dyDescent="0.25">
      <c r="A544" s="12"/>
      <c r="B544" s="18"/>
      <c r="C544" s="12"/>
      <c r="D544" s="12"/>
      <c r="E544" s="8"/>
      <c r="F544" s="8"/>
      <c r="G544" s="8"/>
      <c r="H544" s="19"/>
      <c r="I544" s="12"/>
      <c r="J544" s="13"/>
      <c r="K544" s="13"/>
      <c r="L544" s="112"/>
      <c r="M544" s="13"/>
      <c r="N544" s="112"/>
      <c r="O544" s="112"/>
      <c r="P544" s="29"/>
      <c r="Q544" s="8"/>
    </row>
    <row r="545" spans="1:17" x14ac:dyDescent="0.25">
      <c r="A545" s="12"/>
      <c r="B545" s="18"/>
      <c r="C545" s="12"/>
      <c r="D545" s="12"/>
      <c r="E545" s="8"/>
      <c r="F545" s="8"/>
      <c r="G545" s="8"/>
      <c r="H545" s="19"/>
      <c r="I545" s="12"/>
      <c r="J545" s="13"/>
      <c r="K545" s="13"/>
      <c r="L545" s="112"/>
      <c r="M545" s="13"/>
      <c r="N545" s="112"/>
      <c r="O545" s="112"/>
      <c r="P545" s="29"/>
      <c r="Q545" s="8"/>
    </row>
    <row r="546" spans="1:17" x14ac:dyDescent="0.25">
      <c r="A546" s="12"/>
      <c r="B546" s="18"/>
      <c r="C546" s="12"/>
      <c r="D546" s="12"/>
      <c r="E546" s="8"/>
      <c r="F546" s="8"/>
      <c r="G546" s="8"/>
      <c r="H546" s="19"/>
      <c r="I546" s="12"/>
      <c r="J546" s="13"/>
      <c r="K546" s="13"/>
      <c r="L546" s="112"/>
      <c r="M546" s="13"/>
      <c r="N546" s="112"/>
      <c r="O546" s="112"/>
      <c r="P546" s="29"/>
      <c r="Q546" s="8"/>
    </row>
    <row r="547" spans="1:17" x14ac:dyDescent="0.25">
      <c r="A547" s="12"/>
      <c r="B547" s="18"/>
      <c r="C547" s="12"/>
      <c r="D547" s="12"/>
      <c r="E547" s="8"/>
      <c r="F547" s="8"/>
      <c r="G547" s="8"/>
      <c r="H547" s="19"/>
      <c r="I547" s="12"/>
      <c r="J547" s="13"/>
      <c r="K547" s="13"/>
      <c r="L547" s="112"/>
      <c r="M547" s="13"/>
      <c r="N547" s="112"/>
      <c r="O547" s="112"/>
      <c r="P547" s="29"/>
      <c r="Q547" s="8"/>
    </row>
    <row r="548" spans="1:17" x14ac:dyDescent="0.25">
      <c r="A548" s="12"/>
      <c r="B548" s="18"/>
      <c r="C548" s="12"/>
      <c r="D548" s="12"/>
      <c r="E548" s="8"/>
      <c r="F548" s="8"/>
      <c r="G548" s="8"/>
      <c r="H548" s="19"/>
      <c r="I548" s="12"/>
      <c r="J548" s="13"/>
      <c r="K548" s="13"/>
      <c r="L548" s="112"/>
      <c r="M548" s="13"/>
      <c r="N548" s="112"/>
      <c r="O548" s="112"/>
      <c r="P548" s="29"/>
      <c r="Q548" s="8"/>
    </row>
    <row r="549" spans="1:17" x14ac:dyDescent="0.25">
      <c r="A549" s="12"/>
      <c r="B549" s="18"/>
      <c r="C549" s="12"/>
      <c r="D549" s="12"/>
      <c r="E549" s="8"/>
      <c r="F549" s="8"/>
      <c r="G549" s="8"/>
      <c r="H549" s="19"/>
      <c r="I549" s="12"/>
      <c r="J549" s="13"/>
      <c r="K549" s="13"/>
      <c r="L549" s="112"/>
      <c r="M549" s="13"/>
      <c r="N549" s="112"/>
      <c r="O549" s="112"/>
      <c r="P549" s="29"/>
      <c r="Q549" s="8"/>
    </row>
    <row r="550" spans="1:17" x14ac:dyDescent="0.25">
      <c r="A550" s="12"/>
      <c r="B550" s="18"/>
      <c r="C550" s="12"/>
      <c r="D550" s="12"/>
      <c r="E550" s="8"/>
      <c r="F550" s="8"/>
      <c r="G550" s="8"/>
      <c r="H550" s="19"/>
      <c r="I550" s="12"/>
      <c r="J550" s="13"/>
      <c r="K550" s="13"/>
      <c r="L550" s="112"/>
      <c r="M550" s="13"/>
      <c r="N550" s="112"/>
      <c r="O550" s="112"/>
      <c r="P550" s="29"/>
      <c r="Q550" s="8"/>
    </row>
    <row r="551" spans="1:17" x14ac:dyDescent="0.25">
      <c r="A551" s="12"/>
      <c r="B551" s="18"/>
      <c r="C551" s="12"/>
      <c r="D551" s="12"/>
      <c r="E551" s="8"/>
      <c r="F551" s="8"/>
      <c r="G551" s="8"/>
      <c r="H551" s="19"/>
      <c r="I551" s="12"/>
      <c r="J551" s="13"/>
      <c r="K551" s="13"/>
      <c r="L551" s="112"/>
      <c r="M551" s="13"/>
      <c r="N551" s="112"/>
      <c r="O551" s="112"/>
      <c r="P551" s="29"/>
      <c r="Q551" s="8"/>
    </row>
    <row r="552" spans="1:17" x14ac:dyDescent="0.25">
      <c r="A552" s="12"/>
      <c r="B552" s="18"/>
      <c r="C552" s="12"/>
      <c r="D552" s="12"/>
      <c r="E552" s="8"/>
      <c r="F552" s="8"/>
      <c r="G552" s="8"/>
      <c r="H552" s="19"/>
      <c r="I552" s="12"/>
      <c r="J552" s="13"/>
      <c r="K552" s="13"/>
      <c r="L552" s="112"/>
      <c r="M552" s="13"/>
      <c r="N552" s="112"/>
      <c r="O552" s="112"/>
      <c r="P552" s="29"/>
      <c r="Q552" s="8"/>
    </row>
    <row r="553" spans="1:17" x14ac:dyDescent="0.25">
      <c r="A553" s="12"/>
      <c r="B553" s="18"/>
      <c r="C553" s="12"/>
      <c r="D553" s="12"/>
      <c r="E553" s="8"/>
      <c r="F553" s="8"/>
      <c r="G553" s="8"/>
      <c r="H553" s="19"/>
      <c r="I553" s="12"/>
      <c r="J553" s="13"/>
      <c r="K553" s="13"/>
      <c r="L553" s="112"/>
      <c r="M553" s="13"/>
      <c r="N553" s="112"/>
      <c r="O553" s="112"/>
      <c r="P553" s="29"/>
      <c r="Q553" s="8"/>
    </row>
    <row r="554" spans="1:17" x14ac:dyDescent="0.25">
      <c r="A554" s="12"/>
      <c r="B554" s="18"/>
      <c r="C554" s="12"/>
      <c r="D554" s="12"/>
      <c r="E554" s="8"/>
      <c r="F554" s="8"/>
      <c r="G554" s="8"/>
      <c r="H554" s="19"/>
      <c r="I554" s="12"/>
      <c r="J554" s="13"/>
      <c r="K554" s="13"/>
      <c r="L554" s="112"/>
      <c r="M554" s="13"/>
      <c r="N554" s="112"/>
      <c r="O554" s="112"/>
      <c r="P554" s="29"/>
      <c r="Q554" s="8"/>
    </row>
    <row r="555" spans="1:17" x14ac:dyDescent="0.25">
      <c r="A555" s="12"/>
      <c r="B555" s="18"/>
      <c r="C555" s="12"/>
      <c r="D555" s="12"/>
      <c r="E555" s="8"/>
      <c r="F555" s="8"/>
      <c r="G555" s="8"/>
      <c r="H555" s="19"/>
      <c r="I555" s="12"/>
      <c r="J555" s="13"/>
      <c r="K555" s="13"/>
      <c r="L555" s="112"/>
      <c r="M555" s="13"/>
      <c r="N555" s="112"/>
      <c r="O555" s="112"/>
      <c r="P555" s="29"/>
      <c r="Q555" s="8"/>
    </row>
    <row r="556" spans="1:17" x14ac:dyDescent="0.25">
      <c r="A556" s="12"/>
      <c r="B556" s="18"/>
      <c r="C556" s="12"/>
      <c r="D556" s="12"/>
      <c r="E556" s="8"/>
      <c r="F556" s="8"/>
      <c r="G556" s="8"/>
      <c r="H556" s="19"/>
      <c r="I556" s="12"/>
      <c r="J556" s="13"/>
      <c r="K556" s="13"/>
      <c r="L556" s="112"/>
      <c r="M556" s="13"/>
      <c r="N556" s="112"/>
      <c r="O556" s="112"/>
      <c r="P556" s="29"/>
      <c r="Q556" s="8"/>
    </row>
    <row r="557" spans="1:17" x14ac:dyDescent="0.25">
      <c r="A557" s="12"/>
      <c r="B557" s="18"/>
      <c r="C557" s="12"/>
      <c r="D557" s="12"/>
      <c r="E557" s="8"/>
      <c r="F557" s="8"/>
      <c r="G557" s="8"/>
      <c r="H557" s="19"/>
      <c r="I557" s="12"/>
      <c r="J557" s="13"/>
      <c r="K557" s="13"/>
      <c r="L557" s="112"/>
      <c r="M557" s="13"/>
      <c r="N557" s="112"/>
      <c r="O557" s="112"/>
      <c r="P557" s="29"/>
      <c r="Q557" s="8"/>
    </row>
    <row r="558" spans="1:17" x14ac:dyDescent="0.25">
      <c r="A558" s="12"/>
      <c r="B558" s="18"/>
      <c r="C558" s="12"/>
      <c r="D558" s="12"/>
      <c r="E558" s="8"/>
      <c r="F558" s="8"/>
      <c r="G558" s="8"/>
      <c r="H558" s="19"/>
      <c r="I558" s="12"/>
      <c r="J558" s="13"/>
      <c r="K558" s="13"/>
      <c r="L558" s="112"/>
      <c r="M558" s="13"/>
      <c r="N558" s="112"/>
      <c r="O558" s="112"/>
      <c r="P558" s="29"/>
      <c r="Q558" s="8"/>
    </row>
    <row r="559" spans="1:17" x14ac:dyDescent="0.25">
      <c r="A559" s="12"/>
      <c r="B559" s="18"/>
      <c r="C559" s="12"/>
      <c r="D559" s="12"/>
      <c r="E559" s="8"/>
      <c r="F559" s="8"/>
      <c r="G559" s="8"/>
      <c r="H559" s="19"/>
      <c r="I559" s="12"/>
      <c r="J559" s="13"/>
      <c r="K559" s="13"/>
      <c r="L559" s="112"/>
      <c r="M559" s="13"/>
      <c r="N559" s="112"/>
      <c r="O559" s="112"/>
      <c r="P559" s="29"/>
      <c r="Q559" s="8"/>
    </row>
    <row r="560" spans="1:17" x14ac:dyDescent="0.25">
      <c r="A560" s="12"/>
      <c r="B560" s="18"/>
      <c r="C560" s="12"/>
      <c r="D560" s="12"/>
      <c r="E560" s="8"/>
      <c r="F560" s="8"/>
      <c r="G560" s="8"/>
      <c r="H560" s="19"/>
      <c r="I560" s="12"/>
      <c r="J560" s="13"/>
      <c r="K560" s="13"/>
      <c r="L560" s="112"/>
      <c r="M560" s="13"/>
      <c r="N560" s="112"/>
      <c r="O560" s="112"/>
      <c r="P560" s="29"/>
      <c r="Q560" s="8"/>
    </row>
    <row r="561" spans="1:17" x14ac:dyDescent="0.25">
      <c r="A561" s="12"/>
      <c r="B561" s="18"/>
      <c r="C561" s="12"/>
      <c r="D561" s="12"/>
      <c r="E561" s="8"/>
      <c r="F561" s="8"/>
      <c r="G561" s="8"/>
      <c r="H561" s="19"/>
      <c r="I561" s="12"/>
      <c r="J561" s="13"/>
      <c r="K561" s="13"/>
      <c r="L561" s="112"/>
      <c r="M561" s="13"/>
      <c r="N561" s="112"/>
      <c r="O561" s="112"/>
      <c r="P561" s="29"/>
      <c r="Q561" s="8"/>
    </row>
    <row r="562" spans="1:17" x14ac:dyDescent="0.25">
      <c r="A562" s="12"/>
      <c r="B562" s="18"/>
      <c r="C562" s="12"/>
      <c r="D562" s="12"/>
      <c r="E562" s="8"/>
      <c r="F562" s="8"/>
      <c r="G562" s="8"/>
      <c r="H562" s="19"/>
      <c r="I562" s="12"/>
      <c r="J562" s="13"/>
      <c r="K562" s="13"/>
      <c r="L562" s="112"/>
      <c r="M562" s="13"/>
      <c r="N562" s="112"/>
      <c r="O562" s="112"/>
      <c r="P562" s="29"/>
      <c r="Q562" s="8"/>
    </row>
    <row r="563" spans="1:17" x14ac:dyDescent="0.25">
      <c r="A563" s="12"/>
      <c r="B563" s="18"/>
      <c r="C563" s="12"/>
      <c r="D563" s="12"/>
      <c r="E563" s="8"/>
      <c r="F563" s="8"/>
      <c r="G563" s="8"/>
      <c r="H563" s="19"/>
      <c r="I563" s="12"/>
      <c r="J563" s="13"/>
      <c r="K563" s="13"/>
      <c r="L563" s="112"/>
      <c r="M563" s="13"/>
      <c r="N563" s="112"/>
      <c r="O563" s="112"/>
      <c r="P563" s="29"/>
      <c r="Q563" s="8"/>
    </row>
    <row r="564" spans="1:17" x14ac:dyDescent="0.25">
      <c r="A564" s="12"/>
      <c r="B564" s="18"/>
      <c r="C564" s="12"/>
      <c r="D564" s="12"/>
      <c r="E564" s="8"/>
      <c r="F564" s="8"/>
      <c r="G564" s="8"/>
      <c r="H564" s="19"/>
      <c r="I564" s="12"/>
      <c r="J564" s="13"/>
      <c r="K564" s="13"/>
      <c r="L564" s="112"/>
      <c r="M564" s="13"/>
      <c r="N564" s="112"/>
      <c r="O564" s="112"/>
      <c r="P564" s="29"/>
      <c r="Q564" s="8"/>
    </row>
    <row r="565" spans="1:17" x14ac:dyDescent="0.25">
      <c r="A565" s="12"/>
      <c r="B565" s="18"/>
      <c r="C565" s="12"/>
      <c r="D565" s="12"/>
      <c r="E565" s="8"/>
      <c r="F565" s="8"/>
      <c r="G565" s="8"/>
      <c r="H565" s="19"/>
      <c r="I565" s="12"/>
      <c r="J565" s="13"/>
      <c r="K565" s="13"/>
      <c r="L565" s="112"/>
      <c r="M565" s="13"/>
      <c r="N565" s="112"/>
      <c r="O565" s="112"/>
      <c r="P565" s="29"/>
      <c r="Q565" s="8"/>
    </row>
    <row r="566" spans="1:17" x14ac:dyDescent="0.25">
      <c r="A566" s="12"/>
      <c r="B566" s="18"/>
      <c r="C566" s="12"/>
      <c r="D566" s="12"/>
      <c r="E566" s="8"/>
      <c r="F566" s="8"/>
      <c r="G566" s="8"/>
      <c r="H566" s="19"/>
      <c r="I566" s="12"/>
      <c r="J566" s="13"/>
      <c r="K566" s="13"/>
      <c r="L566" s="112"/>
      <c r="M566" s="13"/>
      <c r="N566" s="112"/>
      <c r="O566" s="112"/>
      <c r="P566" s="29"/>
      <c r="Q566" s="8"/>
    </row>
    <row r="567" spans="1:17" x14ac:dyDescent="0.25">
      <c r="A567" s="12"/>
      <c r="B567" s="18"/>
      <c r="C567" s="12"/>
      <c r="D567" s="12"/>
      <c r="E567" s="8"/>
      <c r="F567" s="8"/>
      <c r="G567" s="8"/>
      <c r="H567" s="19"/>
      <c r="I567" s="12"/>
      <c r="J567" s="13"/>
      <c r="K567" s="13"/>
      <c r="L567" s="112"/>
      <c r="M567" s="13"/>
      <c r="N567" s="112"/>
      <c r="O567" s="112"/>
      <c r="P567" s="29"/>
      <c r="Q567" s="8"/>
    </row>
    <row r="568" spans="1:17" x14ac:dyDescent="0.25">
      <c r="A568" s="12"/>
      <c r="B568" s="18"/>
      <c r="C568" s="12"/>
      <c r="D568" s="12"/>
      <c r="E568" s="8"/>
      <c r="F568" s="8"/>
      <c r="G568" s="8"/>
      <c r="H568" s="19"/>
      <c r="I568" s="12"/>
      <c r="J568" s="13"/>
      <c r="K568" s="13"/>
      <c r="L568" s="112"/>
      <c r="M568" s="13"/>
      <c r="N568" s="112"/>
      <c r="O568" s="112"/>
      <c r="P568" s="29"/>
      <c r="Q568" s="8"/>
    </row>
    <row r="569" spans="1:17" x14ac:dyDescent="0.25">
      <c r="A569" s="12"/>
      <c r="B569" s="18"/>
      <c r="C569" s="12"/>
      <c r="D569" s="12"/>
      <c r="E569" s="8"/>
      <c r="F569" s="8"/>
      <c r="G569" s="8"/>
      <c r="H569" s="19"/>
      <c r="I569" s="12"/>
      <c r="J569" s="13"/>
      <c r="K569" s="13"/>
      <c r="L569" s="112"/>
      <c r="M569" s="13"/>
      <c r="N569" s="112"/>
      <c r="O569" s="112"/>
      <c r="P569" s="29"/>
      <c r="Q569" s="8"/>
    </row>
    <row r="570" spans="1:17" x14ac:dyDescent="0.25">
      <c r="A570" s="12"/>
      <c r="B570" s="18"/>
      <c r="C570" s="12"/>
      <c r="D570" s="12"/>
      <c r="E570" s="8"/>
      <c r="F570" s="8"/>
      <c r="G570" s="8"/>
      <c r="H570" s="19"/>
      <c r="I570" s="12"/>
      <c r="J570" s="13"/>
      <c r="K570" s="13"/>
      <c r="L570" s="112"/>
      <c r="M570" s="13"/>
      <c r="N570" s="112"/>
      <c r="O570" s="112"/>
      <c r="P570" s="29"/>
      <c r="Q570" s="8"/>
    </row>
    <row r="571" spans="1:17" x14ac:dyDescent="0.25">
      <c r="A571" s="12"/>
      <c r="B571" s="18"/>
      <c r="C571" s="12"/>
      <c r="D571" s="12"/>
      <c r="E571" s="8"/>
      <c r="F571" s="8"/>
      <c r="G571" s="8"/>
      <c r="H571" s="19"/>
      <c r="I571" s="12"/>
      <c r="J571" s="13"/>
      <c r="K571" s="13"/>
      <c r="L571" s="112"/>
      <c r="M571" s="13"/>
      <c r="N571" s="112"/>
      <c r="O571" s="112"/>
      <c r="P571" s="29"/>
      <c r="Q571" s="8"/>
    </row>
    <row r="572" spans="1:17" x14ac:dyDescent="0.25">
      <c r="A572" s="12"/>
      <c r="B572" s="18"/>
      <c r="C572" s="12"/>
      <c r="D572" s="12"/>
      <c r="E572" s="8"/>
      <c r="F572" s="8"/>
      <c r="G572" s="8"/>
      <c r="H572" s="19"/>
      <c r="I572" s="12"/>
      <c r="J572" s="13"/>
      <c r="K572" s="13"/>
      <c r="L572" s="112"/>
      <c r="M572" s="13"/>
      <c r="N572" s="112"/>
      <c r="O572" s="112"/>
      <c r="P572" s="29"/>
      <c r="Q572" s="8"/>
    </row>
    <row r="573" spans="1:17" x14ac:dyDescent="0.25">
      <c r="A573" s="12"/>
      <c r="B573" s="18"/>
      <c r="C573" s="12"/>
      <c r="D573" s="12"/>
      <c r="E573" s="8"/>
      <c r="F573" s="8"/>
      <c r="G573" s="8"/>
      <c r="H573" s="19"/>
      <c r="I573" s="12"/>
      <c r="J573" s="13"/>
      <c r="K573" s="13"/>
      <c r="L573" s="112"/>
      <c r="M573" s="13"/>
      <c r="N573" s="112"/>
      <c r="O573" s="112"/>
      <c r="P573" s="29"/>
      <c r="Q573" s="8"/>
    </row>
    <row r="574" spans="1:17" x14ac:dyDescent="0.25">
      <c r="A574" s="12"/>
      <c r="B574" s="18"/>
      <c r="C574" s="12"/>
      <c r="D574" s="12"/>
      <c r="E574" s="8"/>
      <c r="F574" s="8"/>
      <c r="G574" s="8"/>
      <c r="H574" s="19"/>
      <c r="I574" s="12"/>
      <c r="J574" s="13"/>
      <c r="K574" s="13"/>
      <c r="L574" s="112"/>
      <c r="M574" s="13"/>
      <c r="N574" s="112"/>
      <c r="O574" s="112"/>
      <c r="P574" s="29"/>
      <c r="Q574" s="8"/>
    </row>
    <row r="575" spans="1:17" x14ac:dyDescent="0.25">
      <c r="A575" s="12"/>
      <c r="B575" s="18"/>
      <c r="C575" s="12"/>
      <c r="D575" s="12"/>
      <c r="E575" s="8"/>
      <c r="F575" s="8"/>
      <c r="G575" s="8"/>
      <c r="H575" s="19"/>
      <c r="I575" s="12"/>
      <c r="J575" s="13"/>
      <c r="K575" s="13"/>
      <c r="L575" s="112"/>
      <c r="M575" s="13"/>
      <c r="N575" s="112"/>
      <c r="O575" s="112"/>
      <c r="P575" s="29"/>
      <c r="Q575" s="8"/>
    </row>
    <row r="576" spans="1:17" x14ac:dyDescent="0.25">
      <c r="A576" s="12"/>
      <c r="B576" s="18"/>
      <c r="C576" s="12"/>
      <c r="D576" s="12"/>
      <c r="E576" s="8"/>
      <c r="F576" s="8"/>
      <c r="G576" s="8"/>
      <c r="H576" s="19"/>
      <c r="I576" s="12"/>
      <c r="J576" s="13"/>
      <c r="K576" s="13"/>
      <c r="L576" s="112"/>
      <c r="M576" s="13"/>
      <c r="N576" s="112"/>
      <c r="O576" s="112"/>
      <c r="P576" s="29"/>
      <c r="Q576" s="8"/>
    </row>
    <row r="577" spans="1:17" x14ac:dyDescent="0.25">
      <c r="A577" s="12"/>
      <c r="B577" s="18"/>
      <c r="C577" s="12"/>
      <c r="D577" s="12"/>
      <c r="E577" s="8"/>
      <c r="F577" s="8"/>
      <c r="G577" s="8"/>
      <c r="H577" s="19"/>
      <c r="I577" s="12"/>
      <c r="J577" s="13"/>
      <c r="K577" s="13"/>
      <c r="L577" s="112"/>
      <c r="M577" s="13"/>
      <c r="N577" s="112"/>
      <c r="O577" s="112"/>
      <c r="P577" s="29"/>
      <c r="Q577" s="8"/>
    </row>
    <row r="578" spans="1:17" x14ac:dyDescent="0.25">
      <c r="A578" s="12"/>
      <c r="B578" s="18"/>
      <c r="C578" s="12"/>
      <c r="D578" s="12"/>
      <c r="E578" s="8"/>
      <c r="F578" s="8"/>
      <c r="G578" s="8"/>
      <c r="H578" s="19"/>
      <c r="I578" s="12"/>
      <c r="J578" s="13"/>
      <c r="K578" s="13"/>
      <c r="L578" s="112"/>
      <c r="M578" s="13"/>
      <c r="N578" s="112"/>
      <c r="O578" s="112"/>
      <c r="P578" s="29"/>
      <c r="Q578" s="8"/>
    </row>
    <row r="579" spans="1:17" x14ac:dyDescent="0.25">
      <c r="A579" s="12"/>
      <c r="B579" s="18"/>
      <c r="C579" s="12"/>
      <c r="D579" s="12"/>
      <c r="E579" s="8"/>
      <c r="F579" s="8"/>
      <c r="G579" s="8"/>
      <c r="H579" s="19"/>
      <c r="I579" s="12"/>
      <c r="J579" s="13"/>
      <c r="K579" s="13"/>
      <c r="L579" s="112"/>
      <c r="M579" s="13"/>
      <c r="N579" s="112"/>
      <c r="O579" s="112"/>
      <c r="P579" s="29"/>
      <c r="Q579" s="8"/>
    </row>
    <row r="580" spans="1:17" x14ac:dyDescent="0.25">
      <c r="A580" s="12"/>
      <c r="B580" s="18"/>
      <c r="C580" s="12"/>
      <c r="D580" s="12"/>
      <c r="E580" s="8"/>
      <c r="F580" s="8"/>
      <c r="G580" s="8"/>
      <c r="H580" s="19"/>
      <c r="I580" s="12"/>
      <c r="J580" s="13"/>
      <c r="K580" s="13"/>
      <c r="L580" s="112"/>
      <c r="M580" s="13"/>
      <c r="N580" s="112"/>
      <c r="O580" s="112"/>
      <c r="P580" s="29"/>
      <c r="Q580" s="8"/>
    </row>
    <row r="581" spans="1:17" x14ac:dyDescent="0.25">
      <c r="A581" s="12"/>
      <c r="B581" s="18"/>
      <c r="C581" s="12"/>
      <c r="D581" s="12"/>
      <c r="E581" s="8"/>
      <c r="F581" s="8"/>
      <c r="G581" s="8"/>
      <c r="H581" s="19"/>
      <c r="I581" s="12"/>
      <c r="J581" s="13"/>
      <c r="K581" s="13"/>
      <c r="L581" s="112"/>
      <c r="M581" s="13"/>
      <c r="N581" s="112"/>
      <c r="O581" s="112"/>
      <c r="P581" s="29"/>
      <c r="Q581" s="8"/>
    </row>
    <row r="582" spans="1:17" x14ac:dyDescent="0.25">
      <c r="A582" s="12"/>
      <c r="B582" s="18"/>
      <c r="C582" s="12"/>
      <c r="D582" s="12"/>
      <c r="E582" s="8"/>
      <c r="F582" s="8"/>
      <c r="G582" s="8"/>
      <c r="H582" s="19"/>
      <c r="I582" s="12"/>
      <c r="J582" s="13"/>
      <c r="K582" s="13"/>
      <c r="L582" s="112"/>
      <c r="M582" s="13"/>
      <c r="N582" s="112"/>
      <c r="O582" s="112"/>
      <c r="P582" s="29"/>
      <c r="Q582" s="8"/>
    </row>
    <row r="583" spans="1:17" x14ac:dyDescent="0.25">
      <c r="A583" s="12"/>
      <c r="B583" s="18"/>
      <c r="C583" s="12"/>
      <c r="D583" s="12"/>
      <c r="E583" s="8"/>
      <c r="F583" s="8"/>
      <c r="G583" s="8"/>
      <c r="H583" s="19"/>
      <c r="I583" s="12"/>
      <c r="J583" s="13"/>
      <c r="K583" s="13"/>
      <c r="L583" s="112"/>
      <c r="M583" s="13"/>
      <c r="N583" s="112"/>
      <c r="O583" s="112"/>
      <c r="P583" s="29"/>
      <c r="Q583" s="8"/>
    </row>
    <row r="584" spans="1:17" x14ac:dyDescent="0.25">
      <c r="A584" s="12"/>
      <c r="B584" s="18"/>
      <c r="C584" s="12"/>
      <c r="D584" s="12"/>
      <c r="E584" s="8"/>
      <c r="F584" s="8"/>
      <c r="G584" s="8"/>
      <c r="H584" s="19"/>
      <c r="I584" s="12"/>
      <c r="J584" s="13"/>
      <c r="K584" s="13"/>
      <c r="L584" s="112"/>
      <c r="M584" s="13"/>
      <c r="N584" s="112"/>
      <c r="O584" s="112"/>
      <c r="P584" s="29"/>
      <c r="Q584" s="8"/>
    </row>
    <row r="585" spans="1:17" x14ac:dyDescent="0.25">
      <c r="A585" s="12"/>
      <c r="B585" s="18"/>
      <c r="C585" s="12"/>
      <c r="D585" s="12"/>
      <c r="E585" s="8"/>
      <c r="F585" s="8"/>
      <c r="G585" s="8"/>
      <c r="H585" s="19"/>
      <c r="I585" s="12"/>
      <c r="J585" s="13"/>
      <c r="K585" s="13"/>
      <c r="L585" s="112"/>
      <c r="M585" s="13"/>
      <c r="N585" s="112"/>
      <c r="O585" s="112"/>
      <c r="P585" s="29"/>
      <c r="Q585" s="8"/>
    </row>
    <row r="586" spans="1:17" x14ac:dyDescent="0.25">
      <c r="A586" s="12"/>
      <c r="B586" s="18"/>
      <c r="C586" s="12"/>
      <c r="D586" s="12"/>
      <c r="E586" s="8"/>
      <c r="F586" s="8"/>
      <c r="G586" s="8"/>
      <c r="H586" s="19"/>
      <c r="I586" s="12"/>
      <c r="J586" s="13"/>
      <c r="K586" s="13"/>
      <c r="L586" s="112"/>
      <c r="M586" s="13"/>
      <c r="N586" s="112"/>
      <c r="O586" s="112"/>
      <c r="P586" s="29"/>
      <c r="Q586" s="8"/>
    </row>
    <row r="587" spans="1:17" x14ac:dyDescent="0.25">
      <c r="A587" s="12"/>
      <c r="B587" s="18"/>
      <c r="C587" s="12"/>
      <c r="D587" s="12"/>
      <c r="E587" s="8"/>
      <c r="F587" s="8"/>
      <c r="G587" s="8"/>
      <c r="H587" s="19"/>
      <c r="I587" s="12"/>
      <c r="J587" s="13"/>
      <c r="K587" s="13"/>
      <c r="L587" s="112"/>
      <c r="M587" s="13"/>
      <c r="N587" s="112"/>
      <c r="O587" s="112"/>
      <c r="P587" s="29"/>
      <c r="Q587" s="8"/>
    </row>
    <row r="588" spans="1:17" x14ac:dyDescent="0.25">
      <c r="A588" s="12"/>
      <c r="B588" s="18"/>
      <c r="C588" s="12"/>
      <c r="D588" s="12"/>
      <c r="E588" s="8"/>
      <c r="F588" s="8"/>
      <c r="G588" s="8"/>
      <c r="H588" s="19"/>
      <c r="I588" s="12"/>
      <c r="J588" s="13"/>
      <c r="K588" s="13"/>
      <c r="L588" s="112"/>
      <c r="M588" s="13"/>
      <c r="N588" s="112"/>
      <c r="O588" s="112"/>
      <c r="P588" s="29"/>
      <c r="Q588" s="8"/>
    </row>
    <row r="589" spans="1:17" x14ac:dyDescent="0.25">
      <c r="A589" s="12"/>
      <c r="B589" s="18"/>
      <c r="C589" s="12"/>
      <c r="D589" s="12"/>
      <c r="E589" s="8"/>
      <c r="F589" s="8"/>
      <c r="G589" s="8"/>
      <c r="H589" s="19"/>
      <c r="I589" s="12"/>
      <c r="J589" s="13"/>
      <c r="K589" s="13"/>
      <c r="L589" s="112"/>
      <c r="M589" s="13"/>
      <c r="N589" s="112"/>
      <c r="O589" s="112"/>
      <c r="P589" s="29"/>
      <c r="Q589" s="8"/>
    </row>
    <row r="590" spans="1:17" x14ac:dyDescent="0.25">
      <c r="A590" s="12"/>
      <c r="B590" s="18"/>
      <c r="C590" s="12"/>
      <c r="D590" s="12"/>
      <c r="E590" s="8"/>
      <c r="F590" s="8"/>
      <c r="G590" s="8"/>
      <c r="H590" s="19"/>
      <c r="I590" s="12"/>
      <c r="J590" s="13"/>
      <c r="K590" s="13"/>
      <c r="L590" s="112"/>
      <c r="M590" s="13"/>
      <c r="N590" s="112"/>
      <c r="O590" s="112"/>
      <c r="P590" s="29"/>
      <c r="Q590" s="8"/>
    </row>
    <row r="591" spans="1:17" x14ac:dyDescent="0.25">
      <c r="A591" s="12"/>
      <c r="B591" s="18"/>
      <c r="C591" s="12"/>
      <c r="D591" s="12"/>
      <c r="E591" s="8"/>
      <c r="F591" s="8"/>
      <c r="G591" s="8"/>
      <c r="H591" s="19"/>
      <c r="I591" s="12"/>
      <c r="J591" s="13"/>
      <c r="K591" s="13"/>
      <c r="L591" s="112"/>
      <c r="M591" s="13"/>
      <c r="N591" s="112"/>
      <c r="O591" s="112"/>
      <c r="P591" s="29"/>
      <c r="Q591" s="8"/>
    </row>
    <row r="592" spans="1:17" x14ac:dyDescent="0.25">
      <c r="A592" s="12"/>
      <c r="B592" s="18"/>
      <c r="C592" s="12"/>
      <c r="D592" s="12"/>
      <c r="E592" s="8"/>
      <c r="F592" s="8"/>
      <c r="G592" s="8"/>
      <c r="H592" s="19"/>
      <c r="I592" s="12"/>
      <c r="J592" s="13"/>
      <c r="K592" s="13"/>
      <c r="L592" s="112"/>
      <c r="M592" s="13"/>
      <c r="N592" s="112"/>
      <c r="O592" s="112"/>
      <c r="P592" s="29"/>
      <c r="Q592" s="8"/>
    </row>
    <row r="593" spans="1:17" x14ac:dyDescent="0.25">
      <c r="A593" s="12"/>
      <c r="B593" s="18"/>
      <c r="C593" s="12"/>
      <c r="D593" s="12"/>
      <c r="E593" s="8"/>
      <c r="F593" s="8"/>
      <c r="G593" s="8"/>
      <c r="H593" s="19"/>
      <c r="I593" s="12"/>
      <c r="J593" s="13"/>
      <c r="K593" s="13"/>
      <c r="L593" s="112"/>
      <c r="M593" s="13"/>
      <c r="N593" s="112"/>
      <c r="O593" s="112"/>
      <c r="P593" s="29"/>
      <c r="Q593" s="8"/>
    </row>
    <row r="594" spans="1:17" x14ac:dyDescent="0.25">
      <c r="A594" s="12"/>
      <c r="B594" s="18"/>
      <c r="C594" s="12"/>
      <c r="D594" s="12"/>
      <c r="E594" s="8"/>
      <c r="F594" s="8"/>
      <c r="G594" s="8"/>
      <c r="H594" s="19"/>
      <c r="I594" s="12"/>
      <c r="J594" s="13"/>
      <c r="K594" s="13"/>
      <c r="L594" s="112"/>
      <c r="M594" s="13"/>
      <c r="N594" s="112"/>
      <c r="O594" s="112"/>
      <c r="P594" s="29"/>
      <c r="Q594" s="8"/>
    </row>
    <row r="595" spans="1:17" x14ac:dyDescent="0.25">
      <c r="A595" s="12"/>
      <c r="B595" s="18"/>
      <c r="C595" s="12"/>
      <c r="D595" s="12"/>
      <c r="E595" s="8"/>
      <c r="F595" s="8"/>
      <c r="G595" s="8"/>
      <c r="H595" s="19"/>
      <c r="I595" s="12"/>
      <c r="J595" s="13"/>
      <c r="K595" s="13"/>
      <c r="L595" s="112"/>
      <c r="M595" s="13"/>
      <c r="N595" s="112"/>
      <c r="O595" s="112"/>
      <c r="P595" s="29"/>
      <c r="Q595" s="8"/>
    </row>
    <row r="596" spans="1:17" x14ac:dyDescent="0.25">
      <c r="A596" s="12"/>
      <c r="B596" s="18"/>
      <c r="C596" s="12"/>
      <c r="D596" s="12"/>
      <c r="E596" s="8"/>
      <c r="F596" s="8"/>
      <c r="G596" s="8"/>
      <c r="H596" s="19"/>
      <c r="I596" s="12"/>
      <c r="J596" s="13"/>
      <c r="K596" s="13"/>
      <c r="L596" s="112"/>
      <c r="M596" s="13"/>
      <c r="N596" s="112"/>
      <c r="O596" s="112"/>
      <c r="P596" s="29"/>
      <c r="Q596" s="8"/>
    </row>
    <row r="597" spans="1:17" x14ac:dyDescent="0.25">
      <c r="A597" s="12"/>
      <c r="B597" s="18"/>
      <c r="C597" s="12"/>
      <c r="D597" s="12"/>
      <c r="E597" s="8"/>
      <c r="F597" s="8"/>
      <c r="G597" s="8"/>
      <c r="H597" s="19"/>
      <c r="I597" s="12"/>
      <c r="J597" s="13"/>
      <c r="K597" s="13"/>
      <c r="L597" s="112"/>
      <c r="M597" s="13"/>
      <c r="N597" s="112"/>
      <c r="O597" s="112"/>
      <c r="P597" s="29"/>
      <c r="Q597" s="8"/>
    </row>
    <row r="598" spans="1:17" x14ac:dyDescent="0.25">
      <c r="A598" s="12"/>
      <c r="B598" s="18"/>
      <c r="C598" s="12"/>
      <c r="D598" s="12"/>
      <c r="E598" s="8"/>
      <c r="F598" s="8"/>
      <c r="G598" s="8"/>
      <c r="H598" s="19"/>
      <c r="I598" s="12"/>
      <c r="J598" s="13"/>
      <c r="K598" s="13"/>
      <c r="L598" s="112"/>
      <c r="M598" s="13"/>
      <c r="N598" s="112"/>
      <c r="O598" s="112"/>
      <c r="P598" s="29"/>
      <c r="Q598" s="8"/>
    </row>
    <row r="599" spans="1:17" x14ac:dyDescent="0.25">
      <c r="A599" s="12"/>
      <c r="B599" s="18"/>
      <c r="C599" s="12"/>
      <c r="D599" s="12"/>
      <c r="E599" s="8"/>
      <c r="F599" s="8"/>
      <c r="G599" s="8"/>
      <c r="H599" s="19"/>
      <c r="I599" s="12"/>
      <c r="J599" s="13"/>
      <c r="K599" s="13"/>
      <c r="L599" s="112"/>
      <c r="M599" s="13"/>
      <c r="N599" s="112"/>
      <c r="O599" s="112"/>
      <c r="P599" s="29"/>
      <c r="Q599" s="8"/>
    </row>
    <row r="600" spans="1:17" x14ac:dyDescent="0.25">
      <c r="A600" s="12"/>
      <c r="B600" s="18"/>
      <c r="C600" s="12"/>
      <c r="D600" s="12"/>
      <c r="E600" s="8"/>
      <c r="F600" s="8"/>
      <c r="G600" s="8"/>
      <c r="H600" s="19"/>
      <c r="I600" s="12"/>
      <c r="J600" s="13"/>
      <c r="K600" s="13"/>
      <c r="L600" s="112"/>
      <c r="M600" s="13"/>
      <c r="N600" s="112"/>
      <c r="O600" s="112"/>
      <c r="P600" s="29"/>
      <c r="Q600" s="8"/>
    </row>
    <row r="601" spans="1:17" x14ac:dyDescent="0.25">
      <c r="A601" s="12"/>
      <c r="B601" s="18"/>
      <c r="C601" s="12"/>
      <c r="D601" s="12"/>
      <c r="E601" s="8"/>
      <c r="F601" s="8"/>
      <c r="G601" s="8"/>
      <c r="H601" s="19"/>
      <c r="I601" s="12"/>
      <c r="J601" s="13"/>
      <c r="K601" s="13"/>
      <c r="L601" s="112"/>
      <c r="M601" s="13"/>
      <c r="N601" s="112"/>
      <c r="O601" s="112"/>
      <c r="P601" s="29"/>
      <c r="Q601" s="8"/>
    </row>
    <row r="602" spans="1:17" x14ac:dyDescent="0.25">
      <c r="A602" s="12"/>
      <c r="B602" s="18"/>
      <c r="C602" s="12"/>
      <c r="D602" s="12"/>
      <c r="E602" s="8"/>
      <c r="F602" s="8"/>
      <c r="G602" s="8"/>
      <c r="H602" s="19"/>
      <c r="I602" s="12"/>
      <c r="J602" s="13"/>
      <c r="K602" s="13"/>
      <c r="L602" s="112"/>
      <c r="M602" s="13"/>
      <c r="N602" s="112"/>
      <c r="O602" s="112"/>
      <c r="P602" s="29"/>
      <c r="Q602" s="8"/>
    </row>
    <row r="603" spans="1:17" x14ac:dyDescent="0.25">
      <c r="A603" s="12"/>
      <c r="B603" s="18"/>
      <c r="C603" s="12"/>
      <c r="D603" s="12"/>
      <c r="E603" s="8"/>
      <c r="F603" s="8"/>
      <c r="G603" s="8"/>
      <c r="H603" s="19"/>
      <c r="I603" s="12"/>
      <c r="J603" s="13"/>
      <c r="K603" s="13"/>
      <c r="L603" s="112"/>
      <c r="M603" s="13"/>
      <c r="N603" s="112"/>
      <c r="O603" s="112"/>
      <c r="P603" s="29"/>
      <c r="Q603" s="8"/>
    </row>
    <row r="604" spans="1:17" x14ac:dyDescent="0.25">
      <c r="A604" s="12"/>
      <c r="B604" s="18"/>
      <c r="C604" s="12"/>
      <c r="D604" s="12"/>
      <c r="E604" s="8"/>
      <c r="F604" s="8"/>
      <c r="G604" s="8"/>
      <c r="H604" s="19"/>
      <c r="I604" s="12"/>
      <c r="J604" s="13"/>
      <c r="K604" s="13"/>
      <c r="L604" s="112"/>
      <c r="M604" s="13"/>
      <c r="N604" s="112"/>
      <c r="O604" s="112"/>
      <c r="P604" s="29"/>
      <c r="Q604" s="8"/>
    </row>
    <row r="605" spans="1:17" x14ac:dyDescent="0.25">
      <c r="A605" s="12"/>
      <c r="B605" s="18"/>
      <c r="C605" s="12"/>
      <c r="D605" s="12"/>
      <c r="E605" s="8"/>
      <c r="F605" s="8"/>
      <c r="G605" s="8"/>
      <c r="H605" s="19"/>
      <c r="I605" s="12"/>
      <c r="J605" s="13"/>
      <c r="K605" s="13"/>
      <c r="L605" s="112"/>
      <c r="M605" s="13"/>
      <c r="N605" s="112"/>
      <c r="O605" s="112"/>
      <c r="P605" s="29"/>
      <c r="Q605" s="8"/>
    </row>
    <row r="606" spans="1:17" x14ac:dyDescent="0.25">
      <c r="A606" s="12"/>
      <c r="B606" s="18"/>
      <c r="C606" s="12"/>
      <c r="D606" s="12"/>
      <c r="E606" s="8"/>
      <c r="F606" s="8"/>
      <c r="G606" s="8"/>
      <c r="H606" s="19"/>
      <c r="I606" s="12"/>
      <c r="J606" s="13"/>
      <c r="K606" s="13"/>
      <c r="L606" s="112"/>
      <c r="M606" s="13"/>
      <c r="N606" s="112"/>
      <c r="O606" s="112"/>
      <c r="P606" s="29"/>
      <c r="Q606" s="8"/>
    </row>
    <row r="607" spans="1:17" x14ac:dyDescent="0.25">
      <c r="A607" s="12"/>
      <c r="B607" s="18"/>
      <c r="C607" s="12"/>
      <c r="D607" s="12"/>
      <c r="E607" s="8"/>
      <c r="F607" s="8"/>
      <c r="G607" s="8"/>
      <c r="H607" s="19"/>
      <c r="I607" s="12"/>
      <c r="J607" s="13"/>
      <c r="K607" s="13"/>
      <c r="L607" s="112"/>
      <c r="M607" s="13"/>
      <c r="N607" s="112"/>
      <c r="O607" s="112"/>
      <c r="P607" s="29"/>
      <c r="Q607" s="8"/>
    </row>
    <row r="608" spans="1:17" x14ac:dyDescent="0.25">
      <c r="A608" s="12"/>
      <c r="B608" s="18"/>
      <c r="C608" s="12"/>
      <c r="D608" s="12"/>
      <c r="E608" s="8"/>
      <c r="F608" s="8"/>
      <c r="G608" s="8"/>
      <c r="H608" s="19"/>
      <c r="I608" s="12"/>
      <c r="J608" s="13"/>
      <c r="K608" s="13"/>
      <c r="L608" s="112"/>
      <c r="M608" s="13"/>
      <c r="N608" s="112"/>
      <c r="O608" s="112"/>
      <c r="P608" s="29"/>
      <c r="Q608" s="8"/>
    </row>
    <row r="609" spans="1:17" x14ac:dyDescent="0.25">
      <c r="A609" s="12"/>
      <c r="B609" s="18"/>
      <c r="C609" s="12"/>
      <c r="D609" s="12"/>
      <c r="E609" s="8"/>
      <c r="F609" s="8"/>
      <c r="G609" s="8"/>
      <c r="H609" s="19"/>
      <c r="I609" s="12"/>
      <c r="J609" s="13"/>
      <c r="K609" s="13"/>
      <c r="L609" s="112"/>
      <c r="M609" s="13"/>
      <c r="N609" s="112"/>
      <c r="O609" s="112"/>
      <c r="P609" s="29"/>
      <c r="Q609" s="8"/>
    </row>
    <row r="610" spans="1:17" x14ac:dyDescent="0.25">
      <c r="A610" s="12"/>
      <c r="B610" s="18"/>
      <c r="C610" s="12"/>
      <c r="D610" s="12"/>
      <c r="E610" s="8"/>
      <c r="F610" s="8"/>
      <c r="G610" s="8"/>
      <c r="H610" s="19"/>
      <c r="I610" s="12"/>
      <c r="J610" s="13"/>
      <c r="K610" s="13"/>
      <c r="L610" s="112"/>
      <c r="M610" s="13"/>
      <c r="N610" s="112"/>
      <c r="O610" s="112"/>
      <c r="P610" s="29"/>
      <c r="Q610" s="8"/>
    </row>
    <row r="611" spans="1:17" x14ac:dyDescent="0.25">
      <c r="A611" s="12"/>
      <c r="B611" s="18"/>
      <c r="C611" s="12"/>
      <c r="D611" s="12"/>
      <c r="E611" s="8"/>
      <c r="F611" s="8"/>
      <c r="G611" s="8"/>
      <c r="H611" s="19"/>
      <c r="I611" s="12"/>
      <c r="J611" s="13"/>
      <c r="K611" s="13"/>
      <c r="L611" s="112"/>
      <c r="M611" s="13"/>
      <c r="N611" s="112"/>
      <c r="O611" s="112"/>
      <c r="P611" s="29"/>
      <c r="Q611" s="8"/>
    </row>
    <row r="612" spans="1:17" x14ac:dyDescent="0.25">
      <c r="A612" s="12"/>
      <c r="B612" s="18"/>
      <c r="C612" s="12"/>
      <c r="D612" s="12"/>
      <c r="E612" s="8"/>
      <c r="F612" s="8"/>
      <c r="G612" s="8"/>
      <c r="H612" s="19"/>
      <c r="I612" s="12"/>
      <c r="J612" s="13"/>
      <c r="K612" s="13"/>
      <c r="L612" s="112"/>
      <c r="M612" s="13"/>
      <c r="N612" s="112"/>
      <c r="O612" s="112"/>
      <c r="P612" s="29"/>
      <c r="Q612" s="8"/>
    </row>
    <row r="613" spans="1:17" x14ac:dyDescent="0.25">
      <c r="A613" s="12"/>
      <c r="B613" s="18"/>
      <c r="C613" s="12"/>
      <c r="D613" s="12"/>
      <c r="E613" s="8"/>
      <c r="F613" s="8"/>
      <c r="G613" s="8"/>
      <c r="H613" s="19"/>
      <c r="I613" s="12"/>
      <c r="J613" s="13"/>
      <c r="K613" s="13"/>
      <c r="L613" s="112"/>
      <c r="M613" s="13"/>
      <c r="N613" s="112"/>
      <c r="O613" s="112"/>
      <c r="P613" s="29"/>
      <c r="Q613" s="8"/>
    </row>
    <row r="614" spans="1:17" x14ac:dyDescent="0.25">
      <c r="A614" s="12"/>
      <c r="B614" s="18"/>
      <c r="C614" s="12"/>
      <c r="D614" s="12"/>
      <c r="E614" s="8"/>
      <c r="F614" s="8"/>
      <c r="G614" s="8"/>
      <c r="H614" s="19"/>
      <c r="I614" s="12"/>
      <c r="J614" s="13"/>
      <c r="K614" s="13"/>
      <c r="L614" s="112"/>
      <c r="M614" s="13"/>
      <c r="N614" s="112"/>
      <c r="O614" s="112"/>
      <c r="P614" s="29"/>
      <c r="Q614" s="8"/>
    </row>
    <row r="615" spans="1:17" x14ac:dyDescent="0.25">
      <c r="A615" s="12"/>
      <c r="B615" s="18"/>
      <c r="C615" s="12"/>
      <c r="D615" s="12"/>
      <c r="E615" s="8"/>
      <c r="F615" s="8"/>
      <c r="G615" s="8"/>
      <c r="H615" s="19"/>
      <c r="I615" s="12"/>
      <c r="J615" s="13"/>
      <c r="K615" s="13"/>
      <c r="L615" s="112"/>
      <c r="M615" s="13"/>
      <c r="N615" s="112"/>
      <c r="O615" s="112"/>
      <c r="P615" s="29"/>
      <c r="Q615" s="8"/>
    </row>
    <row r="616" spans="1:17" x14ac:dyDescent="0.25">
      <c r="A616" s="12"/>
      <c r="B616" s="18"/>
      <c r="C616" s="12"/>
      <c r="D616" s="12"/>
      <c r="E616" s="8"/>
      <c r="F616" s="8"/>
      <c r="G616" s="8"/>
      <c r="H616" s="19"/>
      <c r="I616" s="12"/>
      <c r="J616" s="13"/>
      <c r="K616" s="13"/>
      <c r="L616" s="112"/>
      <c r="M616" s="13"/>
      <c r="N616" s="112"/>
      <c r="O616" s="112"/>
      <c r="P616" s="29"/>
      <c r="Q616" s="8"/>
    </row>
    <row r="617" spans="1:17" x14ac:dyDescent="0.25">
      <c r="A617" s="12"/>
      <c r="B617" s="18"/>
      <c r="C617" s="12"/>
      <c r="D617" s="12"/>
      <c r="E617" s="8"/>
      <c r="F617" s="8"/>
      <c r="G617" s="8"/>
      <c r="H617" s="19"/>
      <c r="I617" s="12"/>
      <c r="J617" s="13"/>
      <c r="K617" s="13"/>
      <c r="L617" s="112"/>
      <c r="M617" s="13"/>
      <c r="N617" s="112"/>
      <c r="O617" s="112"/>
      <c r="P617" s="29"/>
      <c r="Q617" s="8"/>
    </row>
    <row r="618" spans="1:17" x14ac:dyDescent="0.25">
      <c r="A618" s="12"/>
      <c r="B618" s="18"/>
      <c r="C618" s="12"/>
      <c r="D618" s="12"/>
      <c r="E618" s="8"/>
      <c r="F618" s="8"/>
      <c r="G618" s="8"/>
      <c r="H618" s="19"/>
      <c r="I618" s="12"/>
      <c r="J618" s="13"/>
      <c r="K618" s="13"/>
      <c r="L618" s="112"/>
      <c r="M618" s="13"/>
      <c r="N618" s="112"/>
      <c r="O618" s="112"/>
      <c r="P618" s="29"/>
      <c r="Q618" s="8"/>
    </row>
    <row r="619" spans="1:17" x14ac:dyDescent="0.25">
      <c r="A619" s="12"/>
      <c r="B619" s="18"/>
      <c r="C619" s="12"/>
      <c r="D619" s="12"/>
      <c r="E619" s="8"/>
      <c r="F619" s="8"/>
      <c r="G619" s="8"/>
      <c r="H619" s="19"/>
      <c r="I619" s="12"/>
      <c r="J619" s="13"/>
      <c r="K619" s="13"/>
      <c r="L619" s="112"/>
      <c r="M619" s="13"/>
      <c r="N619" s="112"/>
      <c r="O619" s="112"/>
      <c r="P619" s="29"/>
      <c r="Q619" s="8"/>
    </row>
    <row r="620" spans="1:17" x14ac:dyDescent="0.25">
      <c r="A620" s="12"/>
      <c r="B620" s="18"/>
      <c r="C620" s="12"/>
      <c r="D620" s="12"/>
      <c r="E620" s="8"/>
      <c r="F620" s="8"/>
      <c r="G620" s="8"/>
      <c r="H620" s="19"/>
      <c r="I620" s="12"/>
      <c r="J620" s="13"/>
      <c r="K620" s="13"/>
      <c r="L620" s="112"/>
      <c r="M620" s="13"/>
      <c r="N620" s="112"/>
      <c r="O620" s="112"/>
      <c r="P620" s="29"/>
      <c r="Q620" s="8"/>
    </row>
    <row r="621" spans="1:17" x14ac:dyDescent="0.25">
      <c r="A621" s="12"/>
      <c r="B621" s="18"/>
      <c r="C621" s="12"/>
      <c r="D621" s="12"/>
      <c r="E621" s="8"/>
      <c r="F621" s="8"/>
      <c r="G621" s="8"/>
      <c r="H621" s="19"/>
      <c r="I621" s="12"/>
      <c r="J621" s="13"/>
      <c r="K621" s="13"/>
      <c r="L621" s="112"/>
      <c r="M621" s="13"/>
      <c r="N621" s="112"/>
      <c r="O621" s="112"/>
      <c r="P621" s="29"/>
      <c r="Q621" s="8"/>
    </row>
    <row r="622" spans="1:17" x14ac:dyDescent="0.25">
      <c r="A622" s="12"/>
      <c r="B622" s="18"/>
      <c r="C622" s="12"/>
      <c r="D622" s="12"/>
      <c r="E622" s="8"/>
      <c r="F622" s="8"/>
      <c r="G622" s="8"/>
      <c r="H622" s="19"/>
      <c r="I622" s="12"/>
      <c r="J622" s="13"/>
      <c r="K622" s="13"/>
      <c r="L622" s="112"/>
      <c r="M622" s="13"/>
      <c r="N622" s="112"/>
      <c r="O622" s="112"/>
      <c r="P622" s="29"/>
      <c r="Q622" s="8"/>
    </row>
    <row r="623" spans="1:17" x14ac:dyDescent="0.25">
      <c r="A623" s="12"/>
      <c r="B623" s="18"/>
      <c r="C623" s="12"/>
      <c r="D623" s="12"/>
      <c r="E623" s="8"/>
      <c r="F623" s="8"/>
      <c r="G623" s="8"/>
      <c r="H623" s="19"/>
      <c r="I623" s="12"/>
      <c r="J623" s="13"/>
      <c r="K623" s="13"/>
      <c r="L623" s="112"/>
      <c r="M623" s="13"/>
      <c r="N623" s="112"/>
      <c r="O623" s="112"/>
      <c r="P623" s="29"/>
      <c r="Q623" s="8"/>
    </row>
    <row r="624" spans="1:17" x14ac:dyDescent="0.25">
      <c r="A624" s="12"/>
      <c r="B624" s="18"/>
      <c r="C624" s="12"/>
      <c r="D624" s="12"/>
      <c r="E624" s="8"/>
      <c r="F624" s="8"/>
      <c r="G624" s="8"/>
      <c r="H624" s="19"/>
      <c r="I624" s="12"/>
      <c r="J624" s="13"/>
      <c r="K624" s="13"/>
      <c r="L624" s="112"/>
      <c r="M624" s="13"/>
      <c r="N624" s="112"/>
      <c r="O624" s="112"/>
      <c r="P624" s="29"/>
      <c r="Q624" s="8"/>
    </row>
    <row r="625" spans="1:17" x14ac:dyDescent="0.25">
      <c r="A625" s="12"/>
      <c r="B625" s="18"/>
      <c r="C625" s="12"/>
      <c r="D625" s="12"/>
      <c r="E625" s="8"/>
      <c r="F625" s="8"/>
      <c r="G625" s="8"/>
      <c r="H625" s="19"/>
      <c r="I625" s="12"/>
      <c r="J625" s="13"/>
      <c r="K625" s="13"/>
      <c r="L625" s="112"/>
      <c r="M625" s="13"/>
      <c r="N625" s="112"/>
      <c r="O625" s="112"/>
      <c r="P625" s="29"/>
      <c r="Q625" s="8"/>
    </row>
    <row r="626" spans="1:17" x14ac:dyDescent="0.25">
      <c r="A626" s="12"/>
      <c r="B626" s="18"/>
      <c r="C626" s="12"/>
      <c r="D626" s="12"/>
      <c r="E626" s="8"/>
      <c r="F626" s="8"/>
      <c r="G626" s="8"/>
      <c r="H626" s="19"/>
      <c r="I626" s="12"/>
      <c r="J626" s="13"/>
      <c r="K626" s="13"/>
      <c r="L626" s="112"/>
      <c r="M626" s="13"/>
      <c r="N626" s="112"/>
      <c r="O626" s="112"/>
      <c r="P626" s="29"/>
      <c r="Q626" s="8"/>
    </row>
    <row r="627" spans="1:17" x14ac:dyDescent="0.25">
      <c r="A627" s="12"/>
      <c r="B627" s="18"/>
      <c r="C627" s="12"/>
      <c r="D627" s="12"/>
      <c r="E627" s="8"/>
      <c r="F627" s="8"/>
      <c r="G627" s="8"/>
      <c r="H627" s="19"/>
      <c r="I627" s="12"/>
      <c r="J627" s="13"/>
      <c r="K627" s="13"/>
      <c r="L627" s="112"/>
      <c r="M627" s="13"/>
      <c r="N627" s="112"/>
      <c r="O627" s="112"/>
      <c r="P627" s="29"/>
      <c r="Q627" s="8"/>
    </row>
    <row r="628" spans="1:17" x14ac:dyDescent="0.25">
      <c r="A628" s="12"/>
      <c r="B628" s="18"/>
      <c r="C628" s="12"/>
      <c r="D628" s="12"/>
      <c r="E628" s="8"/>
      <c r="F628" s="8"/>
      <c r="G628" s="8"/>
      <c r="H628" s="19"/>
      <c r="I628" s="12"/>
      <c r="J628" s="13"/>
      <c r="K628" s="13"/>
      <c r="L628" s="112"/>
      <c r="M628" s="13"/>
      <c r="N628" s="112"/>
      <c r="O628" s="112"/>
      <c r="P628" s="29"/>
      <c r="Q628" s="8"/>
    </row>
    <row r="629" spans="1:17" x14ac:dyDescent="0.25">
      <c r="A629" s="12"/>
      <c r="B629" s="18"/>
      <c r="C629" s="12"/>
      <c r="D629" s="12"/>
      <c r="E629" s="8"/>
      <c r="F629" s="8"/>
      <c r="G629" s="8"/>
      <c r="H629" s="19"/>
      <c r="I629" s="12"/>
      <c r="J629" s="13"/>
      <c r="K629" s="13"/>
      <c r="L629" s="112"/>
      <c r="M629" s="13"/>
      <c r="N629" s="112"/>
      <c r="O629" s="112"/>
      <c r="P629" s="29"/>
      <c r="Q629" s="8"/>
    </row>
    <row r="630" spans="1:17" x14ac:dyDescent="0.25">
      <c r="A630" s="12"/>
      <c r="B630" s="18"/>
      <c r="C630" s="12"/>
      <c r="D630" s="12"/>
      <c r="E630" s="8"/>
      <c r="F630" s="8"/>
      <c r="G630" s="8"/>
      <c r="H630" s="19"/>
      <c r="I630" s="12"/>
      <c r="J630" s="13"/>
      <c r="K630" s="13"/>
      <c r="L630" s="112"/>
      <c r="M630" s="13"/>
      <c r="N630" s="112"/>
      <c r="O630" s="112"/>
      <c r="P630" s="29"/>
      <c r="Q630" s="8"/>
    </row>
    <row r="631" spans="1:17" x14ac:dyDescent="0.25">
      <c r="A631" s="12"/>
      <c r="B631" s="18"/>
      <c r="C631" s="12"/>
      <c r="D631" s="12"/>
      <c r="E631" s="8"/>
      <c r="F631" s="8"/>
      <c r="G631" s="8"/>
      <c r="H631" s="19"/>
      <c r="I631" s="12"/>
      <c r="J631" s="13"/>
      <c r="K631" s="13"/>
      <c r="L631" s="112"/>
      <c r="M631" s="13"/>
      <c r="N631" s="112"/>
      <c r="O631" s="112"/>
      <c r="P631" s="29"/>
      <c r="Q631" s="8"/>
    </row>
    <row r="632" spans="1:17" x14ac:dyDescent="0.25">
      <c r="A632" s="12"/>
      <c r="B632" s="18"/>
      <c r="C632" s="12"/>
      <c r="D632" s="12"/>
      <c r="E632" s="8"/>
      <c r="F632" s="8"/>
      <c r="G632" s="8"/>
      <c r="H632" s="19"/>
      <c r="I632" s="12"/>
      <c r="J632" s="13"/>
      <c r="K632" s="13"/>
      <c r="L632" s="112"/>
      <c r="M632" s="13"/>
      <c r="N632" s="112"/>
      <c r="O632" s="112"/>
      <c r="P632" s="29"/>
      <c r="Q632" s="8"/>
    </row>
    <row r="633" spans="1:17" x14ac:dyDescent="0.25">
      <c r="A633" s="12"/>
      <c r="B633" s="18"/>
      <c r="C633" s="12"/>
      <c r="D633" s="12"/>
      <c r="E633" s="8"/>
      <c r="F633" s="8"/>
      <c r="G633" s="8"/>
      <c r="H633" s="19"/>
      <c r="I633" s="12"/>
      <c r="J633" s="13"/>
      <c r="K633" s="13"/>
      <c r="L633" s="112"/>
      <c r="M633" s="13"/>
      <c r="N633" s="112"/>
      <c r="O633" s="112"/>
      <c r="P633" s="29"/>
      <c r="Q633" s="8"/>
    </row>
    <row r="634" spans="1:17" x14ac:dyDescent="0.25">
      <c r="A634" s="12"/>
      <c r="B634" s="18"/>
      <c r="C634" s="12"/>
      <c r="D634" s="12"/>
      <c r="E634" s="8"/>
      <c r="F634" s="8"/>
      <c r="G634" s="8"/>
      <c r="H634" s="19"/>
      <c r="I634" s="12"/>
      <c r="J634" s="13"/>
      <c r="K634" s="13"/>
      <c r="L634" s="112"/>
      <c r="M634" s="13"/>
      <c r="N634" s="112"/>
      <c r="O634" s="112"/>
      <c r="P634" s="29"/>
      <c r="Q634" s="8"/>
    </row>
    <row r="635" spans="1:17" x14ac:dyDescent="0.25">
      <c r="A635" s="12"/>
      <c r="B635" s="18"/>
      <c r="C635" s="12"/>
      <c r="D635" s="12"/>
      <c r="E635" s="8"/>
      <c r="F635" s="8"/>
      <c r="G635" s="8"/>
      <c r="H635" s="19"/>
      <c r="I635" s="12"/>
      <c r="J635" s="13"/>
      <c r="K635" s="13"/>
      <c r="L635" s="112"/>
      <c r="M635" s="13"/>
      <c r="N635" s="112"/>
      <c r="O635" s="112"/>
      <c r="P635" s="29"/>
      <c r="Q635" s="8"/>
    </row>
    <row r="636" spans="1:17" x14ac:dyDescent="0.25">
      <c r="A636" s="12"/>
      <c r="B636" s="18"/>
      <c r="C636" s="12"/>
      <c r="D636" s="12"/>
      <c r="E636" s="8"/>
      <c r="F636" s="8"/>
      <c r="G636" s="8"/>
      <c r="H636" s="19"/>
      <c r="I636" s="12"/>
      <c r="J636" s="13"/>
      <c r="K636" s="13"/>
      <c r="L636" s="112"/>
      <c r="M636" s="13"/>
      <c r="N636" s="112"/>
      <c r="O636" s="112"/>
      <c r="P636" s="29"/>
      <c r="Q636" s="8"/>
    </row>
    <row r="637" spans="1:17" x14ac:dyDescent="0.25">
      <c r="A637" s="12"/>
      <c r="B637" s="18"/>
      <c r="C637" s="12"/>
      <c r="D637" s="12"/>
      <c r="E637" s="8"/>
      <c r="F637" s="8"/>
      <c r="G637" s="8"/>
      <c r="H637" s="19"/>
      <c r="I637" s="12"/>
      <c r="J637" s="13"/>
      <c r="K637" s="13"/>
      <c r="L637" s="112"/>
      <c r="M637" s="13"/>
      <c r="N637" s="112"/>
      <c r="O637" s="112"/>
      <c r="P637" s="29"/>
      <c r="Q637" s="8"/>
    </row>
    <row r="638" spans="1:17" x14ac:dyDescent="0.25">
      <c r="A638" s="12"/>
      <c r="B638" s="18"/>
      <c r="C638" s="12"/>
      <c r="D638" s="12"/>
      <c r="E638" s="8"/>
      <c r="F638" s="8"/>
      <c r="G638" s="8"/>
      <c r="H638" s="19"/>
      <c r="I638" s="12"/>
      <c r="J638" s="13"/>
      <c r="K638" s="13"/>
      <c r="L638" s="112"/>
      <c r="M638" s="13"/>
      <c r="N638" s="112"/>
      <c r="O638" s="112"/>
      <c r="P638" s="29"/>
      <c r="Q638" s="8"/>
    </row>
    <row r="639" spans="1:17" x14ac:dyDescent="0.25">
      <c r="A639" s="12"/>
      <c r="B639" s="18"/>
      <c r="C639" s="12"/>
      <c r="D639" s="12"/>
      <c r="E639" s="8"/>
      <c r="F639" s="8"/>
      <c r="G639" s="8"/>
      <c r="H639" s="19"/>
      <c r="I639" s="12"/>
      <c r="J639" s="13"/>
      <c r="K639" s="13"/>
      <c r="L639" s="112"/>
      <c r="M639" s="13"/>
      <c r="N639" s="112"/>
      <c r="O639" s="112"/>
      <c r="P639" s="29"/>
      <c r="Q639" s="8"/>
    </row>
    <row r="640" spans="1:17" x14ac:dyDescent="0.25">
      <c r="A640" s="12"/>
      <c r="B640" s="18"/>
      <c r="C640" s="12"/>
      <c r="D640" s="12"/>
      <c r="E640" s="8"/>
      <c r="F640" s="8"/>
      <c r="G640" s="8"/>
      <c r="H640" s="19"/>
      <c r="I640" s="12"/>
      <c r="J640" s="13"/>
      <c r="K640" s="13"/>
      <c r="L640" s="112"/>
      <c r="M640" s="13"/>
      <c r="N640" s="112"/>
      <c r="O640" s="112"/>
      <c r="P640" s="29"/>
      <c r="Q640" s="8"/>
    </row>
    <row r="641" spans="1:17" x14ac:dyDescent="0.25">
      <c r="A641" s="12"/>
      <c r="B641" s="18"/>
      <c r="C641" s="12"/>
      <c r="D641" s="12"/>
      <c r="E641" s="8"/>
      <c r="F641" s="8"/>
      <c r="G641" s="8"/>
      <c r="H641" s="19"/>
      <c r="I641" s="12"/>
      <c r="J641" s="13"/>
      <c r="K641" s="13"/>
      <c r="L641" s="112"/>
      <c r="M641" s="13"/>
      <c r="N641" s="112"/>
      <c r="O641" s="112"/>
      <c r="P641" s="29"/>
      <c r="Q641" s="8"/>
    </row>
    <row r="642" spans="1:17" x14ac:dyDescent="0.25">
      <c r="A642" s="12"/>
      <c r="B642" s="18"/>
      <c r="C642" s="12"/>
      <c r="D642" s="12"/>
      <c r="E642" s="8"/>
      <c r="F642" s="8"/>
      <c r="G642" s="8"/>
      <c r="H642" s="19"/>
      <c r="I642" s="12"/>
      <c r="J642" s="13"/>
      <c r="K642" s="13"/>
      <c r="L642" s="112"/>
      <c r="M642" s="13"/>
      <c r="N642" s="112"/>
      <c r="O642" s="112"/>
      <c r="P642" s="29"/>
      <c r="Q642" s="8"/>
    </row>
    <row r="643" spans="1:17" x14ac:dyDescent="0.25">
      <c r="A643" s="12"/>
      <c r="B643" s="18"/>
      <c r="C643" s="12"/>
      <c r="D643" s="12"/>
      <c r="E643" s="8"/>
      <c r="F643" s="8"/>
      <c r="G643" s="8"/>
      <c r="H643" s="19"/>
      <c r="I643" s="12"/>
      <c r="J643" s="13"/>
      <c r="K643" s="13"/>
      <c r="L643" s="112"/>
      <c r="M643" s="13"/>
      <c r="N643" s="112"/>
      <c r="O643" s="112"/>
      <c r="P643" s="29"/>
      <c r="Q643" s="8"/>
    </row>
    <row r="644" spans="1:17" x14ac:dyDescent="0.25">
      <c r="A644" s="12"/>
      <c r="B644" s="18"/>
      <c r="C644" s="12"/>
      <c r="D644" s="12"/>
      <c r="E644" s="8"/>
      <c r="F644" s="8"/>
      <c r="G644" s="8"/>
      <c r="H644" s="19"/>
      <c r="I644" s="12"/>
      <c r="J644" s="13"/>
      <c r="K644" s="13"/>
      <c r="L644" s="112"/>
      <c r="M644" s="13"/>
      <c r="N644" s="112"/>
      <c r="O644" s="112"/>
      <c r="P644" s="29"/>
      <c r="Q644" s="8"/>
    </row>
    <row r="645" spans="1:17" x14ac:dyDescent="0.25">
      <c r="A645" s="12"/>
      <c r="B645" s="18"/>
      <c r="C645" s="12"/>
      <c r="D645" s="12"/>
      <c r="E645" s="8"/>
      <c r="F645" s="8"/>
      <c r="G645" s="8"/>
      <c r="H645" s="19"/>
      <c r="I645" s="12"/>
      <c r="J645" s="13"/>
      <c r="K645" s="13"/>
      <c r="L645" s="112"/>
      <c r="M645" s="13"/>
      <c r="N645" s="112"/>
      <c r="O645" s="112"/>
      <c r="P645" s="29"/>
      <c r="Q645" s="8"/>
    </row>
    <row r="646" spans="1:17" x14ac:dyDescent="0.25">
      <c r="A646" s="12"/>
      <c r="B646" s="18"/>
      <c r="C646" s="12"/>
      <c r="D646" s="12"/>
      <c r="E646" s="8"/>
      <c r="F646" s="8"/>
      <c r="G646" s="8"/>
      <c r="H646" s="19"/>
      <c r="I646" s="12"/>
      <c r="J646" s="13"/>
      <c r="K646" s="13"/>
      <c r="L646" s="112"/>
      <c r="M646" s="13"/>
      <c r="N646" s="112"/>
      <c r="O646" s="112"/>
      <c r="P646" s="29"/>
      <c r="Q646" s="8"/>
    </row>
    <row r="647" spans="1:17" x14ac:dyDescent="0.25">
      <c r="A647" s="12"/>
      <c r="B647" s="18"/>
      <c r="C647" s="12"/>
      <c r="D647" s="12"/>
      <c r="E647" s="8"/>
      <c r="F647" s="8"/>
      <c r="G647" s="8"/>
      <c r="H647" s="19"/>
      <c r="I647" s="12"/>
      <c r="J647" s="13"/>
      <c r="K647" s="13"/>
      <c r="L647" s="112"/>
      <c r="M647" s="13"/>
      <c r="N647" s="112"/>
      <c r="O647" s="112"/>
      <c r="P647" s="29"/>
      <c r="Q647" s="8"/>
    </row>
    <row r="648" spans="1:17" x14ac:dyDescent="0.25">
      <c r="A648" s="12"/>
      <c r="B648" s="18"/>
      <c r="C648" s="12"/>
      <c r="D648" s="12"/>
      <c r="E648" s="8"/>
      <c r="F648" s="8"/>
      <c r="G648" s="8"/>
      <c r="H648" s="19"/>
      <c r="I648" s="12"/>
      <c r="J648" s="13"/>
      <c r="K648" s="13"/>
      <c r="L648" s="112"/>
      <c r="M648" s="13"/>
      <c r="N648" s="112"/>
      <c r="O648" s="112"/>
      <c r="P648" s="29"/>
      <c r="Q648" s="8"/>
    </row>
    <row r="649" spans="1:17" x14ac:dyDescent="0.25">
      <c r="A649" s="12"/>
      <c r="B649" s="18"/>
      <c r="C649" s="12"/>
      <c r="D649" s="12"/>
      <c r="E649" s="8"/>
      <c r="F649" s="8"/>
      <c r="G649" s="8"/>
      <c r="H649" s="19"/>
      <c r="I649" s="12"/>
      <c r="J649" s="13"/>
      <c r="K649" s="13"/>
      <c r="L649" s="112"/>
      <c r="M649" s="13"/>
      <c r="N649" s="112"/>
      <c r="O649" s="112"/>
      <c r="P649" s="29"/>
      <c r="Q649" s="8"/>
    </row>
    <row r="650" spans="1:17" x14ac:dyDescent="0.25">
      <c r="A650" s="12"/>
      <c r="B650" s="18"/>
      <c r="C650" s="12"/>
      <c r="D650" s="12"/>
      <c r="E650" s="8"/>
      <c r="F650" s="8"/>
      <c r="G650" s="8"/>
      <c r="H650" s="19"/>
      <c r="I650" s="12"/>
      <c r="J650" s="13"/>
      <c r="K650" s="13"/>
      <c r="L650" s="112"/>
      <c r="M650" s="13"/>
      <c r="N650" s="112"/>
      <c r="O650" s="112"/>
      <c r="P650" s="29"/>
      <c r="Q650" s="8"/>
    </row>
    <row r="651" spans="1:17" x14ac:dyDescent="0.25">
      <c r="A651" s="12"/>
      <c r="B651" s="18"/>
      <c r="C651" s="12"/>
      <c r="D651" s="12"/>
      <c r="E651" s="8"/>
      <c r="F651" s="8"/>
      <c r="G651" s="8"/>
      <c r="H651" s="19"/>
      <c r="I651" s="12"/>
      <c r="J651" s="13"/>
      <c r="K651" s="13"/>
      <c r="L651" s="112"/>
      <c r="M651" s="13"/>
      <c r="N651" s="112"/>
      <c r="O651" s="112"/>
      <c r="P651" s="29"/>
      <c r="Q651" s="8"/>
    </row>
    <row r="652" spans="1:17" x14ac:dyDescent="0.25">
      <c r="A652" s="12"/>
      <c r="B652" s="18"/>
      <c r="C652" s="12"/>
      <c r="D652" s="12"/>
      <c r="E652" s="8"/>
      <c r="F652" s="8"/>
      <c r="G652" s="8"/>
      <c r="H652" s="19"/>
      <c r="I652" s="12"/>
      <c r="J652" s="13"/>
      <c r="K652" s="13"/>
      <c r="L652" s="112"/>
      <c r="M652" s="13"/>
      <c r="N652" s="112"/>
      <c r="O652" s="112"/>
      <c r="P652" s="29"/>
      <c r="Q652" s="8"/>
    </row>
    <row r="653" spans="1:17" x14ac:dyDescent="0.25">
      <c r="A653" s="12"/>
      <c r="B653" s="18"/>
      <c r="C653" s="12"/>
      <c r="D653" s="12"/>
      <c r="E653" s="8"/>
      <c r="F653" s="8"/>
      <c r="G653" s="8"/>
      <c r="H653" s="19"/>
      <c r="I653" s="12"/>
      <c r="J653" s="13"/>
      <c r="K653" s="13"/>
      <c r="L653" s="112"/>
      <c r="M653" s="13"/>
      <c r="N653" s="112"/>
      <c r="O653" s="112"/>
      <c r="P653" s="29"/>
      <c r="Q653" s="8"/>
    </row>
    <row r="654" spans="1:17" x14ac:dyDescent="0.25">
      <c r="A654" s="12"/>
      <c r="B654" s="18"/>
      <c r="C654" s="12"/>
      <c r="D654" s="12"/>
      <c r="E654" s="8"/>
      <c r="F654" s="8"/>
      <c r="G654" s="8"/>
      <c r="H654" s="19"/>
      <c r="I654" s="12"/>
      <c r="J654" s="13"/>
      <c r="K654" s="13"/>
      <c r="L654" s="112"/>
      <c r="M654" s="13"/>
      <c r="N654" s="112"/>
      <c r="O654" s="112"/>
      <c r="P654" s="29"/>
      <c r="Q654" s="8"/>
    </row>
    <row r="655" spans="1:17" x14ac:dyDescent="0.25">
      <c r="A655" s="12"/>
      <c r="B655" s="18"/>
      <c r="C655" s="12"/>
      <c r="D655" s="12"/>
      <c r="E655" s="8"/>
      <c r="F655" s="8"/>
      <c r="G655" s="8"/>
      <c r="H655" s="19"/>
      <c r="I655" s="12"/>
      <c r="J655" s="13"/>
      <c r="K655" s="13"/>
      <c r="L655" s="112"/>
      <c r="M655" s="13"/>
      <c r="N655" s="112"/>
      <c r="O655" s="112"/>
      <c r="P655" s="29"/>
      <c r="Q655" s="8"/>
    </row>
    <row r="656" spans="1:17" x14ac:dyDescent="0.25">
      <c r="A656" s="12"/>
      <c r="B656" s="18"/>
      <c r="C656" s="12"/>
      <c r="D656" s="12"/>
      <c r="E656" s="8"/>
      <c r="F656" s="8"/>
      <c r="G656" s="8"/>
      <c r="H656" s="19"/>
      <c r="I656" s="12"/>
      <c r="J656" s="13"/>
      <c r="K656" s="13"/>
      <c r="L656" s="112"/>
      <c r="M656" s="13"/>
      <c r="N656" s="112"/>
      <c r="O656" s="112"/>
      <c r="P656" s="29"/>
      <c r="Q656" s="8"/>
    </row>
    <row r="657" spans="1:17" x14ac:dyDescent="0.25">
      <c r="A657" s="12"/>
      <c r="B657" s="18"/>
      <c r="C657" s="12"/>
      <c r="D657" s="12"/>
      <c r="E657" s="8"/>
      <c r="F657" s="8"/>
      <c r="G657" s="8"/>
      <c r="H657" s="19"/>
      <c r="I657" s="12"/>
      <c r="J657" s="13"/>
      <c r="K657" s="13"/>
      <c r="L657" s="112"/>
      <c r="M657" s="13"/>
      <c r="N657" s="112"/>
      <c r="O657" s="112"/>
      <c r="P657" s="29"/>
      <c r="Q657" s="8"/>
    </row>
    <row r="658" spans="1:17" x14ac:dyDescent="0.25">
      <c r="A658" s="12"/>
      <c r="B658" s="18"/>
      <c r="C658" s="12"/>
      <c r="D658" s="12"/>
      <c r="E658" s="8"/>
      <c r="F658" s="8"/>
      <c r="G658" s="8"/>
      <c r="H658" s="19"/>
      <c r="I658" s="12"/>
      <c r="J658" s="13"/>
      <c r="K658" s="13"/>
      <c r="L658" s="112"/>
      <c r="M658" s="13"/>
      <c r="N658" s="112"/>
      <c r="O658" s="112"/>
      <c r="P658" s="29"/>
      <c r="Q658" s="8"/>
    </row>
    <row r="659" spans="1:17" x14ac:dyDescent="0.25">
      <c r="A659" s="12"/>
      <c r="B659" s="18"/>
      <c r="C659" s="12"/>
      <c r="D659" s="12"/>
      <c r="E659" s="8"/>
      <c r="F659" s="8"/>
      <c r="G659" s="8"/>
      <c r="H659" s="19"/>
      <c r="I659" s="12"/>
      <c r="J659" s="13"/>
      <c r="K659" s="13"/>
      <c r="L659" s="112"/>
      <c r="M659" s="13"/>
      <c r="N659" s="112"/>
      <c r="O659" s="112"/>
      <c r="P659" s="29"/>
      <c r="Q659" s="8"/>
    </row>
    <row r="660" spans="1:17" x14ac:dyDescent="0.25">
      <c r="A660" s="12"/>
      <c r="B660" s="18"/>
      <c r="C660" s="12"/>
      <c r="D660" s="12"/>
      <c r="E660" s="8"/>
      <c r="F660" s="8"/>
      <c r="G660" s="8"/>
      <c r="H660" s="19"/>
      <c r="I660" s="12"/>
      <c r="J660" s="13"/>
      <c r="K660" s="13"/>
      <c r="L660" s="112"/>
      <c r="M660" s="13"/>
      <c r="N660" s="112"/>
      <c r="O660" s="112"/>
      <c r="P660" s="29"/>
      <c r="Q660" s="8"/>
    </row>
    <row r="661" spans="1:17" x14ac:dyDescent="0.25">
      <c r="A661" s="12"/>
      <c r="B661" s="18"/>
      <c r="C661" s="12"/>
      <c r="D661" s="12"/>
      <c r="E661" s="8"/>
      <c r="F661" s="8"/>
      <c r="G661" s="8"/>
      <c r="H661" s="19"/>
      <c r="I661" s="12"/>
      <c r="J661" s="13"/>
      <c r="K661" s="13"/>
      <c r="L661" s="112"/>
      <c r="M661" s="13"/>
      <c r="N661" s="112"/>
      <c r="O661" s="112"/>
      <c r="P661" s="29"/>
      <c r="Q661" s="8"/>
    </row>
    <row r="662" spans="1:17" x14ac:dyDescent="0.25">
      <c r="A662" s="12"/>
      <c r="B662" s="18"/>
      <c r="C662" s="12"/>
      <c r="D662" s="12"/>
      <c r="E662" s="8"/>
      <c r="F662" s="8"/>
      <c r="G662" s="8"/>
      <c r="H662" s="19"/>
      <c r="I662" s="12"/>
      <c r="J662" s="13"/>
      <c r="K662" s="13"/>
      <c r="L662" s="112"/>
      <c r="M662" s="13"/>
      <c r="N662" s="112"/>
      <c r="O662" s="112"/>
      <c r="P662" s="29"/>
      <c r="Q662" s="8"/>
    </row>
    <row r="663" spans="1:17" x14ac:dyDescent="0.25">
      <c r="A663" s="12"/>
      <c r="B663" s="18"/>
      <c r="C663" s="12"/>
      <c r="D663" s="12"/>
      <c r="E663" s="8"/>
      <c r="F663" s="8"/>
      <c r="G663" s="8"/>
      <c r="H663" s="19"/>
      <c r="I663" s="12"/>
      <c r="J663" s="13"/>
      <c r="K663" s="13"/>
      <c r="L663" s="112"/>
      <c r="M663" s="13"/>
      <c r="N663" s="112"/>
      <c r="O663" s="112"/>
      <c r="P663" s="29"/>
      <c r="Q663" s="8"/>
    </row>
    <row r="664" spans="1:17" x14ac:dyDescent="0.25">
      <c r="A664" s="12"/>
      <c r="B664" s="18"/>
      <c r="C664" s="12"/>
      <c r="D664" s="12"/>
      <c r="E664" s="8"/>
      <c r="F664" s="8"/>
      <c r="G664" s="8"/>
      <c r="H664" s="19"/>
      <c r="I664" s="12"/>
      <c r="J664" s="13"/>
      <c r="K664" s="13"/>
      <c r="L664" s="112"/>
      <c r="M664" s="13"/>
      <c r="N664" s="112"/>
      <c r="O664" s="112"/>
      <c r="P664" s="29"/>
      <c r="Q664" s="8"/>
    </row>
    <row r="665" spans="1:17" x14ac:dyDescent="0.25">
      <c r="A665" s="12"/>
      <c r="B665" s="18"/>
      <c r="C665" s="12"/>
      <c r="D665" s="12"/>
      <c r="E665" s="8"/>
      <c r="F665" s="8"/>
      <c r="G665" s="8"/>
      <c r="H665" s="19"/>
      <c r="I665" s="12"/>
      <c r="J665" s="13"/>
      <c r="K665" s="13"/>
      <c r="L665" s="112"/>
      <c r="M665" s="13"/>
      <c r="N665" s="112"/>
      <c r="O665" s="112"/>
      <c r="P665" s="29"/>
      <c r="Q665" s="8"/>
    </row>
    <row r="666" spans="1:17" x14ac:dyDescent="0.25">
      <c r="A666" s="12"/>
      <c r="B666" s="18"/>
      <c r="C666" s="12"/>
      <c r="D666" s="12"/>
      <c r="E666" s="8"/>
      <c r="F666" s="8"/>
      <c r="G666" s="8"/>
      <c r="H666" s="19"/>
      <c r="I666" s="12"/>
      <c r="J666" s="13"/>
      <c r="K666" s="13"/>
      <c r="L666" s="112"/>
      <c r="M666" s="13"/>
      <c r="N666" s="112"/>
      <c r="O666" s="112"/>
      <c r="P666" s="29"/>
      <c r="Q666" s="8"/>
    </row>
    <row r="667" spans="1:17" x14ac:dyDescent="0.25">
      <c r="A667" s="12"/>
      <c r="B667" s="18"/>
      <c r="C667" s="12"/>
      <c r="D667" s="12"/>
      <c r="E667" s="8"/>
      <c r="F667" s="8"/>
      <c r="G667" s="8"/>
      <c r="H667" s="19"/>
      <c r="I667" s="12"/>
      <c r="J667" s="13"/>
      <c r="K667" s="13"/>
      <c r="L667" s="112"/>
      <c r="M667" s="13"/>
      <c r="N667" s="112"/>
      <c r="O667" s="112"/>
      <c r="P667" s="29"/>
      <c r="Q667" s="8"/>
    </row>
    <row r="668" spans="1:17" x14ac:dyDescent="0.25">
      <c r="A668" s="12"/>
      <c r="B668" s="18"/>
      <c r="C668" s="12"/>
      <c r="D668" s="12"/>
      <c r="E668" s="8"/>
      <c r="F668" s="8"/>
      <c r="G668" s="8"/>
      <c r="H668" s="19"/>
      <c r="I668" s="12"/>
      <c r="J668" s="13"/>
      <c r="K668" s="13"/>
      <c r="L668" s="112"/>
      <c r="M668" s="13"/>
      <c r="N668" s="112"/>
      <c r="O668" s="112"/>
      <c r="P668" s="29"/>
      <c r="Q668" s="8"/>
    </row>
    <row r="669" spans="1:17" x14ac:dyDescent="0.25">
      <c r="A669" s="12"/>
      <c r="B669" s="18"/>
      <c r="C669" s="12"/>
      <c r="D669" s="12"/>
      <c r="E669" s="8"/>
      <c r="F669" s="8"/>
      <c r="G669" s="8"/>
      <c r="H669" s="19"/>
      <c r="I669" s="12"/>
      <c r="J669" s="13"/>
      <c r="K669" s="13"/>
      <c r="L669" s="112"/>
      <c r="M669" s="13"/>
      <c r="N669" s="112"/>
      <c r="O669" s="112"/>
      <c r="P669" s="29"/>
      <c r="Q669" s="8"/>
    </row>
    <row r="670" spans="1:17" x14ac:dyDescent="0.25">
      <c r="A670" s="12"/>
      <c r="B670" s="18"/>
      <c r="C670" s="12"/>
      <c r="D670" s="12"/>
      <c r="E670" s="8"/>
      <c r="F670" s="8"/>
      <c r="G670" s="8"/>
      <c r="H670" s="19"/>
      <c r="I670" s="12"/>
      <c r="J670" s="13"/>
      <c r="K670" s="13"/>
      <c r="L670" s="112"/>
      <c r="M670" s="13"/>
      <c r="N670" s="112"/>
      <c r="O670" s="112"/>
      <c r="P670" s="29"/>
      <c r="Q670" s="8"/>
    </row>
    <row r="671" spans="1:17" x14ac:dyDescent="0.25">
      <c r="A671" s="12"/>
      <c r="B671" s="18"/>
      <c r="C671" s="12"/>
      <c r="D671" s="12"/>
      <c r="E671" s="8"/>
      <c r="F671" s="8"/>
      <c r="G671" s="8"/>
      <c r="H671" s="19"/>
      <c r="I671" s="12"/>
      <c r="J671" s="13"/>
      <c r="K671" s="13"/>
      <c r="L671" s="112"/>
      <c r="M671" s="13"/>
      <c r="N671" s="112"/>
      <c r="O671" s="112"/>
      <c r="P671" s="29"/>
      <c r="Q671" s="8"/>
    </row>
    <row r="672" spans="1:17" x14ac:dyDescent="0.25">
      <c r="A672" s="12"/>
      <c r="B672" s="18"/>
      <c r="C672" s="12"/>
      <c r="D672" s="12"/>
      <c r="E672" s="8"/>
      <c r="F672" s="8"/>
      <c r="G672" s="8"/>
      <c r="H672" s="19"/>
      <c r="I672" s="12"/>
      <c r="J672" s="13"/>
      <c r="K672" s="13"/>
      <c r="L672" s="112"/>
      <c r="M672" s="13"/>
      <c r="N672" s="112"/>
      <c r="O672" s="112"/>
      <c r="P672" s="29"/>
      <c r="Q672" s="8"/>
    </row>
    <row r="673" spans="1:17" x14ac:dyDescent="0.25">
      <c r="A673" s="12"/>
      <c r="B673" s="18"/>
      <c r="C673" s="12"/>
      <c r="D673" s="12"/>
      <c r="E673" s="8"/>
      <c r="F673" s="8"/>
      <c r="G673" s="8"/>
      <c r="H673" s="19"/>
      <c r="I673" s="12"/>
      <c r="J673" s="13"/>
      <c r="K673" s="13"/>
      <c r="L673" s="112"/>
      <c r="M673" s="13"/>
      <c r="N673" s="112"/>
      <c r="O673" s="112"/>
      <c r="P673" s="29"/>
      <c r="Q673" s="8"/>
    </row>
    <row r="674" spans="1:17" x14ac:dyDescent="0.25">
      <c r="A674" s="12"/>
      <c r="B674" s="18"/>
      <c r="C674" s="12"/>
      <c r="D674" s="12"/>
      <c r="E674" s="8"/>
      <c r="F674" s="8"/>
      <c r="G674" s="8"/>
      <c r="H674" s="19"/>
      <c r="I674" s="12"/>
      <c r="J674" s="13"/>
      <c r="K674" s="13"/>
      <c r="L674" s="112"/>
      <c r="M674" s="13"/>
      <c r="N674" s="112"/>
      <c r="O674" s="112"/>
      <c r="P674" s="29"/>
      <c r="Q674" s="8"/>
    </row>
    <row r="675" spans="1:17" x14ac:dyDescent="0.25">
      <c r="A675" s="12"/>
      <c r="B675" s="18"/>
      <c r="C675" s="12"/>
      <c r="D675" s="12"/>
      <c r="E675" s="8"/>
      <c r="F675" s="8"/>
      <c r="G675" s="8"/>
      <c r="H675" s="19"/>
      <c r="I675" s="12"/>
      <c r="J675" s="13"/>
      <c r="K675" s="13"/>
      <c r="L675" s="112"/>
      <c r="M675" s="13"/>
      <c r="N675" s="112"/>
      <c r="O675" s="112"/>
      <c r="P675" s="29"/>
      <c r="Q675" s="8"/>
    </row>
    <row r="676" spans="1:17" x14ac:dyDescent="0.25">
      <c r="A676" s="12"/>
      <c r="B676" s="18"/>
      <c r="C676" s="12"/>
      <c r="D676" s="12"/>
      <c r="E676" s="8"/>
      <c r="F676" s="8"/>
      <c r="G676" s="8"/>
      <c r="H676" s="19"/>
      <c r="I676" s="12"/>
      <c r="J676" s="13"/>
      <c r="K676" s="13"/>
      <c r="L676" s="112"/>
      <c r="M676" s="13"/>
      <c r="N676" s="112"/>
      <c r="O676" s="112"/>
      <c r="P676" s="29"/>
      <c r="Q676" s="8"/>
    </row>
    <row r="677" spans="1:17" x14ac:dyDescent="0.25">
      <c r="A677" s="12"/>
      <c r="B677" s="18"/>
      <c r="C677" s="12"/>
      <c r="D677" s="12"/>
      <c r="E677" s="8"/>
      <c r="F677" s="8"/>
      <c r="G677" s="8"/>
      <c r="H677" s="19"/>
      <c r="I677" s="12"/>
      <c r="J677" s="13"/>
      <c r="K677" s="13"/>
      <c r="L677" s="112"/>
      <c r="M677" s="13"/>
      <c r="N677" s="112"/>
      <c r="O677" s="112"/>
      <c r="P677" s="29"/>
      <c r="Q677" s="8"/>
    </row>
    <row r="678" spans="1:17" x14ac:dyDescent="0.25">
      <c r="A678" s="12"/>
      <c r="B678" s="18"/>
      <c r="C678" s="12"/>
      <c r="D678" s="12"/>
      <c r="E678" s="8"/>
      <c r="F678" s="8"/>
      <c r="G678" s="8"/>
      <c r="H678" s="19"/>
      <c r="I678" s="12"/>
      <c r="J678" s="13"/>
      <c r="K678" s="13"/>
      <c r="L678" s="112"/>
      <c r="M678" s="13"/>
      <c r="N678" s="112"/>
      <c r="O678" s="112"/>
      <c r="P678" s="29"/>
      <c r="Q678" s="8"/>
    </row>
    <row r="679" spans="1:17" x14ac:dyDescent="0.25">
      <c r="A679" s="12"/>
      <c r="B679" s="18"/>
      <c r="C679" s="12"/>
      <c r="D679" s="12"/>
      <c r="E679" s="8"/>
      <c r="F679" s="8"/>
      <c r="G679" s="8"/>
      <c r="H679" s="19"/>
      <c r="I679" s="12"/>
      <c r="J679" s="13"/>
      <c r="K679" s="13"/>
      <c r="L679" s="112"/>
      <c r="M679" s="13"/>
      <c r="N679" s="112"/>
      <c r="O679" s="112"/>
      <c r="P679" s="29"/>
      <c r="Q679" s="8"/>
    </row>
    <row r="680" spans="1:17" x14ac:dyDescent="0.25">
      <c r="A680" s="12"/>
      <c r="B680" s="18"/>
      <c r="C680" s="12"/>
      <c r="D680" s="12"/>
      <c r="E680" s="8"/>
      <c r="F680" s="8"/>
      <c r="G680" s="8"/>
      <c r="H680" s="19"/>
      <c r="I680" s="12"/>
      <c r="J680" s="13"/>
      <c r="K680" s="13"/>
      <c r="L680" s="112"/>
      <c r="M680" s="13"/>
      <c r="N680" s="112"/>
      <c r="O680" s="112"/>
      <c r="P680" s="29"/>
      <c r="Q680" s="8"/>
    </row>
    <row r="681" spans="1:17" x14ac:dyDescent="0.25">
      <c r="A681" s="12"/>
      <c r="B681" s="18"/>
      <c r="C681" s="12"/>
      <c r="D681" s="12"/>
      <c r="E681" s="8"/>
      <c r="F681" s="8"/>
      <c r="G681" s="8"/>
      <c r="H681" s="19"/>
      <c r="I681" s="12"/>
      <c r="J681" s="13"/>
      <c r="K681" s="13"/>
      <c r="L681" s="112"/>
      <c r="M681" s="13"/>
      <c r="N681" s="112"/>
      <c r="O681" s="112"/>
      <c r="P681" s="29"/>
      <c r="Q681" s="8"/>
    </row>
    <row r="682" spans="1:17" x14ac:dyDescent="0.25">
      <c r="A682" s="12"/>
      <c r="B682" s="18"/>
      <c r="C682" s="12"/>
      <c r="D682" s="12"/>
      <c r="E682" s="8"/>
      <c r="F682" s="8"/>
      <c r="G682" s="8"/>
      <c r="H682" s="19"/>
      <c r="I682" s="12"/>
      <c r="J682" s="13"/>
      <c r="K682" s="13"/>
      <c r="L682" s="112"/>
      <c r="M682" s="13"/>
      <c r="N682" s="112"/>
      <c r="O682" s="112"/>
      <c r="P682" s="29"/>
      <c r="Q682" s="8"/>
    </row>
    <row r="683" spans="1:17" x14ac:dyDescent="0.25">
      <c r="A683" s="12"/>
      <c r="B683" s="18"/>
      <c r="C683" s="12"/>
      <c r="D683" s="12"/>
      <c r="E683" s="8"/>
      <c r="F683" s="8"/>
      <c r="G683" s="8"/>
      <c r="H683" s="19"/>
      <c r="I683" s="12"/>
      <c r="J683" s="13"/>
      <c r="K683" s="13"/>
      <c r="L683" s="112"/>
      <c r="M683" s="13"/>
      <c r="N683" s="112"/>
      <c r="O683" s="112"/>
      <c r="P683" s="29"/>
      <c r="Q683" s="8"/>
    </row>
    <row r="684" spans="1:17" x14ac:dyDescent="0.25">
      <c r="A684" s="12"/>
      <c r="B684" s="18"/>
      <c r="C684" s="12"/>
      <c r="D684" s="12"/>
      <c r="E684" s="8"/>
      <c r="F684" s="8"/>
      <c r="G684" s="8"/>
      <c r="H684" s="19"/>
      <c r="I684" s="12"/>
      <c r="J684" s="13"/>
      <c r="K684" s="13"/>
      <c r="L684" s="112"/>
      <c r="M684" s="13"/>
      <c r="N684" s="112"/>
      <c r="O684" s="112"/>
      <c r="P684" s="29"/>
      <c r="Q684" s="8"/>
    </row>
    <row r="685" spans="1:17" x14ac:dyDescent="0.25">
      <c r="A685" s="12"/>
      <c r="B685" s="18"/>
      <c r="C685" s="12"/>
      <c r="D685" s="12"/>
      <c r="E685" s="8"/>
      <c r="F685" s="8"/>
      <c r="G685" s="8"/>
      <c r="H685" s="19"/>
      <c r="I685" s="12"/>
      <c r="J685" s="13"/>
      <c r="K685" s="13"/>
      <c r="L685" s="112"/>
      <c r="M685" s="13"/>
      <c r="N685" s="112"/>
      <c r="O685" s="112"/>
      <c r="P685" s="29"/>
      <c r="Q685" s="8"/>
    </row>
    <row r="686" spans="1:17" x14ac:dyDescent="0.25">
      <c r="A686" s="12"/>
      <c r="B686" s="18"/>
      <c r="C686" s="12"/>
      <c r="D686" s="12"/>
      <c r="E686" s="8"/>
      <c r="F686" s="8"/>
      <c r="G686" s="8"/>
      <c r="H686" s="19"/>
      <c r="I686" s="12"/>
      <c r="J686" s="13"/>
      <c r="K686" s="13"/>
      <c r="L686" s="112"/>
      <c r="M686" s="13"/>
      <c r="N686" s="112"/>
      <c r="O686" s="112"/>
      <c r="P686" s="29"/>
      <c r="Q686" s="8"/>
    </row>
    <row r="687" spans="1:17" x14ac:dyDescent="0.25">
      <c r="A687" s="12"/>
      <c r="B687" s="18"/>
      <c r="C687" s="12"/>
      <c r="D687" s="12"/>
      <c r="E687" s="8"/>
      <c r="F687" s="8"/>
      <c r="G687" s="8"/>
      <c r="H687" s="19"/>
      <c r="I687" s="12"/>
      <c r="J687" s="13"/>
      <c r="K687" s="13"/>
      <c r="L687" s="112"/>
      <c r="M687" s="13"/>
      <c r="N687" s="112"/>
      <c r="O687" s="112"/>
      <c r="P687" s="29"/>
      <c r="Q687" s="8"/>
    </row>
    <row r="688" spans="1:17" x14ac:dyDescent="0.25">
      <c r="A688" s="12"/>
      <c r="B688" s="18"/>
      <c r="C688" s="12"/>
      <c r="D688" s="12"/>
      <c r="E688" s="8"/>
      <c r="F688" s="8"/>
      <c r="G688" s="8"/>
      <c r="H688" s="19"/>
      <c r="I688" s="12"/>
      <c r="J688" s="13"/>
      <c r="K688" s="13"/>
      <c r="L688" s="112"/>
      <c r="M688" s="13"/>
      <c r="N688" s="112"/>
      <c r="O688" s="112"/>
      <c r="P688" s="29"/>
      <c r="Q688" s="8"/>
    </row>
    <row r="689" spans="1:17" x14ac:dyDescent="0.25">
      <c r="A689" s="12"/>
      <c r="B689" s="18"/>
      <c r="C689" s="12"/>
      <c r="D689" s="12"/>
      <c r="E689" s="8"/>
      <c r="F689" s="8"/>
      <c r="G689" s="8"/>
      <c r="H689" s="19"/>
      <c r="I689" s="12"/>
      <c r="J689" s="13"/>
      <c r="K689" s="13"/>
      <c r="L689" s="112"/>
      <c r="M689" s="13"/>
      <c r="N689" s="112"/>
      <c r="O689" s="112"/>
      <c r="P689" s="29"/>
      <c r="Q689" s="8"/>
    </row>
    <row r="690" spans="1:17" x14ac:dyDescent="0.25">
      <c r="A690" s="12"/>
      <c r="B690" s="18"/>
      <c r="C690" s="12"/>
      <c r="D690" s="12"/>
      <c r="E690" s="8"/>
      <c r="F690" s="8"/>
      <c r="G690" s="8"/>
      <c r="H690" s="19"/>
      <c r="I690" s="12"/>
      <c r="J690" s="13"/>
      <c r="K690" s="13"/>
      <c r="L690" s="112"/>
      <c r="M690" s="13"/>
      <c r="N690" s="112"/>
      <c r="O690" s="112"/>
      <c r="P690" s="29"/>
      <c r="Q690" s="8"/>
    </row>
    <row r="691" spans="1:17" x14ac:dyDescent="0.25">
      <c r="A691" s="12"/>
      <c r="B691" s="18"/>
      <c r="C691" s="12"/>
      <c r="D691" s="12"/>
      <c r="E691" s="8"/>
      <c r="F691" s="8"/>
      <c r="G691" s="8"/>
      <c r="H691" s="19"/>
      <c r="I691" s="12"/>
      <c r="J691" s="13"/>
      <c r="K691" s="13"/>
      <c r="L691" s="112"/>
      <c r="M691" s="13"/>
      <c r="N691" s="112"/>
      <c r="O691" s="112"/>
      <c r="P691" s="29"/>
      <c r="Q691" s="8"/>
    </row>
    <row r="692" spans="1:17" x14ac:dyDescent="0.25">
      <c r="A692" s="12"/>
      <c r="B692" s="18"/>
      <c r="C692" s="12"/>
      <c r="D692" s="12"/>
      <c r="E692" s="8"/>
      <c r="F692" s="8"/>
      <c r="G692" s="8"/>
      <c r="H692" s="19"/>
      <c r="I692" s="12"/>
      <c r="J692" s="13"/>
      <c r="K692" s="13"/>
      <c r="L692" s="112"/>
      <c r="M692" s="13"/>
      <c r="N692" s="112"/>
      <c r="O692" s="112"/>
      <c r="P692" s="29"/>
      <c r="Q692" s="8"/>
    </row>
    <row r="693" spans="1:17" x14ac:dyDescent="0.25">
      <c r="A693" s="12"/>
      <c r="B693" s="18"/>
      <c r="C693" s="12"/>
      <c r="D693" s="12"/>
      <c r="E693" s="8"/>
      <c r="F693" s="8"/>
      <c r="G693" s="8"/>
      <c r="H693" s="19"/>
      <c r="I693" s="12"/>
      <c r="J693" s="13"/>
      <c r="K693" s="13"/>
      <c r="L693" s="112"/>
      <c r="M693" s="13"/>
      <c r="N693" s="112"/>
      <c r="O693" s="112"/>
      <c r="P693" s="29"/>
      <c r="Q693" s="8"/>
    </row>
    <row r="694" spans="1:17" x14ac:dyDescent="0.25">
      <c r="A694" s="12"/>
      <c r="B694" s="18"/>
      <c r="C694" s="12"/>
      <c r="D694" s="12"/>
      <c r="E694" s="8"/>
      <c r="F694" s="8"/>
      <c r="G694" s="8"/>
      <c r="H694" s="19"/>
      <c r="I694" s="12"/>
      <c r="J694" s="13"/>
      <c r="K694" s="13"/>
      <c r="L694" s="112"/>
      <c r="M694" s="13"/>
      <c r="N694" s="112"/>
      <c r="O694" s="112"/>
      <c r="P694" s="29"/>
      <c r="Q694" s="8"/>
    </row>
    <row r="695" spans="1:17" x14ac:dyDescent="0.25">
      <c r="A695" s="12"/>
      <c r="B695" s="18"/>
      <c r="C695" s="12"/>
      <c r="D695" s="12"/>
      <c r="E695" s="8"/>
      <c r="F695" s="8"/>
      <c r="G695" s="8"/>
      <c r="H695" s="19"/>
      <c r="I695" s="12"/>
      <c r="J695" s="13"/>
      <c r="K695" s="13"/>
      <c r="L695" s="112"/>
      <c r="M695" s="13"/>
      <c r="N695" s="112"/>
      <c r="O695" s="112"/>
      <c r="P695" s="29"/>
      <c r="Q695" s="8"/>
    </row>
    <row r="696" spans="1:17" x14ac:dyDescent="0.25">
      <c r="A696" s="12"/>
      <c r="B696" s="18"/>
      <c r="C696" s="12"/>
      <c r="D696" s="12"/>
      <c r="E696" s="8"/>
      <c r="F696" s="8"/>
      <c r="G696" s="8"/>
      <c r="H696" s="19"/>
      <c r="I696" s="12"/>
      <c r="J696" s="13"/>
      <c r="K696" s="13"/>
      <c r="L696" s="112"/>
      <c r="M696" s="13"/>
      <c r="N696" s="112"/>
      <c r="O696" s="112"/>
      <c r="P696" s="29"/>
      <c r="Q696" s="8"/>
    </row>
    <row r="697" spans="1:17" x14ac:dyDescent="0.25">
      <c r="A697" s="12"/>
      <c r="B697" s="18"/>
      <c r="C697" s="12"/>
      <c r="D697" s="12"/>
      <c r="E697" s="8"/>
      <c r="F697" s="8"/>
      <c r="G697" s="8"/>
      <c r="H697" s="19"/>
      <c r="I697" s="12"/>
      <c r="J697" s="13"/>
      <c r="K697" s="13"/>
      <c r="L697" s="112"/>
      <c r="M697" s="13"/>
      <c r="N697" s="112"/>
      <c r="O697" s="112"/>
      <c r="P697" s="29"/>
      <c r="Q697" s="8"/>
    </row>
    <row r="698" spans="1:17" x14ac:dyDescent="0.25">
      <c r="A698" s="12"/>
      <c r="B698" s="18"/>
      <c r="C698" s="12"/>
      <c r="D698" s="12"/>
      <c r="E698" s="8"/>
      <c r="F698" s="8"/>
      <c r="G698" s="8"/>
      <c r="H698" s="19"/>
      <c r="I698" s="12"/>
      <c r="J698" s="13"/>
      <c r="K698" s="13"/>
      <c r="L698" s="112"/>
      <c r="M698" s="13"/>
      <c r="N698" s="112"/>
      <c r="O698" s="112"/>
      <c r="P698" s="29"/>
      <c r="Q698" s="8"/>
    </row>
    <row r="699" spans="1:17" x14ac:dyDescent="0.25">
      <c r="A699" s="12"/>
      <c r="B699" s="18"/>
      <c r="C699" s="12"/>
      <c r="D699" s="12"/>
      <c r="E699" s="8"/>
      <c r="F699" s="8"/>
      <c r="G699" s="8"/>
      <c r="H699" s="19"/>
      <c r="I699" s="12"/>
      <c r="J699" s="13"/>
      <c r="K699" s="13"/>
      <c r="L699" s="112"/>
      <c r="M699" s="13"/>
      <c r="N699" s="112"/>
      <c r="O699" s="112"/>
      <c r="P699" s="29"/>
      <c r="Q699" s="8"/>
    </row>
    <row r="700" spans="1:17" x14ac:dyDescent="0.25">
      <c r="A700" s="12"/>
      <c r="B700" s="18"/>
      <c r="C700" s="12"/>
      <c r="D700" s="12"/>
      <c r="E700" s="8"/>
      <c r="F700" s="8"/>
      <c r="G700" s="8"/>
      <c r="H700" s="19"/>
      <c r="I700" s="12"/>
      <c r="J700" s="13"/>
      <c r="K700" s="13"/>
      <c r="L700" s="112"/>
      <c r="M700" s="13"/>
      <c r="N700" s="112"/>
      <c r="O700" s="112"/>
      <c r="P700" s="29"/>
      <c r="Q700" s="8"/>
    </row>
    <row r="701" spans="1:17" x14ac:dyDescent="0.25">
      <c r="A701" s="12"/>
      <c r="B701" s="18"/>
      <c r="C701" s="12"/>
      <c r="D701" s="12"/>
      <c r="E701" s="8"/>
      <c r="F701" s="8"/>
      <c r="G701" s="8"/>
      <c r="H701" s="19"/>
      <c r="I701" s="12"/>
      <c r="J701" s="13"/>
      <c r="K701" s="13"/>
      <c r="L701" s="112"/>
      <c r="M701" s="13"/>
      <c r="N701" s="112"/>
      <c r="O701" s="112"/>
      <c r="P701" s="29"/>
      <c r="Q701" s="8"/>
    </row>
    <row r="702" spans="1:17" x14ac:dyDescent="0.25">
      <c r="A702" s="12"/>
      <c r="B702" s="18"/>
      <c r="C702" s="12"/>
      <c r="D702" s="12"/>
      <c r="E702" s="8"/>
      <c r="F702" s="8"/>
      <c r="G702" s="8"/>
      <c r="H702" s="19"/>
      <c r="I702" s="12"/>
      <c r="J702" s="13"/>
      <c r="K702" s="13"/>
      <c r="L702" s="112"/>
      <c r="M702" s="13"/>
      <c r="N702" s="112"/>
      <c r="O702" s="112"/>
      <c r="P702" s="29"/>
      <c r="Q702" s="8"/>
    </row>
    <row r="703" spans="1:17" x14ac:dyDescent="0.25">
      <c r="A703" s="12"/>
      <c r="B703" s="18"/>
      <c r="C703" s="12"/>
      <c r="D703" s="12"/>
      <c r="E703" s="8"/>
      <c r="F703" s="8"/>
      <c r="G703" s="8"/>
      <c r="H703" s="19"/>
      <c r="I703" s="12"/>
      <c r="J703" s="13"/>
      <c r="K703" s="13"/>
      <c r="L703" s="112"/>
      <c r="M703" s="13"/>
      <c r="N703" s="112"/>
      <c r="O703" s="112"/>
      <c r="P703" s="29"/>
      <c r="Q703" s="8"/>
    </row>
    <row r="704" spans="1:17" x14ac:dyDescent="0.25">
      <c r="A704" s="12"/>
      <c r="B704" s="18"/>
      <c r="C704" s="12"/>
      <c r="D704" s="12"/>
      <c r="E704" s="8"/>
      <c r="F704" s="8"/>
      <c r="G704" s="8"/>
      <c r="H704" s="19"/>
      <c r="I704" s="12"/>
      <c r="J704" s="13"/>
      <c r="K704" s="13"/>
      <c r="L704" s="112"/>
      <c r="M704" s="13"/>
      <c r="N704" s="112"/>
      <c r="O704" s="112"/>
      <c r="P704" s="29"/>
      <c r="Q704" s="8"/>
    </row>
    <row r="705" spans="1:17" x14ac:dyDescent="0.25">
      <c r="A705" s="12"/>
      <c r="B705" s="18"/>
      <c r="C705" s="12"/>
      <c r="D705" s="12"/>
      <c r="E705" s="8"/>
      <c r="F705" s="8"/>
      <c r="G705" s="8"/>
      <c r="H705" s="19"/>
      <c r="I705" s="12"/>
      <c r="J705" s="13"/>
      <c r="K705" s="13"/>
      <c r="L705" s="112"/>
      <c r="M705" s="13"/>
      <c r="N705" s="112"/>
      <c r="O705" s="112"/>
      <c r="P705" s="29"/>
      <c r="Q705" s="8"/>
    </row>
    <row r="706" spans="1:17" x14ac:dyDescent="0.25">
      <c r="A706" s="12"/>
      <c r="B706" s="18"/>
      <c r="C706" s="12"/>
      <c r="D706" s="12"/>
      <c r="E706" s="8"/>
      <c r="F706" s="8"/>
      <c r="G706" s="8"/>
      <c r="H706" s="19"/>
      <c r="I706" s="12"/>
      <c r="J706" s="13"/>
      <c r="K706" s="13"/>
      <c r="L706" s="112"/>
      <c r="M706" s="13"/>
      <c r="N706" s="112"/>
      <c r="O706" s="112"/>
      <c r="P706" s="29"/>
      <c r="Q706" s="8"/>
    </row>
    <row r="707" spans="1:17" x14ac:dyDescent="0.25">
      <c r="A707" s="12"/>
      <c r="B707" s="18"/>
      <c r="C707" s="12"/>
      <c r="D707" s="12"/>
      <c r="E707" s="8"/>
      <c r="F707" s="8"/>
      <c r="G707" s="8"/>
      <c r="H707" s="19"/>
      <c r="I707" s="12"/>
      <c r="J707" s="13"/>
      <c r="K707" s="13"/>
      <c r="L707" s="112"/>
      <c r="M707" s="13"/>
      <c r="N707" s="112"/>
      <c r="O707" s="112"/>
      <c r="P707" s="29"/>
      <c r="Q707" s="8"/>
    </row>
    <row r="708" spans="1:17" x14ac:dyDescent="0.25">
      <c r="A708" s="12"/>
      <c r="B708" s="18"/>
      <c r="C708" s="12"/>
      <c r="D708" s="12"/>
      <c r="E708" s="8"/>
      <c r="F708" s="8"/>
      <c r="G708" s="8"/>
      <c r="H708" s="19"/>
      <c r="I708" s="12"/>
      <c r="J708" s="13"/>
      <c r="K708" s="13"/>
      <c r="L708" s="112"/>
      <c r="M708" s="13"/>
      <c r="N708" s="112"/>
      <c r="O708" s="112"/>
      <c r="P708" s="29"/>
      <c r="Q708" s="8"/>
    </row>
    <row r="709" spans="1:17" x14ac:dyDescent="0.25">
      <c r="A709" s="12"/>
      <c r="B709" s="18"/>
      <c r="C709" s="12"/>
      <c r="D709" s="12"/>
      <c r="E709" s="8"/>
      <c r="F709" s="8"/>
      <c r="G709" s="8"/>
      <c r="H709" s="19"/>
      <c r="I709" s="12"/>
      <c r="J709" s="13"/>
      <c r="K709" s="13"/>
      <c r="L709" s="112"/>
      <c r="M709" s="13"/>
      <c r="N709" s="112"/>
      <c r="O709" s="112"/>
      <c r="P709" s="29"/>
      <c r="Q709" s="8"/>
    </row>
    <row r="710" spans="1:17" x14ac:dyDescent="0.25">
      <c r="A710" s="12"/>
      <c r="B710" s="18"/>
      <c r="C710" s="12"/>
      <c r="D710" s="12"/>
      <c r="E710" s="8"/>
      <c r="F710" s="8"/>
      <c r="G710" s="8"/>
      <c r="H710" s="19"/>
      <c r="I710" s="12"/>
      <c r="J710" s="13"/>
      <c r="K710" s="13"/>
      <c r="L710" s="112"/>
      <c r="M710" s="13"/>
      <c r="N710" s="112"/>
      <c r="O710" s="112"/>
      <c r="P710" s="29"/>
      <c r="Q710" s="8"/>
    </row>
    <row r="711" spans="1:17" x14ac:dyDescent="0.25">
      <c r="A711" s="12"/>
      <c r="B711" s="18"/>
      <c r="C711" s="12"/>
      <c r="D711" s="12"/>
      <c r="E711" s="8"/>
      <c r="F711" s="8"/>
      <c r="G711" s="8"/>
      <c r="H711" s="19"/>
      <c r="I711" s="12"/>
      <c r="J711" s="13"/>
      <c r="K711" s="13"/>
      <c r="L711" s="112"/>
      <c r="M711" s="13"/>
      <c r="N711" s="112"/>
      <c r="O711" s="112"/>
      <c r="P711" s="29"/>
      <c r="Q711" s="8"/>
    </row>
    <row r="712" spans="1:17" x14ac:dyDescent="0.25">
      <c r="A712" s="12"/>
      <c r="B712" s="18"/>
      <c r="C712" s="12"/>
      <c r="D712" s="12"/>
      <c r="E712" s="8"/>
      <c r="F712" s="8"/>
      <c r="G712" s="8"/>
      <c r="H712" s="19"/>
      <c r="I712" s="12"/>
      <c r="J712" s="13"/>
      <c r="K712" s="13"/>
      <c r="L712" s="112"/>
      <c r="M712" s="13"/>
      <c r="N712" s="112"/>
      <c r="O712" s="112"/>
      <c r="P712" s="29"/>
      <c r="Q712" s="8"/>
    </row>
    <row r="713" spans="1:17" x14ac:dyDescent="0.25">
      <c r="A713" s="12"/>
      <c r="B713" s="18"/>
      <c r="C713" s="12"/>
      <c r="D713" s="12"/>
      <c r="E713" s="8"/>
      <c r="F713" s="8"/>
      <c r="G713" s="8"/>
      <c r="H713" s="19"/>
      <c r="I713" s="12"/>
      <c r="J713" s="13"/>
      <c r="K713" s="13"/>
      <c r="L713" s="112"/>
      <c r="M713" s="13"/>
      <c r="N713" s="112"/>
      <c r="O713" s="112"/>
      <c r="P713" s="29"/>
      <c r="Q713" s="8"/>
    </row>
    <row r="714" spans="1:17" x14ac:dyDescent="0.25">
      <c r="A714" s="12"/>
      <c r="B714" s="18"/>
      <c r="C714" s="12"/>
      <c r="D714" s="12"/>
      <c r="E714" s="8"/>
      <c r="F714" s="8"/>
      <c r="G714" s="8"/>
      <c r="H714" s="19"/>
      <c r="I714" s="12"/>
      <c r="J714" s="13"/>
      <c r="K714" s="13"/>
      <c r="L714" s="112"/>
      <c r="M714" s="13"/>
      <c r="N714" s="112"/>
      <c r="O714" s="112"/>
      <c r="P714" s="29"/>
      <c r="Q714" s="8"/>
    </row>
    <row r="715" spans="1:17" x14ac:dyDescent="0.25">
      <c r="A715" s="12"/>
      <c r="B715" s="18"/>
      <c r="C715" s="12"/>
      <c r="D715" s="12"/>
      <c r="E715" s="8"/>
      <c r="F715" s="8"/>
      <c r="G715" s="8"/>
      <c r="H715" s="19"/>
      <c r="I715" s="12"/>
      <c r="J715" s="13"/>
      <c r="K715" s="13"/>
      <c r="L715" s="112"/>
      <c r="M715" s="13"/>
      <c r="N715" s="112"/>
      <c r="O715" s="112"/>
      <c r="P715" s="29"/>
      <c r="Q715" s="8"/>
    </row>
    <row r="716" spans="1:17" x14ac:dyDescent="0.25">
      <c r="A716" s="12"/>
      <c r="B716" s="18"/>
      <c r="C716" s="12"/>
      <c r="D716" s="12"/>
      <c r="E716" s="8"/>
      <c r="F716" s="8"/>
      <c r="G716" s="8"/>
      <c r="H716" s="19"/>
      <c r="I716" s="12"/>
      <c r="J716" s="13"/>
      <c r="K716" s="13"/>
      <c r="L716" s="112"/>
      <c r="M716" s="13"/>
      <c r="N716" s="112"/>
      <c r="O716" s="112"/>
      <c r="P716" s="29"/>
      <c r="Q716" s="8"/>
    </row>
    <row r="717" spans="1:17" x14ac:dyDescent="0.25">
      <c r="A717" s="12"/>
      <c r="B717" s="18"/>
      <c r="C717" s="12"/>
      <c r="D717" s="12"/>
      <c r="E717" s="8"/>
      <c r="F717" s="8"/>
      <c r="G717" s="8"/>
      <c r="H717" s="19"/>
      <c r="I717" s="12"/>
      <c r="J717" s="13"/>
      <c r="K717" s="13"/>
      <c r="L717" s="112"/>
      <c r="M717" s="13"/>
      <c r="N717" s="112"/>
      <c r="O717" s="112"/>
      <c r="P717" s="29"/>
      <c r="Q717" s="8"/>
    </row>
    <row r="718" spans="1:17" x14ac:dyDescent="0.25">
      <c r="A718" s="12"/>
      <c r="B718" s="18"/>
      <c r="C718" s="12"/>
      <c r="D718" s="12"/>
      <c r="E718" s="8"/>
      <c r="F718" s="8"/>
      <c r="G718" s="8"/>
      <c r="H718" s="19"/>
      <c r="I718" s="12"/>
      <c r="J718" s="13"/>
      <c r="K718" s="13"/>
      <c r="L718" s="112"/>
      <c r="M718" s="13"/>
      <c r="N718" s="112"/>
      <c r="O718" s="112"/>
      <c r="P718" s="29"/>
      <c r="Q718" s="8"/>
    </row>
    <row r="719" spans="1:17" x14ac:dyDescent="0.25">
      <c r="A719" s="12"/>
      <c r="B719" s="18"/>
      <c r="C719" s="12"/>
      <c r="D719" s="12"/>
      <c r="E719" s="8"/>
      <c r="F719" s="8"/>
      <c r="G719" s="8"/>
      <c r="H719" s="19"/>
      <c r="I719" s="12"/>
      <c r="J719" s="13"/>
      <c r="K719" s="13"/>
      <c r="L719" s="112"/>
      <c r="M719" s="13"/>
      <c r="N719" s="112"/>
      <c r="O719" s="112"/>
      <c r="P719" s="29"/>
      <c r="Q719" s="8"/>
    </row>
    <row r="720" spans="1:17" x14ac:dyDescent="0.25">
      <c r="A720" s="12"/>
      <c r="B720" s="18"/>
      <c r="C720" s="12"/>
      <c r="D720" s="12"/>
      <c r="E720" s="8"/>
      <c r="F720" s="8"/>
      <c r="G720" s="8"/>
      <c r="H720" s="19"/>
      <c r="I720" s="12"/>
      <c r="J720" s="13"/>
      <c r="K720" s="13"/>
      <c r="L720" s="112"/>
      <c r="M720" s="13"/>
      <c r="N720" s="112"/>
      <c r="O720" s="112"/>
      <c r="P720" s="29"/>
      <c r="Q720" s="8"/>
    </row>
    <row r="721" spans="1:17" x14ac:dyDescent="0.25">
      <c r="A721" s="12"/>
      <c r="B721" s="18"/>
      <c r="C721" s="12"/>
      <c r="D721" s="12"/>
      <c r="E721" s="8"/>
      <c r="F721" s="8"/>
      <c r="G721" s="8"/>
      <c r="H721" s="19"/>
      <c r="I721" s="12"/>
      <c r="J721" s="13"/>
      <c r="K721" s="13"/>
      <c r="L721" s="112"/>
      <c r="M721" s="13"/>
      <c r="N721" s="112"/>
      <c r="O721" s="112"/>
      <c r="P721" s="29"/>
      <c r="Q721" s="8"/>
    </row>
    <row r="722" spans="1:17" x14ac:dyDescent="0.25">
      <c r="A722" s="12"/>
      <c r="B722" s="18"/>
      <c r="C722" s="12"/>
      <c r="D722" s="12"/>
      <c r="E722" s="8"/>
      <c r="F722" s="8"/>
      <c r="G722" s="8"/>
      <c r="H722" s="19"/>
      <c r="I722" s="12"/>
      <c r="J722" s="13"/>
      <c r="K722" s="13"/>
      <c r="L722" s="112"/>
      <c r="M722" s="13"/>
      <c r="N722" s="112"/>
      <c r="O722" s="112"/>
      <c r="P722" s="29"/>
      <c r="Q722" s="8"/>
    </row>
    <row r="723" spans="1:17" x14ac:dyDescent="0.25">
      <c r="A723" s="12"/>
      <c r="B723" s="18"/>
      <c r="C723" s="12"/>
      <c r="D723" s="12"/>
      <c r="E723" s="8"/>
      <c r="F723" s="8"/>
      <c r="G723" s="8"/>
      <c r="H723" s="19"/>
      <c r="I723" s="12"/>
      <c r="J723" s="13"/>
      <c r="K723" s="13"/>
      <c r="L723" s="112"/>
      <c r="M723" s="13"/>
      <c r="N723" s="112"/>
      <c r="O723" s="112"/>
      <c r="P723" s="29"/>
      <c r="Q723" s="8"/>
    </row>
    <row r="724" spans="1:17" x14ac:dyDescent="0.25">
      <c r="A724" s="12"/>
      <c r="B724" s="18"/>
      <c r="C724" s="12"/>
      <c r="D724" s="12"/>
      <c r="E724" s="8"/>
      <c r="F724" s="8"/>
      <c r="G724" s="8"/>
      <c r="H724" s="19"/>
      <c r="I724" s="12"/>
      <c r="J724" s="13"/>
      <c r="K724" s="13"/>
      <c r="L724" s="112"/>
      <c r="M724" s="13"/>
      <c r="N724" s="112"/>
      <c r="O724" s="112"/>
      <c r="P724" s="29"/>
      <c r="Q724" s="8"/>
    </row>
    <row r="725" spans="1:17" x14ac:dyDescent="0.25">
      <c r="A725" s="12"/>
      <c r="B725" s="18"/>
      <c r="C725" s="12"/>
      <c r="D725" s="12"/>
      <c r="E725" s="8"/>
      <c r="F725" s="8"/>
      <c r="G725" s="8"/>
      <c r="H725" s="19"/>
      <c r="I725" s="12"/>
      <c r="J725" s="13"/>
      <c r="K725" s="13"/>
      <c r="L725" s="112"/>
      <c r="M725" s="13"/>
      <c r="N725" s="112"/>
      <c r="O725" s="112"/>
      <c r="P725" s="29"/>
      <c r="Q725" s="8"/>
    </row>
    <row r="726" spans="1:17" x14ac:dyDescent="0.25">
      <c r="A726" s="12"/>
      <c r="B726" s="18"/>
      <c r="C726" s="12"/>
      <c r="D726" s="12"/>
      <c r="E726" s="8"/>
      <c r="F726" s="8"/>
      <c r="G726" s="8"/>
      <c r="H726" s="19"/>
      <c r="I726" s="12"/>
      <c r="J726" s="13"/>
      <c r="K726" s="13"/>
      <c r="L726" s="112"/>
      <c r="M726" s="13"/>
      <c r="N726" s="112"/>
      <c r="O726" s="112"/>
      <c r="P726" s="29"/>
      <c r="Q726" s="8"/>
    </row>
    <row r="727" spans="1:17" x14ac:dyDescent="0.25">
      <c r="A727" s="12"/>
      <c r="B727" s="18"/>
      <c r="C727" s="12"/>
      <c r="D727" s="12"/>
      <c r="E727" s="8"/>
      <c r="F727" s="8"/>
      <c r="G727" s="8"/>
      <c r="H727" s="19"/>
      <c r="I727" s="12"/>
      <c r="J727" s="13"/>
      <c r="K727" s="13"/>
      <c r="L727" s="112"/>
      <c r="M727" s="13"/>
      <c r="N727" s="112"/>
      <c r="O727" s="112"/>
      <c r="P727" s="29"/>
      <c r="Q727" s="8"/>
    </row>
    <row r="728" spans="1:17" x14ac:dyDescent="0.25">
      <c r="A728" s="12"/>
      <c r="B728" s="18"/>
      <c r="C728" s="12"/>
      <c r="D728" s="12"/>
      <c r="E728" s="8"/>
      <c r="F728" s="8"/>
      <c r="G728" s="8"/>
      <c r="H728" s="19"/>
      <c r="I728" s="12"/>
      <c r="J728" s="13"/>
      <c r="K728" s="13"/>
      <c r="L728" s="112"/>
      <c r="M728" s="13"/>
      <c r="N728" s="112"/>
      <c r="O728" s="112"/>
      <c r="P728" s="29"/>
      <c r="Q728" s="8"/>
    </row>
    <row r="729" spans="1:17" x14ac:dyDescent="0.25">
      <c r="A729" s="12"/>
      <c r="B729" s="18"/>
      <c r="C729" s="12"/>
      <c r="D729" s="12"/>
      <c r="E729" s="8"/>
      <c r="F729" s="8"/>
      <c r="G729" s="8"/>
      <c r="H729" s="19"/>
      <c r="I729" s="12"/>
      <c r="J729" s="13"/>
      <c r="K729" s="13"/>
      <c r="L729" s="112"/>
      <c r="M729" s="13"/>
      <c r="N729" s="112"/>
      <c r="O729" s="112"/>
      <c r="P729" s="29"/>
      <c r="Q729" s="8"/>
    </row>
    <row r="730" spans="1:17" x14ac:dyDescent="0.25">
      <c r="A730" s="12"/>
      <c r="B730" s="18"/>
      <c r="C730" s="12"/>
      <c r="D730" s="12"/>
      <c r="E730" s="8"/>
      <c r="F730" s="8"/>
      <c r="G730" s="8"/>
      <c r="H730" s="19"/>
      <c r="I730" s="12"/>
      <c r="J730" s="13"/>
      <c r="K730" s="13"/>
      <c r="L730" s="112"/>
      <c r="M730" s="13"/>
      <c r="N730" s="112"/>
      <c r="O730" s="112"/>
      <c r="P730" s="29"/>
      <c r="Q730" s="8"/>
    </row>
    <row r="731" spans="1:17" x14ac:dyDescent="0.25">
      <c r="A731" s="12"/>
      <c r="B731" s="18"/>
      <c r="C731" s="12"/>
      <c r="D731" s="12"/>
      <c r="E731" s="8"/>
      <c r="F731" s="8"/>
      <c r="G731" s="8"/>
      <c r="H731" s="19"/>
      <c r="I731" s="12"/>
      <c r="J731" s="13"/>
      <c r="K731" s="13"/>
      <c r="L731" s="112"/>
      <c r="M731" s="13"/>
      <c r="N731" s="112"/>
      <c r="O731" s="112"/>
      <c r="P731" s="29"/>
      <c r="Q731" s="8"/>
    </row>
    <row r="732" spans="1:17" x14ac:dyDescent="0.25">
      <c r="A732" s="12"/>
      <c r="B732" s="18"/>
      <c r="C732" s="12"/>
      <c r="D732" s="12"/>
      <c r="E732" s="8"/>
      <c r="F732" s="8"/>
      <c r="G732" s="8"/>
      <c r="H732" s="19"/>
      <c r="I732" s="12"/>
      <c r="J732" s="13"/>
      <c r="K732" s="13"/>
      <c r="L732" s="112"/>
      <c r="M732" s="13"/>
      <c r="N732" s="112"/>
      <c r="O732" s="112"/>
      <c r="P732" s="29"/>
      <c r="Q732" s="8"/>
    </row>
    <row r="733" spans="1:17" x14ac:dyDescent="0.25">
      <c r="A733" s="12"/>
      <c r="B733" s="18"/>
      <c r="C733" s="12"/>
      <c r="D733" s="12"/>
      <c r="E733" s="8"/>
      <c r="F733" s="8"/>
      <c r="G733" s="8"/>
      <c r="H733" s="19"/>
      <c r="I733" s="12"/>
      <c r="J733" s="13"/>
      <c r="K733" s="13"/>
      <c r="L733" s="112"/>
      <c r="M733" s="13"/>
      <c r="N733" s="112"/>
      <c r="O733" s="112"/>
      <c r="P733" s="29"/>
      <c r="Q733" s="8"/>
    </row>
    <row r="734" spans="1:17" x14ac:dyDescent="0.25">
      <c r="A734" s="12"/>
      <c r="B734" s="18"/>
      <c r="C734" s="12"/>
      <c r="D734" s="12"/>
      <c r="E734" s="8"/>
      <c r="F734" s="8"/>
      <c r="G734" s="8"/>
      <c r="H734" s="19"/>
      <c r="I734" s="12"/>
      <c r="J734" s="13"/>
      <c r="K734" s="13"/>
      <c r="L734" s="112"/>
      <c r="M734" s="13"/>
      <c r="N734" s="112"/>
      <c r="O734" s="112"/>
      <c r="P734" s="29"/>
      <c r="Q734" s="8"/>
    </row>
    <row r="735" spans="1:17" x14ac:dyDescent="0.25">
      <c r="A735" s="12"/>
      <c r="B735" s="18"/>
      <c r="C735" s="12"/>
      <c r="D735" s="12"/>
      <c r="E735" s="8"/>
      <c r="F735" s="8"/>
      <c r="G735" s="8"/>
      <c r="H735" s="19"/>
      <c r="I735" s="12"/>
      <c r="J735" s="13"/>
      <c r="K735" s="13"/>
      <c r="L735" s="112"/>
      <c r="M735" s="13"/>
      <c r="N735" s="112"/>
      <c r="O735" s="112"/>
      <c r="P735" s="29"/>
      <c r="Q735" s="8"/>
    </row>
    <row r="736" spans="1:17" x14ac:dyDescent="0.25">
      <c r="A736" s="12"/>
      <c r="B736" s="18"/>
      <c r="C736" s="12"/>
      <c r="D736" s="12"/>
      <c r="E736" s="8"/>
      <c r="F736" s="8"/>
      <c r="G736" s="8"/>
      <c r="H736" s="19"/>
      <c r="I736" s="12"/>
      <c r="J736" s="13"/>
      <c r="K736" s="13"/>
      <c r="L736" s="112"/>
      <c r="M736" s="13"/>
      <c r="N736" s="112"/>
      <c r="O736" s="112"/>
      <c r="P736" s="29"/>
      <c r="Q736" s="8"/>
    </row>
    <row r="737" spans="1:17" x14ac:dyDescent="0.25">
      <c r="A737" s="12"/>
      <c r="B737" s="18"/>
      <c r="C737" s="12"/>
      <c r="D737" s="12"/>
      <c r="E737" s="8"/>
      <c r="F737" s="8"/>
      <c r="G737" s="8"/>
      <c r="H737" s="19"/>
      <c r="I737" s="12"/>
      <c r="J737" s="13"/>
      <c r="K737" s="13"/>
      <c r="L737" s="112"/>
      <c r="M737" s="13"/>
      <c r="N737" s="112"/>
      <c r="O737" s="112"/>
      <c r="P737" s="29"/>
      <c r="Q737" s="8"/>
    </row>
    <row r="738" spans="1:17" x14ac:dyDescent="0.25">
      <c r="A738" s="12"/>
      <c r="B738" s="18"/>
      <c r="C738" s="12"/>
      <c r="D738" s="12"/>
      <c r="E738" s="8"/>
      <c r="F738" s="8"/>
      <c r="G738" s="8"/>
      <c r="H738" s="19"/>
      <c r="I738" s="12"/>
      <c r="J738" s="13"/>
      <c r="K738" s="13"/>
      <c r="L738" s="112"/>
      <c r="M738" s="13"/>
      <c r="N738" s="112"/>
      <c r="O738" s="112"/>
      <c r="P738" s="29"/>
      <c r="Q738" s="8"/>
    </row>
    <row r="739" spans="1:17" x14ac:dyDescent="0.25">
      <c r="A739" s="12"/>
      <c r="B739" s="18"/>
      <c r="C739" s="12"/>
      <c r="D739" s="12"/>
      <c r="E739" s="8"/>
      <c r="F739" s="8"/>
      <c r="G739" s="8"/>
      <c r="H739" s="19"/>
      <c r="I739" s="12"/>
      <c r="J739" s="13"/>
      <c r="K739" s="13"/>
      <c r="L739" s="112"/>
      <c r="M739" s="13"/>
      <c r="N739" s="112"/>
      <c r="O739" s="112"/>
      <c r="P739" s="29"/>
      <c r="Q739" s="8"/>
    </row>
    <row r="740" spans="1:17" x14ac:dyDescent="0.25">
      <c r="A740" s="12"/>
      <c r="B740" s="18"/>
      <c r="C740" s="12"/>
      <c r="D740" s="12"/>
      <c r="E740" s="8"/>
      <c r="F740" s="8"/>
      <c r="G740" s="8"/>
      <c r="H740" s="19"/>
      <c r="I740" s="12"/>
      <c r="J740" s="13"/>
      <c r="K740" s="13"/>
      <c r="L740" s="112"/>
      <c r="M740" s="13"/>
      <c r="N740" s="112"/>
      <c r="O740" s="112"/>
      <c r="P740" s="29"/>
      <c r="Q740" s="8"/>
    </row>
    <row r="741" spans="1:17" x14ac:dyDescent="0.25">
      <c r="A741" s="12"/>
      <c r="B741" s="18"/>
      <c r="C741" s="12"/>
      <c r="D741" s="12"/>
      <c r="E741" s="8"/>
      <c r="F741" s="8"/>
      <c r="G741" s="8"/>
      <c r="H741" s="19"/>
      <c r="I741" s="12"/>
      <c r="J741" s="13"/>
      <c r="K741" s="13"/>
      <c r="L741" s="112"/>
      <c r="M741" s="13"/>
      <c r="N741" s="112"/>
      <c r="O741" s="112"/>
      <c r="P741" s="29"/>
      <c r="Q741" s="8"/>
    </row>
    <row r="742" spans="1:17" x14ac:dyDescent="0.25">
      <c r="A742" s="12"/>
      <c r="B742" s="18"/>
      <c r="C742" s="12"/>
      <c r="D742" s="12"/>
      <c r="E742" s="8"/>
      <c r="F742" s="8"/>
      <c r="G742" s="8"/>
      <c r="H742" s="19"/>
      <c r="I742" s="12"/>
      <c r="J742" s="13"/>
      <c r="K742" s="13"/>
      <c r="L742" s="112"/>
      <c r="M742" s="13"/>
      <c r="N742" s="112"/>
      <c r="O742" s="112"/>
      <c r="P742" s="29"/>
      <c r="Q742" s="8"/>
    </row>
    <row r="743" spans="1:17" x14ac:dyDescent="0.25">
      <c r="A743" s="12"/>
      <c r="B743" s="18"/>
      <c r="C743" s="12"/>
      <c r="D743" s="12"/>
      <c r="E743" s="8"/>
      <c r="F743" s="8"/>
      <c r="G743" s="8"/>
      <c r="H743" s="19"/>
      <c r="I743" s="12"/>
      <c r="J743" s="13"/>
      <c r="K743" s="13"/>
      <c r="L743" s="112"/>
      <c r="M743" s="13"/>
      <c r="N743" s="112"/>
      <c r="O743" s="112"/>
      <c r="P743" s="29"/>
      <c r="Q743" s="8"/>
    </row>
    <row r="744" spans="1:17" x14ac:dyDescent="0.25">
      <c r="A744" s="12"/>
      <c r="B744" s="18"/>
      <c r="C744" s="12"/>
      <c r="D744" s="12"/>
      <c r="E744" s="8"/>
      <c r="F744" s="8"/>
      <c r="G744" s="8"/>
      <c r="H744" s="19"/>
      <c r="I744" s="12"/>
      <c r="J744" s="13"/>
      <c r="K744" s="13"/>
      <c r="L744" s="112"/>
      <c r="M744" s="13"/>
      <c r="N744" s="112"/>
      <c r="O744" s="112"/>
      <c r="P744" s="29"/>
      <c r="Q744" s="8"/>
    </row>
    <row r="745" spans="1:17" x14ac:dyDescent="0.25">
      <c r="A745" s="12"/>
      <c r="B745" s="18"/>
      <c r="C745" s="12"/>
      <c r="D745" s="12"/>
      <c r="E745" s="8"/>
      <c r="F745" s="8"/>
      <c r="G745" s="8"/>
      <c r="H745" s="19"/>
      <c r="I745" s="12"/>
      <c r="J745" s="13"/>
      <c r="K745" s="13"/>
      <c r="L745" s="112"/>
      <c r="M745" s="13"/>
      <c r="N745" s="112"/>
      <c r="O745" s="112"/>
      <c r="P745" s="29"/>
      <c r="Q745" s="8"/>
    </row>
    <row r="746" spans="1:17" x14ac:dyDescent="0.25">
      <c r="A746" s="12"/>
      <c r="B746" s="18"/>
      <c r="C746" s="12"/>
      <c r="D746" s="12"/>
      <c r="E746" s="8"/>
      <c r="F746" s="8"/>
      <c r="G746" s="8"/>
      <c r="H746" s="19"/>
      <c r="I746" s="12"/>
      <c r="J746" s="13"/>
      <c r="K746" s="13"/>
      <c r="L746" s="112"/>
      <c r="M746" s="13"/>
      <c r="N746" s="112"/>
      <c r="O746" s="112"/>
      <c r="P746" s="29"/>
      <c r="Q746" s="8"/>
    </row>
    <row r="747" spans="1:17" x14ac:dyDescent="0.25">
      <c r="A747" s="12"/>
      <c r="B747" s="18"/>
      <c r="C747" s="12"/>
      <c r="D747" s="12"/>
      <c r="E747" s="8"/>
      <c r="F747" s="8"/>
      <c r="G747" s="8"/>
      <c r="H747" s="19"/>
      <c r="I747" s="12"/>
      <c r="J747" s="13"/>
      <c r="K747" s="13"/>
      <c r="L747" s="112"/>
      <c r="M747" s="13"/>
      <c r="N747" s="112"/>
      <c r="O747" s="112"/>
      <c r="P747" s="29"/>
      <c r="Q747" s="8"/>
    </row>
    <row r="748" spans="1:17" x14ac:dyDescent="0.25">
      <c r="A748" s="12"/>
      <c r="B748" s="18"/>
      <c r="C748" s="12"/>
      <c r="D748" s="12"/>
      <c r="E748" s="8"/>
      <c r="F748" s="8"/>
      <c r="G748" s="8"/>
      <c r="H748" s="19"/>
      <c r="I748" s="12"/>
      <c r="J748" s="13"/>
      <c r="K748" s="13"/>
      <c r="L748" s="112"/>
      <c r="M748" s="13"/>
      <c r="N748" s="112"/>
      <c r="O748" s="112"/>
      <c r="P748" s="29"/>
      <c r="Q748" s="8"/>
    </row>
    <row r="749" spans="1:17" x14ac:dyDescent="0.25">
      <c r="A749" s="12"/>
      <c r="B749" s="18"/>
      <c r="C749" s="12"/>
      <c r="D749" s="12"/>
      <c r="E749" s="8"/>
      <c r="F749" s="8"/>
      <c r="G749" s="8"/>
      <c r="H749" s="19"/>
      <c r="I749" s="12"/>
      <c r="J749" s="13"/>
      <c r="K749" s="13"/>
      <c r="L749" s="112"/>
      <c r="M749" s="13"/>
      <c r="N749" s="112"/>
      <c r="O749" s="112"/>
      <c r="P749" s="29"/>
      <c r="Q749" s="8"/>
    </row>
    <row r="750" spans="1:17" x14ac:dyDescent="0.25">
      <c r="A750" s="12"/>
      <c r="B750" s="18"/>
      <c r="C750" s="12"/>
      <c r="D750" s="12"/>
      <c r="E750" s="8"/>
      <c r="F750" s="8"/>
      <c r="G750" s="8"/>
      <c r="H750" s="19"/>
      <c r="I750" s="12"/>
      <c r="J750" s="13"/>
      <c r="K750" s="13"/>
      <c r="L750" s="112"/>
      <c r="M750" s="13"/>
      <c r="N750" s="112"/>
      <c r="O750" s="112"/>
      <c r="P750" s="29"/>
      <c r="Q750" s="8"/>
    </row>
    <row r="751" spans="1:17" x14ac:dyDescent="0.25">
      <c r="A751" s="12"/>
      <c r="B751" s="18"/>
      <c r="C751" s="12"/>
      <c r="D751" s="12"/>
      <c r="E751" s="8"/>
      <c r="F751" s="8"/>
      <c r="G751" s="8"/>
      <c r="H751" s="19"/>
      <c r="I751" s="12"/>
      <c r="J751" s="13"/>
      <c r="K751" s="13"/>
      <c r="L751" s="112"/>
      <c r="M751" s="13"/>
      <c r="N751" s="112"/>
      <c r="O751" s="112"/>
      <c r="P751" s="29"/>
      <c r="Q751" s="8"/>
    </row>
    <row r="752" spans="1:17" x14ac:dyDescent="0.25">
      <c r="A752" s="12"/>
      <c r="B752" s="18"/>
      <c r="C752" s="12"/>
      <c r="D752" s="12"/>
      <c r="E752" s="8"/>
      <c r="F752" s="8"/>
      <c r="G752" s="8"/>
      <c r="H752" s="19"/>
      <c r="I752" s="12"/>
      <c r="J752" s="13"/>
      <c r="K752" s="13"/>
      <c r="L752" s="112"/>
      <c r="M752" s="13"/>
      <c r="N752" s="112"/>
      <c r="O752" s="112"/>
      <c r="P752" s="29"/>
      <c r="Q752" s="8"/>
    </row>
    <row r="753" spans="1:17" x14ac:dyDescent="0.25">
      <c r="A753" s="12"/>
      <c r="B753" s="18"/>
      <c r="C753" s="12"/>
      <c r="D753" s="12"/>
      <c r="E753" s="8"/>
      <c r="F753" s="8"/>
      <c r="G753" s="8"/>
      <c r="H753" s="19"/>
      <c r="I753" s="12"/>
      <c r="J753" s="13"/>
      <c r="K753" s="13"/>
      <c r="L753" s="112"/>
      <c r="M753" s="13"/>
      <c r="N753" s="112"/>
      <c r="O753" s="112"/>
      <c r="P753" s="29"/>
      <c r="Q753" s="8"/>
    </row>
    <row r="754" spans="1:17" x14ac:dyDescent="0.25">
      <c r="A754" s="12"/>
      <c r="B754" s="18"/>
      <c r="C754" s="12"/>
      <c r="D754" s="12"/>
      <c r="E754" s="8"/>
      <c r="F754" s="8"/>
      <c r="G754" s="8"/>
      <c r="H754" s="19"/>
      <c r="I754" s="12"/>
      <c r="J754" s="13"/>
      <c r="K754" s="13"/>
      <c r="L754" s="112"/>
      <c r="M754" s="13"/>
      <c r="N754" s="112"/>
      <c r="O754" s="112"/>
      <c r="P754" s="29"/>
      <c r="Q754" s="8"/>
    </row>
    <row r="755" spans="1:17" x14ac:dyDescent="0.25">
      <c r="A755" s="12"/>
      <c r="B755" s="18"/>
      <c r="C755" s="12"/>
      <c r="D755" s="12"/>
      <c r="E755" s="8"/>
      <c r="F755" s="8"/>
      <c r="G755" s="8"/>
      <c r="H755" s="19"/>
      <c r="I755" s="12"/>
      <c r="J755" s="13"/>
      <c r="K755" s="13"/>
      <c r="L755" s="112"/>
      <c r="M755" s="13"/>
      <c r="N755" s="112"/>
      <c r="O755" s="112"/>
      <c r="P755" s="29"/>
      <c r="Q755" s="8"/>
    </row>
    <row r="756" spans="1:17" x14ac:dyDescent="0.25">
      <c r="A756" s="12"/>
      <c r="B756" s="18"/>
      <c r="C756" s="12"/>
      <c r="D756" s="12"/>
      <c r="E756" s="8"/>
      <c r="F756" s="8"/>
      <c r="G756" s="8"/>
      <c r="H756" s="19"/>
      <c r="I756" s="12"/>
      <c r="J756" s="13"/>
      <c r="K756" s="13"/>
      <c r="L756" s="112"/>
      <c r="M756" s="13"/>
      <c r="N756" s="112"/>
      <c r="O756" s="112"/>
      <c r="P756" s="29"/>
      <c r="Q756" s="8"/>
    </row>
    <row r="757" spans="1:17" x14ac:dyDescent="0.25">
      <c r="A757" s="12"/>
      <c r="B757" s="18"/>
      <c r="C757" s="12"/>
      <c r="D757" s="12"/>
      <c r="E757" s="8"/>
      <c r="F757" s="8"/>
      <c r="G757" s="8"/>
      <c r="H757" s="19"/>
      <c r="I757" s="12"/>
      <c r="J757" s="13"/>
      <c r="K757" s="13"/>
      <c r="L757" s="112"/>
      <c r="M757" s="13"/>
      <c r="N757" s="112"/>
      <c r="O757" s="112"/>
      <c r="P757" s="29"/>
      <c r="Q757" s="8"/>
    </row>
    <row r="758" spans="1:17" x14ac:dyDescent="0.25">
      <c r="A758" s="12"/>
      <c r="B758" s="18"/>
      <c r="C758" s="12"/>
      <c r="D758" s="12"/>
      <c r="E758" s="8"/>
      <c r="F758" s="8"/>
      <c r="G758" s="8"/>
      <c r="H758" s="19"/>
      <c r="I758" s="12"/>
      <c r="J758" s="13"/>
      <c r="K758" s="13"/>
      <c r="L758" s="112"/>
      <c r="M758" s="13"/>
      <c r="N758" s="112"/>
      <c r="O758" s="112"/>
      <c r="P758" s="29"/>
      <c r="Q758" s="8"/>
    </row>
    <row r="759" spans="1:17" x14ac:dyDescent="0.25">
      <c r="A759" s="12"/>
      <c r="B759" s="18"/>
      <c r="C759" s="12"/>
      <c r="D759" s="12"/>
      <c r="E759" s="8"/>
      <c r="F759" s="8"/>
      <c r="G759" s="8"/>
      <c r="H759" s="19"/>
      <c r="I759" s="12"/>
      <c r="J759" s="13"/>
      <c r="K759" s="13"/>
      <c r="L759" s="112"/>
      <c r="M759" s="13"/>
      <c r="N759" s="112"/>
      <c r="O759" s="112"/>
      <c r="P759" s="29"/>
      <c r="Q759" s="8"/>
    </row>
    <row r="760" spans="1:17" x14ac:dyDescent="0.25">
      <c r="A760" s="12"/>
      <c r="B760" s="18"/>
      <c r="C760" s="12"/>
      <c r="D760" s="12"/>
      <c r="E760" s="8"/>
      <c r="F760" s="8"/>
      <c r="G760" s="8"/>
      <c r="H760" s="19"/>
      <c r="I760" s="12"/>
      <c r="J760" s="13"/>
      <c r="K760" s="13"/>
      <c r="L760" s="112"/>
      <c r="M760" s="13"/>
      <c r="N760" s="112"/>
      <c r="O760" s="112"/>
      <c r="P760" s="29"/>
      <c r="Q760" s="8"/>
    </row>
    <row r="761" spans="1:17" x14ac:dyDescent="0.25">
      <c r="A761" s="12"/>
      <c r="B761" s="18"/>
      <c r="C761" s="12"/>
      <c r="D761" s="12"/>
      <c r="E761" s="8"/>
      <c r="F761" s="8"/>
      <c r="G761" s="8"/>
      <c r="H761" s="19"/>
      <c r="I761" s="12"/>
      <c r="J761" s="13"/>
      <c r="K761" s="13"/>
      <c r="L761" s="112"/>
      <c r="M761" s="13"/>
      <c r="N761" s="112"/>
      <c r="O761" s="112"/>
      <c r="P761" s="29"/>
      <c r="Q761" s="8"/>
    </row>
    <row r="762" spans="1:17" x14ac:dyDescent="0.25">
      <c r="A762" s="12"/>
      <c r="B762" s="18"/>
      <c r="C762" s="12"/>
      <c r="D762" s="12"/>
      <c r="E762" s="8"/>
      <c r="F762" s="8"/>
      <c r="G762" s="8"/>
      <c r="H762" s="19"/>
      <c r="I762" s="12"/>
      <c r="J762" s="13"/>
      <c r="K762" s="13"/>
      <c r="L762" s="112"/>
      <c r="M762" s="13"/>
      <c r="N762" s="112"/>
      <c r="O762" s="112"/>
      <c r="P762" s="29"/>
      <c r="Q762" s="8"/>
    </row>
    <row r="763" spans="1:17" x14ac:dyDescent="0.25">
      <c r="A763" s="12"/>
      <c r="B763" s="18"/>
      <c r="C763" s="12"/>
      <c r="D763" s="12"/>
      <c r="E763" s="8"/>
      <c r="F763" s="8"/>
      <c r="G763" s="8"/>
      <c r="H763" s="19"/>
      <c r="I763" s="12"/>
      <c r="J763" s="13"/>
      <c r="K763" s="13"/>
      <c r="L763" s="112"/>
      <c r="M763" s="13"/>
      <c r="N763" s="112"/>
      <c r="O763" s="112"/>
      <c r="P763" s="29"/>
      <c r="Q763" s="8"/>
    </row>
    <row r="764" spans="1:17" x14ac:dyDescent="0.25">
      <c r="A764" s="12"/>
      <c r="B764" s="18"/>
      <c r="C764" s="12"/>
      <c r="D764" s="12"/>
      <c r="E764" s="8"/>
      <c r="F764" s="8"/>
      <c r="G764" s="8"/>
      <c r="H764" s="19"/>
      <c r="I764" s="12"/>
      <c r="J764" s="13"/>
      <c r="K764" s="13"/>
      <c r="L764" s="112"/>
      <c r="M764" s="13"/>
      <c r="N764" s="112"/>
      <c r="O764" s="112"/>
      <c r="P764" s="29"/>
      <c r="Q764" s="8"/>
    </row>
    <row r="765" spans="1:17" x14ac:dyDescent="0.25">
      <c r="A765" s="12"/>
      <c r="B765" s="18"/>
      <c r="C765" s="12"/>
      <c r="D765" s="12"/>
      <c r="E765" s="8"/>
      <c r="F765" s="8"/>
      <c r="G765" s="8"/>
      <c r="H765" s="19"/>
      <c r="I765" s="12"/>
      <c r="J765" s="13"/>
      <c r="K765" s="13"/>
      <c r="L765" s="112"/>
      <c r="M765" s="13"/>
      <c r="N765" s="112"/>
      <c r="O765" s="112"/>
      <c r="P765" s="29"/>
      <c r="Q765" s="8"/>
    </row>
    <row r="766" spans="1:17" x14ac:dyDescent="0.25">
      <c r="A766" s="12"/>
      <c r="B766" s="18"/>
      <c r="C766" s="12"/>
      <c r="D766" s="12"/>
      <c r="E766" s="8"/>
      <c r="F766" s="8"/>
      <c r="G766" s="8"/>
      <c r="H766" s="19"/>
      <c r="I766" s="12"/>
      <c r="J766" s="13"/>
      <c r="K766" s="13"/>
      <c r="L766" s="112"/>
      <c r="M766" s="13"/>
      <c r="N766" s="112"/>
      <c r="O766" s="112"/>
      <c r="P766" s="29"/>
      <c r="Q766" s="8"/>
    </row>
    <row r="767" spans="1:17" x14ac:dyDescent="0.25">
      <c r="A767" s="12"/>
      <c r="B767" s="18"/>
      <c r="C767" s="12"/>
      <c r="D767" s="12"/>
      <c r="E767" s="8"/>
      <c r="F767" s="8"/>
      <c r="G767" s="8"/>
      <c r="H767" s="19"/>
      <c r="I767" s="12"/>
      <c r="J767" s="13"/>
      <c r="K767" s="13"/>
      <c r="L767" s="112"/>
      <c r="M767" s="13"/>
      <c r="N767" s="112"/>
      <c r="O767" s="112"/>
      <c r="P767" s="29"/>
      <c r="Q767" s="8"/>
    </row>
    <row r="768" spans="1:17" x14ac:dyDescent="0.25">
      <c r="A768" s="12"/>
      <c r="B768" s="18"/>
      <c r="C768" s="12"/>
      <c r="D768" s="12"/>
      <c r="E768" s="8"/>
      <c r="F768" s="8"/>
      <c r="G768" s="8"/>
      <c r="H768" s="19"/>
      <c r="I768" s="12"/>
      <c r="J768" s="13"/>
      <c r="K768" s="13"/>
      <c r="L768" s="112"/>
      <c r="M768" s="13"/>
      <c r="N768" s="112"/>
      <c r="O768" s="112"/>
      <c r="P768" s="29"/>
      <c r="Q768" s="8"/>
    </row>
    <row r="769" spans="1:17" x14ac:dyDescent="0.25">
      <c r="A769" s="12"/>
      <c r="B769" s="18"/>
      <c r="C769" s="12"/>
      <c r="D769" s="12"/>
      <c r="E769" s="8"/>
      <c r="F769" s="8"/>
      <c r="G769" s="8"/>
      <c r="H769" s="19"/>
      <c r="I769" s="12"/>
      <c r="J769" s="13"/>
      <c r="K769" s="13"/>
      <c r="L769" s="112"/>
      <c r="M769" s="13"/>
      <c r="N769" s="112"/>
      <c r="O769" s="112"/>
      <c r="P769" s="29"/>
      <c r="Q769" s="8"/>
    </row>
    <row r="770" spans="1:17" x14ac:dyDescent="0.25">
      <c r="A770" s="12"/>
      <c r="B770" s="18"/>
      <c r="C770" s="12"/>
      <c r="D770" s="12"/>
      <c r="E770" s="8"/>
      <c r="F770" s="8"/>
      <c r="G770" s="8"/>
      <c r="H770" s="19"/>
      <c r="I770" s="12"/>
      <c r="J770" s="13"/>
      <c r="K770" s="13"/>
      <c r="L770" s="112"/>
      <c r="M770" s="13"/>
      <c r="N770" s="112"/>
      <c r="O770" s="112"/>
      <c r="P770" s="29"/>
      <c r="Q770" s="8"/>
    </row>
    <row r="771" spans="1:17" x14ac:dyDescent="0.25">
      <c r="A771" s="12"/>
      <c r="B771" s="18"/>
      <c r="C771" s="12"/>
      <c r="D771" s="12"/>
      <c r="E771" s="8"/>
      <c r="F771" s="8"/>
      <c r="G771" s="8"/>
      <c r="H771" s="19"/>
      <c r="I771" s="12"/>
      <c r="J771" s="13"/>
      <c r="K771" s="13"/>
      <c r="L771" s="112"/>
      <c r="M771" s="13"/>
      <c r="N771" s="112"/>
      <c r="O771" s="112"/>
      <c r="P771" s="29"/>
      <c r="Q771" s="8"/>
    </row>
    <row r="772" spans="1:17" x14ac:dyDescent="0.25">
      <c r="A772" s="12"/>
      <c r="B772" s="18"/>
      <c r="C772" s="12"/>
      <c r="D772" s="12"/>
      <c r="E772" s="8"/>
      <c r="F772" s="8"/>
      <c r="G772" s="8"/>
      <c r="H772" s="19"/>
      <c r="I772" s="12"/>
      <c r="J772" s="13"/>
      <c r="K772" s="13"/>
      <c r="L772" s="112"/>
      <c r="M772" s="13"/>
      <c r="N772" s="112"/>
      <c r="O772" s="112"/>
      <c r="P772" s="29"/>
      <c r="Q772" s="8"/>
    </row>
    <row r="773" spans="1:17" x14ac:dyDescent="0.25">
      <c r="A773" s="12"/>
      <c r="B773" s="18"/>
      <c r="C773" s="12"/>
      <c r="D773" s="12"/>
      <c r="E773" s="8"/>
      <c r="F773" s="8"/>
      <c r="G773" s="8"/>
      <c r="H773" s="19"/>
      <c r="I773" s="12"/>
      <c r="J773" s="13"/>
      <c r="K773" s="13"/>
      <c r="L773" s="112"/>
      <c r="M773" s="13"/>
      <c r="N773" s="112"/>
      <c r="O773" s="112"/>
      <c r="P773" s="29"/>
      <c r="Q773" s="8"/>
    </row>
    <row r="774" spans="1:17" x14ac:dyDescent="0.25">
      <c r="A774" s="12"/>
      <c r="B774" s="18"/>
      <c r="C774" s="12"/>
      <c r="D774" s="12"/>
      <c r="E774" s="8"/>
      <c r="F774" s="8"/>
      <c r="G774" s="8"/>
      <c r="H774" s="19"/>
      <c r="I774" s="12"/>
      <c r="J774" s="13"/>
      <c r="K774" s="13"/>
      <c r="L774" s="112"/>
      <c r="M774" s="13"/>
      <c r="N774" s="112"/>
      <c r="O774" s="112"/>
      <c r="P774" s="29"/>
      <c r="Q774" s="8"/>
    </row>
    <row r="775" spans="1:17" x14ac:dyDescent="0.25">
      <c r="A775" s="12"/>
      <c r="B775" s="18"/>
      <c r="C775" s="12"/>
      <c r="D775" s="12"/>
      <c r="E775" s="8"/>
      <c r="F775" s="8"/>
      <c r="G775" s="8"/>
      <c r="H775" s="19"/>
      <c r="I775" s="12"/>
      <c r="J775" s="13"/>
      <c r="K775" s="13"/>
      <c r="L775" s="112"/>
      <c r="M775" s="13"/>
      <c r="N775" s="112"/>
      <c r="O775" s="112"/>
      <c r="P775" s="29"/>
      <c r="Q775" s="8"/>
    </row>
    <row r="776" spans="1:17" x14ac:dyDescent="0.25">
      <c r="A776" s="12"/>
      <c r="B776" s="18"/>
      <c r="C776" s="12"/>
      <c r="D776" s="12"/>
      <c r="E776" s="8"/>
      <c r="F776" s="8"/>
      <c r="G776" s="8"/>
      <c r="H776" s="19"/>
      <c r="I776" s="12"/>
      <c r="J776" s="13"/>
      <c r="K776" s="13"/>
      <c r="L776" s="112"/>
      <c r="M776" s="13"/>
      <c r="N776" s="112"/>
      <c r="O776" s="112"/>
      <c r="P776" s="29"/>
      <c r="Q776" s="8"/>
    </row>
    <row r="777" spans="1:17" x14ac:dyDescent="0.25">
      <c r="A777" s="12"/>
      <c r="B777" s="18"/>
      <c r="C777" s="12"/>
      <c r="D777" s="12"/>
      <c r="E777" s="8"/>
      <c r="F777" s="8"/>
      <c r="G777" s="8"/>
      <c r="H777" s="19"/>
      <c r="I777" s="12"/>
      <c r="J777" s="13"/>
      <c r="K777" s="13"/>
      <c r="L777" s="112"/>
      <c r="M777" s="13"/>
      <c r="N777" s="112"/>
      <c r="O777" s="112"/>
      <c r="P777" s="29"/>
      <c r="Q777" s="8"/>
    </row>
    <row r="778" spans="1:17" x14ac:dyDescent="0.25">
      <c r="A778" s="12"/>
      <c r="B778" s="18"/>
      <c r="C778" s="12"/>
      <c r="D778" s="12"/>
      <c r="E778" s="8"/>
      <c r="F778" s="8"/>
      <c r="G778" s="8"/>
      <c r="H778" s="19"/>
      <c r="I778" s="12"/>
      <c r="J778" s="13"/>
      <c r="K778" s="13"/>
      <c r="L778" s="112"/>
      <c r="M778" s="13"/>
      <c r="N778" s="112"/>
      <c r="O778" s="112"/>
      <c r="P778" s="29"/>
      <c r="Q778" s="8"/>
    </row>
    <row r="779" spans="1:17" x14ac:dyDescent="0.25">
      <c r="A779" s="12"/>
      <c r="B779" s="18"/>
      <c r="C779" s="12"/>
      <c r="D779" s="12"/>
      <c r="E779" s="8"/>
      <c r="F779" s="8"/>
      <c r="G779" s="8"/>
      <c r="H779" s="19"/>
      <c r="I779" s="12"/>
      <c r="J779" s="13"/>
      <c r="K779" s="13"/>
      <c r="L779" s="112"/>
      <c r="M779" s="13"/>
      <c r="N779" s="112"/>
      <c r="O779" s="112"/>
      <c r="P779" s="29"/>
      <c r="Q779" s="8"/>
    </row>
    <row r="780" spans="1:17" x14ac:dyDescent="0.25">
      <c r="A780" s="12"/>
      <c r="B780" s="18"/>
      <c r="C780" s="12"/>
      <c r="D780" s="12"/>
      <c r="E780" s="8"/>
      <c r="F780" s="8"/>
      <c r="G780" s="8"/>
      <c r="H780" s="19"/>
      <c r="I780" s="12"/>
      <c r="J780" s="13"/>
      <c r="K780" s="13"/>
      <c r="L780" s="112"/>
      <c r="M780" s="13"/>
      <c r="N780" s="112"/>
      <c r="O780" s="112"/>
      <c r="P780" s="29"/>
      <c r="Q780" s="8"/>
    </row>
    <row r="781" spans="1:17" x14ac:dyDescent="0.25">
      <c r="A781" s="12"/>
      <c r="B781" s="18"/>
      <c r="C781" s="12"/>
      <c r="D781" s="12"/>
      <c r="E781" s="8"/>
      <c r="F781" s="8"/>
      <c r="G781" s="8"/>
      <c r="H781" s="19"/>
      <c r="I781" s="12"/>
      <c r="J781" s="13"/>
      <c r="K781" s="13"/>
      <c r="L781" s="112"/>
      <c r="M781" s="13"/>
      <c r="N781" s="112"/>
      <c r="O781" s="112"/>
      <c r="P781" s="29"/>
      <c r="Q781" s="8"/>
    </row>
    <row r="782" spans="1:17" x14ac:dyDescent="0.25">
      <c r="A782" s="12"/>
      <c r="B782" s="18"/>
      <c r="C782" s="12"/>
      <c r="D782" s="12"/>
      <c r="E782" s="8"/>
      <c r="F782" s="8"/>
      <c r="G782" s="8"/>
      <c r="H782" s="19"/>
      <c r="I782" s="12"/>
      <c r="J782" s="13"/>
      <c r="K782" s="13"/>
      <c r="L782" s="112"/>
      <c r="M782" s="13"/>
      <c r="N782" s="112"/>
      <c r="O782" s="112"/>
      <c r="P782" s="29"/>
      <c r="Q782" s="8"/>
    </row>
    <row r="783" spans="1:17" x14ac:dyDescent="0.25">
      <c r="A783" s="12"/>
      <c r="B783" s="18"/>
      <c r="C783" s="12"/>
      <c r="D783" s="12"/>
      <c r="E783" s="8"/>
      <c r="F783" s="8"/>
      <c r="G783" s="8"/>
      <c r="H783" s="19"/>
      <c r="I783" s="12"/>
      <c r="J783" s="13"/>
      <c r="K783" s="13"/>
      <c r="L783" s="112"/>
      <c r="M783" s="13"/>
      <c r="N783" s="112"/>
      <c r="O783" s="112"/>
      <c r="P783" s="29"/>
      <c r="Q783" s="8"/>
    </row>
    <row r="784" spans="1:17" x14ac:dyDescent="0.25">
      <c r="A784" s="12"/>
      <c r="B784" s="18"/>
      <c r="C784" s="12"/>
      <c r="D784" s="12"/>
      <c r="E784" s="8"/>
      <c r="F784" s="8"/>
      <c r="G784" s="8"/>
      <c r="H784" s="19"/>
      <c r="I784" s="12"/>
      <c r="J784" s="13"/>
      <c r="K784" s="13"/>
      <c r="L784" s="112"/>
      <c r="M784" s="13"/>
      <c r="N784" s="112"/>
      <c r="O784" s="112"/>
      <c r="P784" s="29"/>
      <c r="Q784" s="8"/>
    </row>
    <row r="785" spans="1:17" x14ac:dyDescent="0.25">
      <c r="A785" s="12"/>
      <c r="B785" s="18"/>
      <c r="C785" s="12"/>
      <c r="D785" s="12"/>
      <c r="E785" s="8"/>
      <c r="F785" s="8"/>
      <c r="G785" s="8"/>
      <c r="H785" s="19"/>
      <c r="I785" s="12"/>
      <c r="J785" s="13"/>
      <c r="K785" s="13"/>
      <c r="L785" s="112"/>
      <c r="M785" s="13"/>
      <c r="N785" s="112"/>
      <c r="O785" s="112"/>
      <c r="P785" s="29"/>
      <c r="Q785" s="8"/>
    </row>
    <row r="786" spans="1:17" x14ac:dyDescent="0.25">
      <c r="A786" s="12"/>
      <c r="B786" s="18"/>
      <c r="C786" s="12"/>
      <c r="D786" s="12"/>
      <c r="E786" s="8"/>
      <c r="F786" s="8"/>
      <c r="G786" s="8"/>
      <c r="H786" s="19"/>
      <c r="I786" s="12"/>
      <c r="J786" s="13"/>
      <c r="K786" s="13"/>
      <c r="L786" s="112"/>
      <c r="M786" s="13"/>
      <c r="N786" s="112"/>
      <c r="O786" s="112"/>
      <c r="P786" s="29"/>
      <c r="Q786" s="8"/>
    </row>
    <row r="787" spans="1:17" x14ac:dyDescent="0.25">
      <c r="A787" s="12"/>
      <c r="B787" s="18"/>
      <c r="C787" s="12"/>
      <c r="D787" s="12"/>
      <c r="E787" s="8"/>
      <c r="F787" s="8"/>
      <c r="G787" s="8"/>
      <c r="H787" s="19"/>
      <c r="I787" s="12"/>
      <c r="J787" s="13"/>
      <c r="K787" s="13"/>
      <c r="L787" s="112"/>
      <c r="M787" s="13"/>
      <c r="N787" s="112"/>
      <c r="O787" s="112"/>
      <c r="P787" s="29"/>
      <c r="Q787" s="8"/>
    </row>
    <row r="788" spans="1:17" x14ac:dyDescent="0.25">
      <c r="A788" s="12"/>
      <c r="B788" s="18"/>
      <c r="C788" s="12"/>
      <c r="D788" s="12"/>
      <c r="E788" s="8"/>
      <c r="F788" s="8"/>
      <c r="G788" s="8"/>
      <c r="H788" s="19"/>
      <c r="I788" s="12"/>
      <c r="J788" s="13"/>
      <c r="K788" s="13"/>
      <c r="L788" s="112"/>
      <c r="M788" s="13"/>
      <c r="N788" s="112"/>
      <c r="O788" s="112"/>
      <c r="P788" s="29"/>
      <c r="Q788" s="8"/>
    </row>
    <row r="789" spans="1:17" x14ac:dyDescent="0.25">
      <c r="A789" s="12"/>
      <c r="B789" s="18"/>
      <c r="C789" s="12"/>
      <c r="D789" s="12"/>
      <c r="E789" s="8"/>
      <c r="F789" s="8"/>
      <c r="G789" s="8"/>
      <c r="H789" s="19"/>
      <c r="I789" s="12"/>
      <c r="J789" s="13"/>
      <c r="K789" s="13"/>
      <c r="L789" s="112"/>
      <c r="M789" s="13"/>
      <c r="N789" s="112"/>
      <c r="O789" s="112"/>
      <c r="P789" s="29"/>
      <c r="Q789" s="8"/>
    </row>
    <row r="790" spans="1:17" x14ac:dyDescent="0.25">
      <c r="A790" s="12"/>
      <c r="B790" s="18"/>
      <c r="C790" s="12"/>
      <c r="D790" s="12"/>
      <c r="E790" s="8"/>
      <c r="F790" s="8"/>
      <c r="G790" s="8"/>
      <c r="H790" s="19"/>
      <c r="I790" s="12"/>
      <c r="J790" s="13"/>
      <c r="K790" s="13"/>
      <c r="L790" s="112"/>
      <c r="M790" s="13"/>
      <c r="N790" s="112"/>
      <c r="O790" s="112"/>
      <c r="P790" s="29"/>
      <c r="Q790" s="8"/>
    </row>
    <row r="791" spans="1:17" x14ac:dyDescent="0.25">
      <c r="C791" s="14"/>
      <c r="D791" s="14"/>
      <c r="E791" s="15"/>
      <c r="F791" s="15"/>
      <c r="G791" s="15"/>
      <c r="H791" s="16"/>
      <c r="I791" s="14"/>
      <c r="J791" s="17"/>
      <c r="K791" s="17"/>
      <c r="L791" s="113"/>
      <c r="M791" s="17"/>
      <c r="N791" s="113"/>
      <c r="O791" s="113"/>
      <c r="P791" s="30"/>
      <c r="Q791" s="15"/>
    </row>
  </sheetData>
  <autoFilter ref="A1:Q152">
    <filterColumn colId="0">
      <filters>
        <filter val="GATES"/>
      </filters>
    </filterColumn>
    <sortState ref="A8:Q151">
      <sortCondition ref="E1:E153"/>
    </sortState>
  </autoFilter>
  <sortState ref="A17:S313">
    <sortCondition ref="F103"/>
  </sortState>
  <dataConsolidate/>
  <customSheetViews>
    <customSheetView guid="{8DFF655C-62BA-4527-8B82-3263C3734441}" fitToPage="1" showAutoFilter="1" hiddenColumns="1">
      <pane xSplit="7" ySplit="8" topLeftCell="H9" activePane="bottomRight" state="frozen"/>
      <selection pane="bottomRight" activeCell="F3" sqref="F3"/>
      <colBreaks count="1" manualBreakCount="1">
        <brk id="18" max="1048575" man="1"/>
      </colBreaks>
      <pageMargins left="0" right="0" top="0" bottom="0" header="0.31496062992125984" footer="0.31496062992125984"/>
      <printOptions headings="1"/>
      <pageSetup paperSize="9" scale="30" fitToHeight="0" orientation="portrait" r:id="rId1"/>
      <autoFilter ref="A1:U220">
        <sortState ref="A27:U131">
          <sortCondition ref="K1:K228"/>
        </sortState>
      </autoFilter>
    </customSheetView>
    <customSheetView guid="{095A3D2E-B082-45FD-B82E-E63CCAF3ADFE}" fitToPage="1" filter="1" showAutoFilter="1" hiddenColumns="1">
      <pane ySplit="1" topLeftCell="A226" activePane="bottomLeft" state="frozen"/>
      <selection pane="bottomLeft" activeCell="F234" sqref="F234"/>
      <colBreaks count="1" manualBreakCount="1">
        <brk id="19" max="1048575" man="1"/>
      </colBreaks>
      <pageMargins left="0" right="0" top="0" bottom="0" header="0.31496062992125984" footer="0.31496062992125984"/>
      <printOptions headings="1"/>
      <pageSetup paperSize="9" scale="35" fitToHeight="0" orientation="portrait" r:id="rId2"/>
      <autoFilter ref="A1:V246">
        <filterColumn colId="0">
          <filters>
            <filter val="GATES"/>
          </filters>
        </filterColumn>
        <sortState ref="A5:V241">
          <sortCondition ref="F1:F246"/>
        </sortState>
      </autoFilter>
    </customSheetView>
    <customSheetView guid="{BCAC6F9D-A5D3-4BF4-A6B7-85B9B6C91B10}" showPageBreaks="1" fitToPage="1" filter="1" showAutoFilter="1" hiddenColumns="1">
      <pane ySplit="1" topLeftCell="A2" activePane="bottomLeft" state="frozen"/>
      <selection pane="bottomLeft" activeCell="L30" sqref="L30"/>
      <colBreaks count="1" manualBreakCount="1">
        <brk id="19" max="1048575" man="1"/>
      </colBreaks>
      <pageMargins left="0" right="0" top="0" bottom="0" header="0.31496062992125984" footer="0.31496062992125984"/>
      <printOptions headings="1"/>
      <pageSetup paperSize="9" scale="35" fitToHeight="0" orientation="portrait" r:id="rId3"/>
      <autoFilter ref="A1:V225">
        <filterColumn colId="0">
          <filters>
            <filter val="EATON"/>
          </filters>
        </filterColumn>
        <sortState ref="A8:V161">
          <sortCondition ref="F1:F224"/>
        </sortState>
      </autoFilter>
    </customSheetView>
  </customSheetViews>
  <conditionalFormatting sqref="I119:I152 I2:I117">
    <cfRule type="cellIs" dxfId="42" priority="46" operator="equal">
      <formula>0</formula>
    </cfRule>
  </conditionalFormatting>
  <conditionalFormatting sqref="G38:K39 A69:I69 K69 A38:E39 A14:I14 K14 G125:K126 A119:K124 A127:K146 K94:K106 A94:I106 A107:K117 A125:D126 A15:K20 A34:K37 K32:K33 A32:I33 A40:K68 A70:K93 A6:K13 A5:I5 K5 A30:K31 A2:K4 I147:I150 A151:K152 K21:K29 A21:I29">
    <cfRule type="timePeriod" dxfId="41" priority="41" timePeriod="nextWeek">
      <formula>AND(ROUNDDOWN(A2,0)-TODAY()&gt;(7-WEEKDAY(TODAY())),ROUNDDOWN(A2,0)-TODAY()&lt;(15-WEEKDAY(TODAY())))</formula>
    </cfRule>
    <cfRule type="timePeriod" dxfId="40" priority="42" timePeriod="yesterday">
      <formula>FLOOR(A2,1)=TODAY()-1</formula>
    </cfRule>
    <cfRule type="timePeriod" dxfId="39" priority="43" timePeriod="today">
      <formula>FLOOR(A2,1)=TODAY()</formula>
    </cfRule>
    <cfRule type="timePeriod" dxfId="38" priority="44" timePeriod="yesterday">
      <formula>FLOOR(A2,1)=TODAY()-1</formula>
    </cfRule>
    <cfRule type="timePeriod" dxfId="37" priority="45" timePeriod="today">
      <formula>FLOOR(A2,1)=TODAY()</formula>
    </cfRule>
  </conditionalFormatting>
  <conditionalFormatting sqref="F38:F39">
    <cfRule type="timePeriod" dxfId="36" priority="36" timePeriod="nextWeek">
      <formula>AND(ROUNDDOWN(F38,0)-TODAY()&gt;(7-WEEKDAY(TODAY())),ROUNDDOWN(F38,0)-TODAY()&lt;(15-WEEKDAY(TODAY())))</formula>
    </cfRule>
    <cfRule type="timePeriod" dxfId="35" priority="37" timePeriod="yesterday">
      <formula>FLOOR(F38,1)=TODAY()-1</formula>
    </cfRule>
    <cfRule type="timePeriod" dxfId="34" priority="38" timePeriod="today">
      <formula>FLOOR(F38,1)=TODAY()</formula>
    </cfRule>
    <cfRule type="timePeriod" dxfId="33" priority="39" timePeriod="yesterday">
      <formula>FLOOR(F38,1)=TODAY()-1</formula>
    </cfRule>
    <cfRule type="timePeriod" dxfId="32" priority="40" timePeriod="today">
      <formula>FLOOR(F38,1)=TODAY()</formula>
    </cfRule>
  </conditionalFormatting>
  <conditionalFormatting sqref="E125:F126">
    <cfRule type="timePeriod" dxfId="31" priority="16" timePeriod="nextWeek">
      <formula>AND(ROUNDDOWN(E125,0)-TODAY()&gt;(7-WEEKDAY(TODAY())),ROUNDDOWN(E125,0)-TODAY()&lt;(15-WEEKDAY(TODAY())))</formula>
    </cfRule>
    <cfRule type="timePeriod" dxfId="30" priority="17" timePeriod="yesterday">
      <formula>FLOOR(E125,1)=TODAY()-1</formula>
    </cfRule>
    <cfRule type="timePeriod" dxfId="29" priority="18" timePeriod="today">
      <formula>FLOOR(E125,1)=TODAY()</formula>
    </cfRule>
    <cfRule type="timePeriod" dxfId="28" priority="19" timePeriod="yesterday">
      <formula>FLOOR(E125,1)=TODAY()-1</formula>
    </cfRule>
    <cfRule type="timePeriod" dxfId="27" priority="20" timePeriod="today">
      <formula>FLOOR(E125,1)=TODAY()</formula>
    </cfRule>
  </conditionalFormatting>
  <conditionalFormatting sqref="A118">
    <cfRule type="timePeriod" dxfId="26" priority="6" timePeriod="nextWeek">
      <formula>AND(ROUNDDOWN(A118,0)-TODAY()&gt;(7-WEEKDAY(TODAY())),ROUNDDOWN(A118,0)-TODAY()&lt;(15-WEEKDAY(TODAY())))</formula>
    </cfRule>
    <cfRule type="timePeriod" dxfId="25" priority="7" timePeriod="yesterday">
      <formula>FLOOR(A118,1)=TODAY()-1</formula>
    </cfRule>
    <cfRule type="timePeriod" dxfId="24" priority="8" timePeriod="today">
      <formula>FLOOR(A118,1)=TODAY()</formula>
    </cfRule>
    <cfRule type="timePeriod" dxfId="23" priority="9" timePeriod="yesterday">
      <formula>FLOOR(A118,1)=TODAY()-1</formula>
    </cfRule>
    <cfRule type="timePeriod" dxfId="22" priority="10" timePeriod="today">
      <formula>FLOOR(A118,1)=TODAY()</formula>
    </cfRule>
  </conditionalFormatting>
  <conditionalFormatting sqref="C118:D118">
    <cfRule type="timePeriod" dxfId="21" priority="1" timePeriod="nextWeek">
      <formula>AND(ROUNDDOWN(C118,0)-TODAY()&gt;(7-WEEKDAY(TODAY())),ROUNDDOWN(C118,0)-TODAY()&lt;(15-WEEKDAY(TODAY())))</formula>
    </cfRule>
    <cfRule type="timePeriod" dxfId="20" priority="2" timePeriod="yesterday">
      <formula>FLOOR(C118,1)=TODAY()-1</formula>
    </cfRule>
    <cfRule type="timePeriod" dxfId="19" priority="3" timePeriod="today">
      <formula>FLOOR(C118,1)=TODAY()</formula>
    </cfRule>
    <cfRule type="timePeriod" dxfId="18" priority="4" timePeriod="yesterday">
      <formula>FLOOR(C118,1)=TODAY()-1</formula>
    </cfRule>
    <cfRule type="timePeriod" dxfId="17" priority="5" timePeriod="today">
      <formula>FLOOR(C118,1)=TODAY()</formula>
    </cfRule>
  </conditionalFormatting>
  <printOptions headings="1"/>
  <pageMargins left="0" right="0" top="0" bottom="0" header="0.31496062992125984" footer="0.31496062992125984"/>
  <pageSetup paperSize="9" scale="66" fitToHeight="0" orientation="portrait" r:id="rId4"/>
  <colBreaks count="1" manualBreakCount="1">
    <brk id="15" max="1048575" man="1"/>
  </colBreaks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6"/>
  <sheetViews>
    <sheetView topLeftCell="A26" workbookViewId="0">
      <selection activeCell="K1" sqref="A1:K46"/>
    </sheetView>
  </sheetViews>
  <sheetFormatPr defaultRowHeight="15" x14ac:dyDescent="0.25"/>
  <cols>
    <col min="1" max="1" width="13.140625" customWidth="1"/>
    <col min="2" max="2" width="9.28515625" bestFit="1" customWidth="1"/>
    <col min="3" max="3" width="11" bestFit="1" customWidth="1"/>
    <col min="4" max="4" width="9.28515625" bestFit="1" customWidth="1"/>
    <col min="5" max="5" width="16.7109375" bestFit="1" customWidth="1"/>
    <col min="6" max="6" width="16.28515625" customWidth="1"/>
    <col min="7" max="7" width="13.42578125" hidden="1" customWidth="1"/>
    <col min="8" max="8" width="12" hidden="1" customWidth="1"/>
    <col min="9" max="9" width="9.28515625" bestFit="1" customWidth="1"/>
    <col min="10" max="10" width="10.85546875" bestFit="1" customWidth="1"/>
    <col min="11" max="11" width="3.42578125" customWidth="1"/>
  </cols>
  <sheetData>
    <row r="1" spans="1:11" ht="68.25" x14ac:dyDescent="0.25">
      <c r="A1" s="75" t="s">
        <v>26</v>
      </c>
      <c r="B1" s="75" t="s">
        <v>10</v>
      </c>
      <c r="C1" s="75" t="s">
        <v>0</v>
      </c>
      <c r="D1" s="75" t="s">
        <v>1</v>
      </c>
      <c r="E1" s="75" t="s">
        <v>14</v>
      </c>
      <c r="F1" s="75" t="s">
        <v>2</v>
      </c>
      <c r="G1" s="105" t="s">
        <v>233</v>
      </c>
      <c r="H1" s="91" t="s">
        <v>3</v>
      </c>
      <c r="I1" s="75" t="s">
        <v>15</v>
      </c>
      <c r="J1" s="75" t="s">
        <v>4</v>
      </c>
      <c r="K1" s="76">
        <f ca="1">NOW()</f>
        <v>45460.660617824076</v>
      </c>
    </row>
    <row r="2" spans="1:11" x14ac:dyDescent="0.25">
      <c r="A2" s="20" t="s">
        <v>9</v>
      </c>
      <c r="B2" s="20">
        <v>3615</v>
      </c>
      <c r="C2" s="20">
        <v>5500015214</v>
      </c>
      <c r="D2" s="20" t="s">
        <v>6</v>
      </c>
      <c r="E2" s="21" t="s">
        <v>22</v>
      </c>
      <c r="F2" s="21" t="s">
        <v>193</v>
      </c>
      <c r="G2" s="185">
        <v>180</v>
      </c>
      <c r="H2" s="182">
        <v>180</v>
      </c>
      <c r="I2" s="131">
        <f>H2-L2-104</f>
        <v>76</v>
      </c>
      <c r="J2" s="22">
        <v>45267</v>
      </c>
      <c r="K2" s="35"/>
    </row>
    <row r="3" spans="1:11" x14ac:dyDescent="0.25">
      <c r="A3" s="20" t="s">
        <v>32</v>
      </c>
      <c r="B3" s="20">
        <v>3671</v>
      </c>
      <c r="C3" s="20">
        <v>275323</v>
      </c>
      <c r="D3" s="20">
        <v>2</v>
      </c>
      <c r="E3" s="21" t="s">
        <v>296</v>
      </c>
      <c r="F3" s="21" t="s">
        <v>8</v>
      </c>
      <c r="G3" s="232">
        <f>153+35</f>
        <v>188</v>
      </c>
      <c r="H3" s="233">
        <v>106</v>
      </c>
      <c r="I3" s="131">
        <f>H3-L3-66</f>
        <v>40</v>
      </c>
      <c r="J3" s="22">
        <v>45269</v>
      </c>
      <c r="K3" s="35"/>
    </row>
    <row r="4" spans="1:11" x14ac:dyDescent="0.25">
      <c r="A4" s="20" t="s">
        <v>16</v>
      </c>
      <c r="B4" s="20"/>
      <c r="C4" s="20">
        <v>37410</v>
      </c>
      <c r="D4" s="20">
        <v>1</v>
      </c>
      <c r="E4" s="21" t="s">
        <v>376</v>
      </c>
      <c r="F4" s="21" t="s">
        <v>377</v>
      </c>
      <c r="G4" s="279">
        <v>30</v>
      </c>
      <c r="H4" s="156">
        <v>30</v>
      </c>
      <c r="I4" s="131">
        <f>H4-L4</f>
        <v>30</v>
      </c>
      <c r="J4" s="22">
        <v>45275</v>
      </c>
      <c r="K4" s="4"/>
    </row>
    <row r="5" spans="1:11" x14ac:dyDescent="0.25">
      <c r="A5" s="20" t="s">
        <v>9</v>
      </c>
      <c r="B5" s="20">
        <v>3701</v>
      </c>
      <c r="C5" s="20">
        <v>4500078535</v>
      </c>
      <c r="D5" s="20">
        <v>10</v>
      </c>
      <c r="E5" s="21" t="s">
        <v>424</v>
      </c>
      <c r="F5" s="21" t="s">
        <v>425</v>
      </c>
      <c r="G5" s="279">
        <v>100</v>
      </c>
      <c r="H5" s="156">
        <v>100</v>
      </c>
      <c r="I5" s="131">
        <f>H5-L5-16</f>
        <v>84</v>
      </c>
      <c r="J5" s="22">
        <v>45280</v>
      </c>
      <c r="K5" s="35"/>
    </row>
    <row r="6" spans="1:11" x14ac:dyDescent="0.25">
      <c r="A6" s="20" t="s">
        <v>57</v>
      </c>
      <c r="B6" s="20">
        <v>3656</v>
      </c>
      <c r="C6" s="20">
        <v>185089</v>
      </c>
      <c r="D6" s="188">
        <v>1</v>
      </c>
      <c r="E6" s="170" t="s">
        <v>63</v>
      </c>
      <c r="F6" s="170" t="s">
        <v>64</v>
      </c>
      <c r="G6" s="172">
        <v>350</v>
      </c>
      <c r="H6" s="68">
        <v>183</v>
      </c>
      <c r="I6" s="288">
        <f>H6-L6</f>
        <v>183</v>
      </c>
      <c r="J6" s="195">
        <v>45287</v>
      </c>
      <c r="K6" s="127"/>
    </row>
    <row r="7" spans="1:11" x14ac:dyDescent="0.25">
      <c r="A7" s="20" t="s">
        <v>57</v>
      </c>
      <c r="B7" s="20">
        <v>3619</v>
      </c>
      <c r="C7" s="289">
        <v>184417</v>
      </c>
      <c r="D7" s="20">
        <v>20</v>
      </c>
      <c r="E7" s="21" t="s">
        <v>148</v>
      </c>
      <c r="F7" s="21" t="s">
        <v>149</v>
      </c>
      <c r="G7" s="183">
        <v>200</v>
      </c>
      <c r="H7" s="290">
        <v>200</v>
      </c>
      <c r="I7" s="131">
        <f>H7-L7-88</f>
        <v>112</v>
      </c>
      <c r="J7" s="22">
        <v>45287</v>
      </c>
      <c r="K7" s="35"/>
    </row>
    <row r="8" spans="1:11" x14ac:dyDescent="0.25">
      <c r="A8" s="5" t="s">
        <v>9</v>
      </c>
      <c r="B8" s="4">
        <v>3708</v>
      </c>
      <c r="C8" s="5">
        <v>5500007923</v>
      </c>
      <c r="D8" s="5" t="s">
        <v>6</v>
      </c>
      <c r="E8" s="78" t="s">
        <v>274</v>
      </c>
      <c r="F8" s="78" t="s">
        <v>435</v>
      </c>
      <c r="G8" s="251"/>
      <c r="H8" s="251"/>
      <c r="I8" s="119">
        <v>80</v>
      </c>
      <c r="J8" s="35">
        <v>45293</v>
      </c>
      <c r="K8" s="298"/>
    </row>
    <row r="9" spans="1:11" x14ac:dyDescent="0.25">
      <c r="A9" s="5" t="s">
        <v>9</v>
      </c>
      <c r="B9" s="4">
        <v>3708</v>
      </c>
      <c r="C9" s="5">
        <v>5500007886</v>
      </c>
      <c r="D9" s="5" t="s">
        <v>6</v>
      </c>
      <c r="E9" s="78" t="s">
        <v>33</v>
      </c>
      <c r="F9" s="78" t="s">
        <v>436</v>
      </c>
      <c r="G9" s="251"/>
      <c r="H9" s="251"/>
      <c r="I9" s="119">
        <v>61</v>
      </c>
      <c r="J9" s="35">
        <v>45293</v>
      </c>
      <c r="K9" s="251"/>
    </row>
    <row r="10" spans="1:11" x14ac:dyDescent="0.25">
      <c r="A10" s="5" t="s">
        <v>57</v>
      </c>
      <c r="B10" s="5">
        <v>3530</v>
      </c>
      <c r="C10" s="5">
        <v>184416</v>
      </c>
      <c r="D10" s="5">
        <v>1</v>
      </c>
      <c r="E10" s="31" t="s">
        <v>132</v>
      </c>
      <c r="F10" s="31" t="s">
        <v>133</v>
      </c>
      <c r="G10" s="31">
        <v>500</v>
      </c>
      <c r="H10" s="5">
        <v>500</v>
      </c>
      <c r="I10" s="119">
        <f>H10-L10-400</f>
        <v>100</v>
      </c>
      <c r="J10" s="35">
        <v>45294</v>
      </c>
      <c r="K10" s="35"/>
    </row>
    <row r="11" spans="1:11" x14ac:dyDescent="0.25">
      <c r="A11" s="5" t="s">
        <v>57</v>
      </c>
      <c r="B11" s="4">
        <v>3650</v>
      </c>
      <c r="C11" s="5">
        <v>184825</v>
      </c>
      <c r="D11" s="5">
        <v>1</v>
      </c>
      <c r="E11" s="31" t="s">
        <v>132</v>
      </c>
      <c r="F11" s="31" t="s">
        <v>133</v>
      </c>
      <c r="G11" s="31">
        <v>500</v>
      </c>
      <c r="H11" s="5">
        <v>500</v>
      </c>
      <c r="I11" s="119">
        <f>H11-L11</f>
        <v>500</v>
      </c>
      <c r="J11" s="35">
        <v>45294</v>
      </c>
      <c r="K11" s="35"/>
    </row>
    <row r="12" spans="1:11" x14ac:dyDescent="0.25">
      <c r="A12" s="5" t="s">
        <v>9</v>
      </c>
      <c r="B12" s="5"/>
      <c r="C12" s="5">
        <v>5500015214</v>
      </c>
      <c r="D12" s="5" t="s">
        <v>6</v>
      </c>
      <c r="E12" s="31" t="s">
        <v>22</v>
      </c>
      <c r="F12" s="31" t="s">
        <v>193</v>
      </c>
      <c r="G12" s="31">
        <v>280</v>
      </c>
      <c r="H12" s="5">
        <v>280</v>
      </c>
      <c r="I12" s="119">
        <f>H12-L12</f>
        <v>280</v>
      </c>
      <c r="J12" s="35">
        <v>45295</v>
      </c>
      <c r="K12" s="127"/>
    </row>
    <row r="13" spans="1:11" x14ac:dyDescent="0.25">
      <c r="A13" s="5" t="s">
        <v>9</v>
      </c>
      <c r="B13" s="5"/>
      <c r="C13" s="5">
        <v>5500015214</v>
      </c>
      <c r="D13" s="5" t="s">
        <v>6</v>
      </c>
      <c r="E13" s="31" t="s">
        <v>22</v>
      </c>
      <c r="F13" s="31" t="s">
        <v>193</v>
      </c>
      <c r="G13" s="251"/>
      <c r="H13" s="251"/>
      <c r="I13" s="119">
        <v>280</v>
      </c>
      <c r="J13" s="35">
        <v>45295</v>
      </c>
      <c r="K13" s="298"/>
    </row>
    <row r="14" spans="1:11" x14ac:dyDescent="0.25">
      <c r="A14" s="5" t="s">
        <v>32</v>
      </c>
      <c r="B14" s="5">
        <v>3699</v>
      </c>
      <c r="C14" s="5">
        <v>275526</v>
      </c>
      <c r="D14" s="5">
        <v>1</v>
      </c>
      <c r="E14" s="31" t="s">
        <v>238</v>
      </c>
      <c r="F14" s="31" t="s">
        <v>8</v>
      </c>
      <c r="G14" s="185">
        <v>160</v>
      </c>
      <c r="H14" s="182">
        <v>160</v>
      </c>
      <c r="I14" s="114">
        <f>H14-L14</f>
        <v>160</v>
      </c>
      <c r="J14" s="43">
        <v>45299</v>
      </c>
      <c r="K14" s="107"/>
    </row>
    <row r="15" spans="1:11" x14ac:dyDescent="0.25">
      <c r="A15" s="5" t="s">
        <v>57</v>
      </c>
      <c r="B15" s="5">
        <v>3616</v>
      </c>
      <c r="C15" s="5">
        <v>184416</v>
      </c>
      <c r="D15" s="5">
        <v>8</v>
      </c>
      <c r="E15" s="42">
        <v>725392447</v>
      </c>
      <c r="F15" s="42" t="s">
        <v>280</v>
      </c>
      <c r="G15" s="31">
        <v>2500</v>
      </c>
      <c r="H15" s="5">
        <v>1500</v>
      </c>
      <c r="I15" s="114">
        <f>H15-L15</f>
        <v>1500</v>
      </c>
      <c r="J15" s="43">
        <v>45299</v>
      </c>
      <c r="K15" s="107"/>
    </row>
    <row r="16" spans="1:11" x14ac:dyDescent="0.25">
      <c r="A16" s="5" t="s">
        <v>9</v>
      </c>
      <c r="B16" s="4">
        <v>3708</v>
      </c>
      <c r="C16" s="5">
        <v>5500007886</v>
      </c>
      <c r="D16" s="5" t="s">
        <v>6</v>
      </c>
      <c r="E16" s="31" t="s">
        <v>33</v>
      </c>
      <c r="F16" s="31" t="s">
        <v>436</v>
      </c>
      <c r="G16" s="251"/>
      <c r="H16" s="251"/>
      <c r="I16" s="114">
        <v>74</v>
      </c>
      <c r="J16" s="35">
        <v>45299</v>
      </c>
      <c r="K16" s="299"/>
    </row>
    <row r="17" spans="1:11" x14ac:dyDescent="0.25">
      <c r="A17" s="5" t="s">
        <v>34</v>
      </c>
      <c r="B17" s="5">
        <v>3685</v>
      </c>
      <c r="C17" s="5">
        <v>348410</v>
      </c>
      <c r="D17" s="5" t="s">
        <v>6</v>
      </c>
      <c r="E17" s="31" t="s">
        <v>373</v>
      </c>
      <c r="F17" s="31" t="s">
        <v>374</v>
      </c>
      <c r="G17" s="115">
        <v>3</v>
      </c>
      <c r="H17" s="70">
        <v>3</v>
      </c>
      <c r="I17" s="114">
        <f t="shared" ref="I17:I31" si="0">H17-L17</f>
        <v>3</v>
      </c>
      <c r="J17" s="35">
        <v>45302</v>
      </c>
      <c r="K17" s="107"/>
    </row>
    <row r="18" spans="1:11" x14ac:dyDescent="0.25">
      <c r="A18" s="5" t="s">
        <v>31</v>
      </c>
      <c r="B18" s="5">
        <v>3700</v>
      </c>
      <c r="C18" s="5">
        <v>100495</v>
      </c>
      <c r="D18" s="5">
        <v>3</v>
      </c>
      <c r="E18" s="31" t="s">
        <v>260</v>
      </c>
      <c r="F18" s="31" t="s">
        <v>24</v>
      </c>
      <c r="G18" s="115">
        <v>60</v>
      </c>
      <c r="H18" s="70">
        <v>60</v>
      </c>
      <c r="I18" s="114">
        <f t="shared" si="0"/>
        <v>60</v>
      </c>
      <c r="J18" s="35">
        <v>45302</v>
      </c>
      <c r="K18" s="107"/>
    </row>
    <row r="19" spans="1:11" x14ac:dyDescent="0.25">
      <c r="A19" s="5" t="s">
        <v>31</v>
      </c>
      <c r="B19" s="5">
        <v>3700</v>
      </c>
      <c r="C19" s="5">
        <v>100495</v>
      </c>
      <c r="D19" s="5">
        <v>2</v>
      </c>
      <c r="E19" s="31" t="s">
        <v>423</v>
      </c>
      <c r="F19" s="31" t="s">
        <v>164</v>
      </c>
      <c r="G19" s="115">
        <v>160</v>
      </c>
      <c r="H19" s="70">
        <v>160</v>
      </c>
      <c r="I19" s="114">
        <f t="shared" si="0"/>
        <v>160</v>
      </c>
      <c r="J19" s="35">
        <v>45302</v>
      </c>
      <c r="K19" s="107"/>
    </row>
    <row r="20" spans="1:11" x14ac:dyDescent="0.25">
      <c r="A20" s="5" t="s">
        <v>31</v>
      </c>
      <c r="B20" s="5">
        <v>3700</v>
      </c>
      <c r="C20" s="5">
        <v>100495</v>
      </c>
      <c r="D20" s="5">
        <v>1</v>
      </c>
      <c r="E20" s="31" t="s">
        <v>263</v>
      </c>
      <c r="F20" s="31" t="s">
        <v>164</v>
      </c>
      <c r="G20" s="115">
        <v>380</v>
      </c>
      <c r="H20" s="70">
        <v>380</v>
      </c>
      <c r="I20" s="114">
        <f t="shared" si="0"/>
        <v>380</v>
      </c>
      <c r="J20" s="35">
        <v>45302</v>
      </c>
      <c r="K20" s="107"/>
    </row>
    <row r="21" spans="1:11" x14ac:dyDescent="0.25">
      <c r="A21" s="5" t="s">
        <v>32</v>
      </c>
      <c r="B21" s="4">
        <v>3669</v>
      </c>
      <c r="C21" s="5">
        <v>51000589</v>
      </c>
      <c r="D21" s="5" t="s">
        <v>6</v>
      </c>
      <c r="E21" s="31" t="s">
        <v>344</v>
      </c>
      <c r="F21" s="31" t="s">
        <v>23</v>
      </c>
      <c r="G21" s="115">
        <v>200</v>
      </c>
      <c r="H21" s="70">
        <v>200</v>
      </c>
      <c r="I21" s="114">
        <f t="shared" si="0"/>
        <v>200</v>
      </c>
      <c r="J21" s="35">
        <v>45306</v>
      </c>
      <c r="K21" s="107"/>
    </row>
    <row r="22" spans="1:11" x14ac:dyDescent="0.25">
      <c r="A22" s="5" t="s">
        <v>32</v>
      </c>
      <c r="B22" s="5">
        <v>3644</v>
      </c>
      <c r="C22" s="5">
        <v>51000589</v>
      </c>
      <c r="D22" s="5" t="s">
        <v>6</v>
      </c>
      <c r="E22" s="31" t="s">
        <v>18</v>
      </c>
      <c r="F22" s="31" t="s">
        <v>24</v>
      </c>
      <c r="G22" s="115">
        <v>100</v>
      </c>
      <c r="H22" s="70">
        <v>100</v>
      </c>
      <c r="I22" s="114">
        <f t="shared" si="0"/>
        <v>100</v>
      </c>
      <c r="J22" s="35">
        <v>45306</v>
      </c>
      <c r="K22" s="107"/>
    </row>
    <row r="23" spans="1:11" x14ac:dyDescent="0.25">
      <c r="A23" s="5" t="s">
        <v>32</v>
      </c>
      <c r="B23" s="4">
        <v>3669</v>
      </c>
      <c r="C23" s="5">
        <v>51000589</v>
      </c>
      <c r="D23" s="5" t="s">
        <v>6</v>
      </c>
      <c r="E23" s="31" t="s">
        <v>37</v>
      </c>
      <c r="F23" s="31" t="s">
        <v>8</v>
      </c>
      <c r="G23" s="115">
        <v>100</v>
      </c>
      <c r="H23" s="70">
        <v>100</v>
      </c>
      <c r="I23" s="114">
        <f t="shared" si="0"/>
        <v>100</v>
      </c>
      <c r="J23" s="35">
        <v>45306</v>
      </c>
      <c r="K23" s="107"/>
    </row>
    <row r="24" spans="1:11" x14ac:dyDescent="0.25">
      <c r="A24" s="5" t="s">
        <v>32</v>
      </c>
      <c r="B24" s="5">
        <v>3669</v>
      </c>
      <c r="C24" s="5">
        <v>51000589</v>
      </c>
      <c r="D24" s="5" t="s">
        <v>6</v>
      </c>
      <c r="E24" s="31" t="s">
        <v>241</v>
      </c>
      <c r="F24" s="31" t="s">
        <v>8</v>
      </c>
      <c r="G24" s="115">
        <v>105</v>
      </c>
      <c r="H24" s="70">
        <v>105</v>
      </c>
      <c r="I24" s="114">
        <f t="shared" si="0"/>
        <v>105</v>
      </c>
      <c r="J24" s="35">
        <v>45306</v>
      </c>
      <c r="K24" s="107"/>
    </row>
    <row r="25" spans="1:11" x14ac:dyDescent="0.25">
      <c r="A25" s="5" t="s">
        <v>32</v>
      </c>
      <c r="B25" s="5">
        <v>3669</v>
      </c>
      <c r="C25" s="5">
        <v>51000589</v>
      </c>
      <c r="D25" s="5" t="s">
        <v>6</v>
      </c>
      <c r="E25" s="31" t="s">
        <v>242</v>
      </c>
      <c r="F25" s="31" t="s">
        <v>8</v>
      </c>
      <c r="G25" s="115">
        <v>105</v>
      </c>
      <c r="H25" s="70">
        <v>105</v>
      </c>
      <c r="I25" s="114">
        <f t="shared" si="0"/>
        <v>105</v>
      </c>
      <c r="J25" s="35">
        <v>45306</v>
      </c>
      <c r="K25" s="107"/>
    </row>
    <row r="26" spans="1:11" x14ac:dyDescent="0.25">
      <c r="A26" s="5" t="s">
        <v>32</v>
      </c>
      <c r="B26" s="5">
        <v>3644</v>
      </c>
      <c r="C26" s="5">
        <v>51000589</v>
      </c>
      <c r="D26" s="5" t="s">
        <v>6</v>
      </c>
      <c r="E26" s="31" t="s">
        <v>269</v>
      </c>
      <c r="F26" s="31" t="s">
        <v>8</v>
      </c>
      <c r="G26" s="115">
        <v>100</v>
      </c>
      <c r="H26" s="70">
        <v>100</v>
      </c>
      <c r="I26" s="119">
        <f t="shared" si="0"/>
        <v>100</v>
      </c>
      <c r="J26" s="35">
        <v>45306</v>
      </c>
      <c r="K26" s="35"/>
    </row>
    <row r="27" spans="1:11" x14ac:dyDescent="0.25">
      <c r="A27" s="5" t="s">
        <v>32</v>
      </c>
      <c r="B27" s="5">
        <v>3674</v>
      </c>
      <c r="C27" s="5">
        <v>51000589</v>
      </c>
      <c r="D27" s="5" t="s">
        <v>6</v>
      </c>
      <c r="E27" s="31" t="s">
        <v>350</v>
      </c>
      <c r="F27" s="31" t="s">
        <v>354</v>
      </c>
      <c r="G27" s="31">
        <v>100</v>
      </c>
      <c r="H27" s="5">
        <v>100</v>
      </c>
      <c r="I27" s="119">
        <f t="shared" si="0"/>
        <v>100</v>
      </c>
      <c r="J27" s="35">
        <v>45306</v>
      </c>
      <c r="K27" s="107"/>
    </row>
    <row r="28" spans="1:11" x14ac:dyDescent="0.25">
      <c r="A28" s="5" t="s">
        <v>32</v>
      </c>
      <c r="B28" s="5">
        <v>3677</v>
      </c>
      <c r="C28" s="5">
        <v>51000589</v>
      </c>
      <c r="D28" s="5" t="s">
        <v>6</v>
      </c>
      <c r="E28" s="31" t="s">
        <v>351</v>
      </c>
      <c r="F28" s="31" t="s">
        <v>356</v>
      </c>
      <c r="G28" s="115">
        <v>100</v>
      </c>
      <c r="H28" s="70">
        <v>100</v>
      </c>
      <c r="I28" s="114">
        <f t="shared" si="0"/>
        <v>100</v>
      </c>
      <c r="J28" s="35">
        <v>45306</v>
      </c>
      <c r="K28" s="35"/>
    </row>
    <row r="29" spans="1:11" x14ac:dyDescent="0.25">
      <c r="A29" s="5" t="s">
        <v>32</v>
      </c>
      <c r="B29" s="5">
        <v>3677</v>
      </c>
      <c r="C29" s="5">
        <v>51000589</v>
      </c>
      <c r="D29" s="5" t="s">
        <v>6</v>
      </c>
      <c r="E29" s="31" t="s">
        <v>244</v>
      </c>
      <c r="F29" s="42" t="s">
        <v>356</v>
      </c>
      <c r="G29" s="115">
        <v>100</v>
      </c>
      <c r="H29" s="70">
        <v>100</v>
      </c>
      <c r="I29" s="114">
        <f t="shared" si="0"/>
        <v>100</v>
      </c>
      <c r="J29" s="35">
        <v>45306</v>
      </c>
      <c r="K29" s="35"/>
    </row>
    <row r="30" spans="1:11" x14ac:dyDescent="0.25">
      <c r="A30" s="5" t="s">
        <v>32</v>
      </c>
      <c r="B30" s="5">
        <v>3674</v>
      </c>
      <c r="C30" s="5">
        <v>51000589</v>
      </c>
      <c r="D30" s="5" t="s">
        <v>6</v>
      </c>
      <c r="E30" s="31" t="s">
        <v>353</v>
      </c>
      <c r="F30" s="31" t="s">
        <v>8</v>
      </c>
      <c r="G30" s="31">
        <v>100</v>
      </c>
      <c r="H30" s="5">
        <v>100</v>
      </c>
      <c r="I30" s="119">
        <f t="shared" si="0"/>
        <v>100</v>
      </c>
      <c r="J30" s="35">
        <v>45306</v>
      </c>
      <c r="K30" s="35"/>
    </row>
    <row r="31" spans="1:11" x14ac:dyDescent="0.25">
      <c r="A31" s="5" t="s">
        <v>32</v>
      </c>
      <c r="B31" s="5">
        <v>3674</v>
      </c>
      <c r="C31" s="5">
        <v>51000589</v>
      </c>
      <c r="D31" s="5" t="s">
        <v>6</v>
      </c>
      <c r="E31" s="31" t="s">
        <v>20</v>
      </c>
      <c r="F31" s="31" t="s">
        <v>355</v>
      </c>
      <c r="G31" s="31">
        <v>392</v>
      </c>
      <c r="H31" s="5">
        <v>392</v>
      </c>
      <c r="I31" s="119">
        <f t="shared" si="0"/>
        <v>392</v>
      </c>
      <c r="J31" s="35">
        <v>45306</v>
      </c>
      <c r="K31" s="35"/>
    </row>
    <row r="32" spans="1:11" x14ac:dyDescent="0.25">
      <c r="A32" s="5" t="s">
        <v>9</v>
      </c>
      <c r="B32" s="4">
        <v>3708</v>
      </c>
      <c r="C32" s="5">
        <v>5500007923</v>
      </c>
      <c r="D32" s="5" t="s">
        <v>6</v>
      </c>
      <c r="E32" s="31" t="s">
        <v>274</v>
      </c>
      <c r="F32" s="31" t="s">
        <v>435</v>
      </c>
      <c r="G32" s="251"/>
      <c r="H32" s="251"/>
      <c r="I32" s="119">
        <v>160</v>
      </c>
      <c r="J32" s="35">
        <v>45306</v>
      </c>
      <c r="K32" s="251"/>
    </row>
    <row r="33" spans="1:11" x14ac:dyDescent="0.25">
      <c r="A33" s="5" t="s">
        <v>9</v>
      </c>
      <c r="B33" s="4">
        <v>3708</v>
      </c>
      <c r="C33" s="5">
        <v>5500012550</v>
      </c>
      <c r="D33" s="5" t="s">
        <v>6</v>
      </c>
      <c r="E33" s="31" t="s">
        <v>36</v>
      </c>
      <c r="F33" s="31" t="s">
        <v>438</v>
      </c>
      <c r="G33" s="251"/>
      <c r="H33" s="251"/>
      <c r="I33" s="119">
        <v>50</v>
      </c>
      <c r="J33" s="35">
        <v>45306</v>
      </c>
      <c r="K33" s="251"/>
    </row>
    <row r="34" spans="1:11" x14ac:dyDescent="0.25">
      <c r="A34" s="5" t="s">
        <v>9</v>
      </c>
      <c r="B34" s="4">
        <v>3708</v>
      </c>
      <c r="C34" s="5">
        <v>5500007886</v>
      </c>
      <c r="D34" s="5" t="s">
        <v>6</v>
      </c>
      <c r="E34" s="31" t="s">
        <v>33</v>
      </c>
      <c r="F34" s="31" t="s">
        <v>436</v>
      </c>
      <c r="G34" s="251"/>
      <c r="H34" s="251"/>
      <c r="I34" s="119">
        <v>52</v>
      </c>
      <c r="J34" s="35">
        <v>45307</v>
      </c>
      <c r="K34" s="251"/>
    </row>
    <row r="35" spans="1:11" x14ac:dyDescent="0.25">
      <c r="A35" s="5" t="s">
        <v>9</v>
      </c>
      <c r="B35" s="4">
        <v>3708</v>
      </c>
      <c r="C35" s="5">
        <v>5500007886</v>
      </c>
      <c r="D35" s="5" t="s">
        <v>6</v>
      </c>
      <c r="E35" s="31" t="s">
        <v>33</v>
      </c>
      <c r="F35" s="31" t="s">
        <v>436</v>
      </c>
      <c r="G35" s="251"/>
      <c r="H35" s="251"/>
      <c r="I35" s="119">
        <v>54</v>
      </c>
      <c r="J35" s="35">
        <v>45313</v>
      </c>
      <c r="K35" s="251"/>
    </row>
    <row r="36" spans="1:11" x14ac:dyDescent="0.25">
      <c r="A36" s="5" t="s">
        <v>57</v>
      </c>
      <c r="B36" s="5">
        <v>3619</v>
      </c>
      <c r="C36" s="5">
        <v>184417</v>
      </c>
      <c r="D36" s="5">
        <v>18</v>
      </c>
      <c r="E36" s="31" t="s">
        <v>75</v>
      </c>
      <c r="F36" s="31" t="s">
        <v>76</v>
      </c>
      <c r="G36" s="31">
        <v>150</v>
      </c>
      <c r="H36" s="5">
        <v>150</v>
      </c>
      <c r="I36" s="119">
        <f>H36-L36</f>
        <v>150</v>
      </c>
      <c r="J36" s="35">
        <v>45316</v>
      </c>
      <c r="K36" s="35"/>
    </row>
    <row r="37" spans="1:11" x14ac:dyDescent="0.25">
      <c r="A37" s="5" t="s">
        <v>57</v>
      </c>
      <c r="B37" s="5">
        <v>3518</v>
      </c>
      <c r="C37" s="5">
        <v>183092</v>
      </c>
      <c r="D37" s="5">
        <v>11</v>
      </c>
      <c r="E37" s="31" t="s">
        <v>79</v>
      </c>
      <c r="F37" s="31" t="s">
        <v>80</v>
      </c>
      <c r="G37" s="31">
        <v>100</v>
      </c>
      <c r="H37" s="5">
        <v>100</v>
      </c>
      <c r="I37" s="119">
        <f>H37-L37</f>
        <v>100</v>
      </c>
      <c r="J37" s="35">
        <v>45316</v>
      </c>
      <c r="K37" s="35"/>
    </row>
    <row r="38" spans="1:11" x14ac:dyDescent="0.25">
      <c r="A38" s="5" t="s">
        <v>57</v>
      </c>
      <c r="B38" s="5">
        <v>3619</v>
      </c>
      <c r="C38" s="5">
        <v>184417</v>
      </c>
      <c r="D38" s="5">
        <v>24</v>
      </c>
      <c r="E38" s="31" t="s">
        <v>88</v>
      </c>
      <c r="F38" s="31" t="s">
        <v>89</v>
      </c>
      <c r="G38" s="31">
        <v>500</v>
      </c>
      <c r="H38" s="5">
        <v>500</v>
      </c>
      <c r="I38" s="119">
        <f>H38-L38</f>
        <v>500</v>
      </c>
      <c r="J38" s="35">
        <v>45316</v>
      </c>
      <c r="K38" s="35"/>
    </row>
    <row r="39" spans="1:11" x14ac:dyDescent="0.25">
      <c r="A39" s="5" t="s">
        <v>57</v>
      </c>
      <c r="B39" s="5">
        <v>3619</v>
      </c>
      <c r="C39" s="5">
        <v>184417</v>
      </c>
      <c r="D39" s="5">
        <v>28</v>
      </c>
      <c r="E39" s="31" t="s">
        <v>112</v>
      </c>
      <c r="F39" s="31" t="s">
        <v>113</v>
      </c>
      <c r="G39" s="185">
        <v>300</v>
      </c>
      <c r="H39" s="182">
        <v>196</v>
      </c>
      <c r="I39" s="119">
        <f>H39-L39</f>
        <v>196</v>
      </c>
      <c r="J39" s="35">
        <v>45316</v>
      </c>
      <c r="K39" s="35"/>
    </row>
    <row r="40" spans="1:11" x14ac:dyDescent="0.25">
      <c r="A40" s="5" t="s">
        <v>57</v>
      </c>
      <c r="B40" s="5">
        <v>3619</v>
      </c>
      <c r="C40" s="5">
        <v>184417</v>
      </c>
      <c r="D40" s="5">
        <v>8</v>
      </c>
      <c r="E40" s="31" t="s">
        <v>59</v>
      </c>
      <c r="F40" s="31" t="s">
        <v>60</v>
      </c>
      <c r="G40" s="31">
        <v>1000</v>
      </c>
      <c r="H40" s="5">
        <v>1000</v>
      </c>
      <c r="I40" s="119">
        <f>H40-L40</f>
        <v>1000</v>
      </c>
      <c r="J40" s="35">
        <v>45320</v>
      </c>
      <c r="K40" s="35"/>
    </row>
    <row r="41" spans="1:11" x14ac:dyDescent="0.25">
      <c r="A41" s="5" t="s">
        <v>9</v>
      </c>
      <c r="B41" s="4">
        <v>3708</v>
      </c>
      <c r="C41" s="5">
        <v>5500007886</v>
      </c>
      <c r="D41" s="5" t="s">
        <v>6</v>
      </c>
      <c r="E41" s="31" t="s">
        <v>33</v>
      </c>
      <c r="F41" s="31" t="s">
        <v>436</v>
      </c>
      <c r="G41" s="251"/>
      <c r="H41" s="251"/>
      <c r="I41" s="119">
        <v>79</v>
      </c>
      <c r="J41" s="35">
        <v>45320</v>
      </c>
      <c r="K41" s="251"/>
    </row>
    <row r="42" spans="1:11" x14ac:dyDescent="0.25">
      <c r="A42" s="5" t="s">
        <v>9</v>
      </c>
      <c r="B42" s="4">
        <v>3708</v>
      </c>
      <c r="C42" s="5">
        <v>5500007921</v>
      </c>
      <c r="D42" s="5" t="s">
        <v>6</v>
      </c>
      <c r="E42" s="31" t="s">
        <v>30</v>
      </c>
      <c r="F42" s="31" t="s">
        <v>437</v>
      </c>
      <c r="G42" s="251"/>
      <c r="H42" s="251"/>
      <c r="I42" s="119">
        <v>50</v>
      </c>
      <c r="J42" s="35">
        <v>45320</v>
      </c>
      <c r="K42" s="251"/>
    </row>
    <row r="43" spans="1:11" x14ac:dyDescent="0.25">
      <c r="A43" s="5" t="s">
        <v>9</v>
      </c>
      <c r="B43" s="5"/>
      <c r="C43" s="5">
        <v>5500015214</v>
      </c>
      <c r="D43" s="5" t="s">
        <v>6</v>
      </c>
      <c r="E43" s="31" t="s">
        <v>22</v>
      </c>
      <c r="F43" s="31" t="s">
        <v>193</v>
      </c>
      <c r="G43" s="251"/>
      <c r="H43" s="251"/>
      <c r="I43" s="119">
        <v>160</v>
      </c>
      <c r="J43" s="35">
        <v>45320</v>
      </c>
      <c r="K43" s="251"/>
    </row>
    <row r="44" spans="1:11" x14ac:dyDescent="0.25">
      <c r="A44" s="5" t="s">
        <v>57</v>
      </c>
      <c r="B44" s="5">
        <v>3678</v>
      </c>
      <c r="C44" s="5">
        <v>185328</v>
      </c>
      <c r="D44" s="5">
        <v>3</v>
      </c>
      <c r="E44" s="31" t="s">
        <v>71</v>
      </c>
      <c r="F44" s="31" t="s">
        <v>72</v>
      </c>
      <c r="G44" s="31">
        <v>240</v>
      </c>
      <c r="H44" s="5">
        <v>240</v>
      </c>
      <c r="I44" s="119">
        <f>H44-L44</f>
        <v>240</v>
      </c>
      <c r="J44" s="35">
        <v>45321</v>
      </c>
      <c r="K44" s="35"/>
    </row>
    <row r="45" spans="1:11" x14ac:dyDescent="0.25">
      <c r="A45" s="5" t="s">
        <v>57</v>
      </c>
      <c r="B45" s="5">
        <v>3664</v>
      </c>
      <c r="C45" s="5">
        <v>184857</v>
      </c>
      <c r="D45" s="5">
        <v>2</v>
      </c>
      <c r="E45" s="31" t="s">
        <v>71</v>
      </c>
      <c r="F45" s="31" t="s">
        <v>72</v>
      </c>
      <c r="G45" s="31">
        <v>100</v>
      </c>
      <c r="H45" s="5">
        <v>100</v>
      </c>
      <c r="I45" s="119">
        <f>H45-L45</f>
        <v>100</v>
      </c>
      <c r="J45" s="35">
        <v>45322</v>
      </c>
      <c r="K45" s="35"/>
    </row>
    <row r="46" spans="1:11" x14ac:dyDescent="0.25">
      <c r="A46" s="5" t="s">
        <v>57</v>
      </c>
      <c r="B46" s="5">
        <v>3662</v>
      </c>
      <c r="C46" s="5">
        <v>184857</v>
      </c>
      <c r="D46" s="5">
        <v>6</v>
      </c>
      <c r="E46" s="31" t="s">
        <v>116</v>
      </c>
      <c r="F46" s="31" t="s">
        <v>304</v>
      </c>
      <c r="G46" s="31">
        <v>500</v>
      </c>
      <c r="H46" s="5">
        <v>500</v>
      </c>
      <c r="I46" s="119">
        <f>H46-L46</f>
        <v>500</v>
      </c>
      <c r="J46" s="35">
        <v>45322</v>
      </c>
      <c r="K46" s="35"/>
    </row>
  </sheetData>
  <autoFilter ref="A1:K1">
    <sortState ref="A2:K46">
      <sortCondition ref="J1"/>
    </sortState>
  </autoFilter>
  <conditionalFormatting sqref="K9 A9:I9 A2:K8 A10:K35">
    <cfRule type="timePeriod" dxfId="16" priority="12" timePeriod="nextWeek">
      <formula>AND(ROUNDDOWN(A2,0)-TODAY()&gt;(7-WEEKDAY(TODAY())),ROUNDDOWN(A2,0)-TODAY()&lt;(15-WEEKDAY(TODAY())))</formula>
    </cfRule>
    <cfRule type="timePeriod" dxfId="15" priority="13" timePeriod="yesterday">
      <formula>FLOOR(A2,1)=TODAY()-1</formula>
    </cfRule>
    <cfRule type="timePeriod" dxfId="14" priority="14" timePeriod="today">
      <formula>FLOOR(A2,1)=TODAY()</formula>
    </cfRule>
    <cfRule type="timePeriod" dxfId="13" priority="15" timePeriod="yesterday">
      <formula>FLOOR(A2,1)=TODAY()-1</formula>
    </cfRule>
    <cfRule type="timePeriod" dxfId="12" priority="16" timePeriod="today">
      <formula>FLOOR(A2,1)=TODAY()</formula>
    </cfRule>
  </conditionalFormatting>
  <conditionalFormatting sqref="I2:I35">
    <cfRule type="cellIs" dxfId="11" priority="17" operator="equal">
      <formula>0</formula>
    </cfRule>
  </conditionalFormatting>
  <conditionalFormatting sqref="I36:I46">
    <cfRule type="cellIs" dxfId="10" priority="1" operator="equal">
      <formula>0</formula>
    </cfRule>
  </conditionalFormatting>
  <conditionalFormatting sqref="I45:J46 I36:I44 A36:F46">
    <cfRule type="timePeriod" dxfId="9" priority="2" timePeriod="nextWeek">
      <formula>AND(ROUNDDOWN(A36,0)-TODAY()&gt;(7-WEEKDAY(TODAY())),ROUNDDOWN(A36,0)-TODAY()&lt;(15-WEEKDAY(TODAY())))</formula>
    </cfRule>
    <cfRule type="timePeriod" dxfId="8" priority="3" timePeriod="yesterday">
      <formula>FLOOR(A36,1)=TODAY()-1</formula>
    </cfRule>
    <cfRule type="timePeriod" dxfId="7" priority="4" timePeriod="today">
      <formula>FLOOR(A36,1)=TODAY()</formula>
    </cfRule>
    <cfRule type="timePeriod" dxfId="6" priority="5" timePeriod="yesterday">
      <formula>FLOOR(A36,1)=TODAY()-1</formula>
    </cfRule>
    <cfRule type="timePeriod" dxfId="5" priority="6" timePeriod="today">
      <formula>FLOOR(A36,1)=TODAY()</formula>
    </cfRule>
  </conditionalFormatting>
  <pageMargins left="0" right="0" top="0" bottom="0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67"/>
  <sheetViews>
    <sheetView topLeftCell="A13" zoomScale="106" zoomScaleNormal="106" workbookViewId="0">
      <selection activeCell="F31" sqref="F31:G31"/>
    </sheetView>
  </sheetViews>
  <sheetFormatPr defaultRowHeight="15" x14ac:dyDescent="0.25"/>
  <cols>
    <col min="1" max="1" width="18" style="73" bestFit="1" customWidth="1"/>
    <col min="2" max="2" width="9.28515625" style="73" customWidth="1"/>
    <col min="3" max="3" width="15" style="73" bestFit="1" customWidth="1"/>
    <col min="4" max="4" width="9.140625" style="73"/>
    <col min="5" max="5" width="15.28515625" style="73" customWidth="1"/>
    <col min="6" max="6" width="9.140625" style="73"/>
    <col min="7" max="7" width="15" style="73" bestFit="1" customWidth="1"/>
    <col min="8" max="8" width="9.140625" style="73"/>
    <col min="9" max="9" width="15" style="73" bestFit="1" customWidth="1"/>
    <col min="10" max="10" width="9.140625" style="73"/>
    <col min="11" max="11" width="16.5703125" style="73" bestFit="1" customWidth="1"/>
    <col min="12" max="12" width="9.140625" style="73"/>
    <col min="13" max="13" width="14.28515625" style="73" bestFit="1" customWidth="1"/>
    <col min="14" max="16" width="9.140625" style="73"/>
    <col min="17" max="17" width="18.28515625" style="73" bestFit="1" customWidth="1"/>
    <col min="18" max="18" width="16.85546875" style="73" bestFit="1" customWidth="1"/>
    <col min="19" max="19" width="16.28515625" style="73" bestFit="1" customWidth="1"/>
    <col min="20" max="21" width="15.7109375" style="73" bestFit="1" customWidth="1"/>
    <col min="22" max="16384" width="9.140625" style="73"/>
  </cols>
  <sheetData>
    <row r="1" spans="1:11" ht="26.25" x14ac:dyDescent="0.25">
      <c r="A1" s="249"/>
      <c r="B1" s="320" t="s">
        <v>434</v>
      </c>
      <c r="C1" s="320"/>
      <c r="D1" s="320"/>
      <c r="E1" s="320"/>
      <c r="F1" s="320"/>
      <c r="G1" s="320"/>
      <c r="H1" s="320"/>
      <c r="I1" s="320"/>
      <c r="J1" s="297"/>
      <c r="K1" s="297"/>
    </row>
    <row r="2" spans="1:11" ht="18.75" x14ac:dyDescent="0.25">
      <c r="A2" s="182"/>
      <c r="B2" s="315" t="s">
        <v>199</v>
      </c>
      <c r="C2" s="316"/>
      <c r="D2" s="315" t="s">
        <v>340</v>
      </c>
      <c r="E2" s="316"/>
      <c r="F2" s="315" t="s">
        <v>341</v>
      </c>
      <c r="G2" s="316"/>
      <c r="H2" s="317" t="s">
        <v>348</v>
      </c>
      <c r="I2" s="317"/>
      <c r="J2" s="318"/>
      <c r="K2" s="319"/>
    </row>
    <row r="3" spans="1:11" x14ac:dyDescent="0.25">
      <c r="A3" s="250" t="s">
        <v>7</v>
      </c>
      <c r="B3" s="250" t="s">
        <v>178</v>
      </c>
      <c r="C3" s="250" t="s">
        <v>173</v>
      </c>
      <c r="D3" s="250" t="s">
        <v>178</v>
      </c>
      <c r="E3" s="250" t="s">
        <v>173</v>
      </c>
      <c r="F3" s="250" t="s">
        <v>178</v>
      </c>
      <c r="G3" s="250" t="s">
        <v>173</v>
      </c>
      <c r="H3" s="250" t="s">
        <v>178</v>
      </c>
      <c r="I3" s="250" t="s">
        <v>173</v>
      </c>
      <c r="J3" s="296"/>
      <c r="K3" s="295"/>
    </row>
    <row r="4" spans="1:11" x14ac:dyDescent="0.25">
      <c r="A4" s="84" t="s">
        <v>57</v>
      </c>
      <c r="B4" s="81">
        <v>1893</v>
      </c>
      <c r="C4" s="82">
        <v>80910.8</v>
      </c>
      <c r="D4" s="81">
        <v>6287</v>
      </c>
      <c r="E4" s="83">
        <v>196109.89</v>
      </c>
      <c r="F4" s="81">
        <v>20160</v>
      </c>
      <c r="G4" s="83">
        <v>551398.41</v>
      </c>
      <c r="H4" s="81">
        <v>2000</v>
      </c>
      <c r="I4" s="83">
        <v>90895</v>
      </c>
      <c r="J4" s="296"/>
      <c r="K4" s="101"/>
    </row>
    <row r="5" spans="1:11" x14ac:dyDescent="0.25">
      <c r="A5" s="84" t="s">
        <v>32</v>
      </c>
      <c r="B5" s="81">
        <v>226</v>
      </c>
      <c r="C5" s="82">
        <v>17186.25</v>
      </c>
      <c r="D5" s="81">
        <v>2037</v>
      </c>
      <c r="E5" s="83">
        <v>153319.82</v>
      </c>
      <c r="F5" s="81">
        <v>540</v>
      </c>
      <c r="G5" s="83">
        <v>24979.58</v>
      </c>
      <c r="H5" s="81"/>
      <c r="I5" s="83"/>
      <c r="J5" s="296"/>
      <c r="K5" s="101"/>
    </row>
    <row r="6" spans="1:11" x14ac:dyDescent="0.25">
      <c r="A6" s="1" t="s">
        <v>34</v>
      </c>
      <c r="B6" s="81"/>
      <c r="C6" s="82"/>
      <c r="D6" s="81">
        <v>6</v>
      </c>
      <c r="E6" s="83">
        <v>11636.34</v>
      </c>
      <c r="F6" s="81">
        <v>3</v>
      </c>
      <c r="G6" s="83">
        <v>10175.34</v>
      </c>
      <c r="H6" s="81"/>
      <c r="I6" s="83"/>
      <c r="J6" s="296"/>
      <c r="K6" s="101"/>
    </row>
    <row r="7" spans="1:11" x14ac:dyDescent="0.25">
      <c r="A7" s="84" t="s">
        <v>9</v>
      </c>
      <c r="B7" s="81">
        <v>160</v>
      </c>
      <c r="C7" s="82">
        <v>14971.32</v>
      </c>
      <c r="D7" s="81">
        <v>280</v>
      </c>
      <c r="E7" s="83">
        <v>17032.400000000001</v>
      </c>
      <c r="F7" s="81"/>
      <c r="G7" s="83"/>
      <c r="H7" s="81"/>
      <c r="I7" s="83"/>
      <c r="J7" s="296"/>
      <c r="K7" s="101"/>
    </row>
    <row r="8" spans="1:11" x14ac:dyDescent="0.25">
      <c r="A8" s="84" t="s">
        <v>16</v>
      </c>
      <c r="B8" s="81">
        <v>30</v>
      </c>
      <c r="C8" s="82">
        <v>2052</v>
      </c>
      <c r="D8" s="81"/>
      <c r="E8" s="83"/>
      <c r="F8" s="81"/>
      <c r="G8" s="83"/>
      <c r="H8" s="81"/>
      <c r="I8" s="83"/>
      <c r="J8" s="296"/>
      <c r="K8" s="101"/>
    </row>
    <row r="9" spans="1:11" x14ac:dyDescent="0.25">
      <c r="A9" s="84" t="s">
        <v>279</v>
      </c>
      <c r="B9" s="81"/>
      <c r="C9" s="82"/>
      <c r="D9" s="81">
        <v>600</v>
      </c>
      <c r="E9" s="83">
        <v>38261.4</v>
      </c>
      <c r="F9" s="81"/>
      <c r="G9" s="83"/>
      <c r="H9" s="81"/>
      <c r="I9" s="83"/>
      <c r="J9" s="296"/>
      <c r="K9" s="101"/>
    </row>
    <row r="10" spans="1:11" x14ac:dyDescent="0.25">
      <c r="A10" s="251"/>
      <c r="B10" s="2">
        <f t="shared" ref="B10:I10" si="0">SUM(B4:B9)</f>
        <v>2309</v>
      </c>
      <c r="C10" s="252">
        <f t="shared" si="0"/>
        <v>115120.37</v>
      </c>
      <c r="D10" s="81">
        <f t="shared" si="0"/>
        <v>9210</v>
      </c>
      <c r="E10" s="253">
        <f t="shared" si="0"/>
        <v>416359.85000000009</v>
      </c>
      <c r="F10" s="81">
        <f t="shared" si="0"/>
        <v>20703</v>
      </c>
      <c r="G10" s="253">
        <f t="shared" si="0"/>
        <v>586553.32999999996</v>
      </c>
      <c r="H10" s="81">
        <f t="shared" si="0"/>
        <v>2000</v>
      </c>
      <c r="I10" s="253">
        <f t="shared" si="0"/>
        <v>90895</v>
      </c>
      <c r="J10" s="296"/>
      <c r="K10" s="101"/>
    </row>
    <row r="16" spans="1:11" ht="15.75" customHeight="1" x14ac:dyDescent="0.25">
      <c r="A16" s="249"/>
      <c r="B16" s="320" t="s">
        <v>371</v>
      </c>
      <c r="C16" s="320"/>
      <c r="D16" s="320"/>
      <c r="E16" s="320"/>
      <c r="F16" s="320"/>
      <c r="G16" s="320"/>
      <c r="H16" s="320"/>
      <c r="I16" s="320"/>
      <c r="J16" s="320"/>
      <c r="K16" s="320"/>
    </row>
    <row r="17" spans="1:11" ht="18.75" x14ac:dyDescent="0.25">
      <c r="A17" s="182"/>
      <c r="B17" s="317" t="s">
        <v>196</v>
      </c>
      <c r="C17" s="317"/>
      <c r="D17" s="317" t="s">
        <v>199</v>
      </c>
      <c r="E17" s="317"/>
      <c r="F17" s="317" t="s">
        <v>340</v>
      </c>
      <c r="G17" s="317"/>
      <c r="H17" s="317" t="s">
        <v>341</v>
      </c>
      <c r="I17" s="317"/>
      <c r="J17" s="317" t="s">
        <v>348</v>
      </c>
      <c r="K17" s="317"/>
    </row>
    <row r="18" spans="1:11" x14ac:dyDescent="0.25">
      <c r="A18" s="250" t="s">
        <v>7</v>
      </c>
      <c r="B18" s="250" t="s">
        <v>178</v>
      </c>
      <c r="C18" s="250" t="s">
        <v>173</v>
      </c>
      <c r="D18" s="250" t="s">
        <v>178</v>
      </c>
      <c r="E18" s="250" t="s">
        <v>173</v>
      </c>
      <c r="F18" s="250" t="s">
        <v>178</v>
      </c>
      <c r="G18" s="250" t="s">
        <v>173</v>
      </c>
      <c r="H18" s="250" t="s">
        <v>178</v>
      </c>
      <c r="I18" s="250" t="s">
        <v>173</v>
      </c>
      <c r="J18" s="250" t="s">
        <v>178</v>
      </c>
      <c r="K18" s="250" t="s">
        <v>173</v>
      </c>
    </row>
    <row r="19" spans="1:11" x14ac:dyDescent="0.25">
      <c r="A19" s="84" t="s">
        <v>57</v>
      </c>
      <c r="B19" s="81">
        <v>1986</v>
      </c>
      <c r="C19" s="82">
        <v>66622.12</v>
      </c>
      <c r="D19" s="81">
        <v>1972</v>
      </c>
      <c r="E19" s="83">
        <v>74077.440000000002</v>
      </c>
      <c r="F19" s="81">
        <v>7508</v>
      </c>
      <c r="G19" s="83">
        <v>239273.26</v>
      </c>
      <c r="H19" s="81">
        <v>18653</v>
      </c>
      <c r="I19" s="83">
        <v>506544.3</v>
      </c>
      <c r="J19" s="81">
        <v>200</v>
      </c>
      <c r="K19" s="83">
        <v>7272</v>
      </c>
    </row>
    <row r="20" spans="1:11" x14ac:dyDescent="0.25">
      <c r="A20" s="84" t="s">
        <v>32</v>
      </c>
      <c r="B20" s="81">
        <v>234</v>
      </c>
      <c r="C20" s="82">
        <v>16830.71</v>
      </c>
      <c r="D20" s="81">
        <v>584</v>
      </c>
      <c r="E20" s="83">
        <v>65970.34</v>
      </c>
      <c r="F20" s="81">
        <v>1602</v>
      </c>
      <c r="G20" s="83">
        <v>60460.51</v>
      </c>
      <c r="H20" s="81"/>
      <c r="I20" s="83"/>
      <c r="J20" s="81"/>
      <c r="K20" s="83"/>
    </row>
    <row r="21" spans="1:11" x14ac:dyDescent="0.25">
      <c r="A21" s="1" t="s">
        <v>186</v>
      </c>
      <c r="B21" s="81">
        <v>30</v>
      </c>
      <c r="C21" s="82">
        <v>502.3</v>
      </c>
      <c r="D21" s="81"/>
      <c r="E21" s="83"/>
      <c r="F21" s="81"/>
      <c r="G21" s="83"/>
      <c r="H21" s="81"/>
      <c r="I21" s="83"/>
      <c r="J21" s="81"/>
      <c r="K21" s="83"/>
    </row>
    <row r="22" spans="1:11" x14ac:dyDescent="0.25">
      <c r="A22" s="84" t="s">
        <v>9</v>
      </c>
      <c r="B22" s="81">
        <v>18</v>
      </c>
      <c r="C22" s="82">
        <v>2067.48</v>
      </c>
      <c r="D22" s="81">
        <v>573</v>
      </c>
      <c r="E22" s="83">
        <v>22203.7</v>
      </c>
      <c r="F22" s="81">
        <v>380</v>
      </c>
      <c r="G22" s="83">
        <v>19410.400000000001</v>
      </c>
      <c r="H22" s="81"/>
      <c r="I22" s="83"/>
      <c r="J22" s="81"/>
      <c r="K22" s="83"/>
    </row>
    <row r="23" spans="1:11" x14ac:dyDescent="0.25">
      <c r="A23" s="84" t="s">
        <v>16</v>
      </c>
      <c r="B23" s="81">
        <v>50</v>
      </c>
      <c r="C23" s="82">
        <v>20263.48</v>
      </c>
      <c r="D23" s="81"/>
      <c r="E23" s="83"/>
      <c r="F23" s="81"/>
      <c r="G23" s="83"/>
      <c r="H23" s="81"/>
      <c r="I23" s="83"/>
      <c r="J23" s="81"/>
      <c r="K23" s="83"/>
    </row>
    <row r="24" spans="1:11" x14ac:dyDescent="0.25">
      <c r="A24" s="84" t="s">
        <v>270</v>
      </c>
      <c r="B24" s="81"/>
      <c r="C24" s="82"/>
      <c r="D24" s="81">
        <v>100</v>
      </c>
      <c r="E24" s="83">
        <v>2897.5</v>
      </c>
      <c r="F24" s="81"/>
      <c r="G24" s="83"/>
      <c r="H24" s="81"/>
      <c r="I24" s="83"/>
      <c r="J24" s="81"/>
      <c r="K24" s="83"/>
    </row>
    <row r="25" spans="1:11" x14ac:dyDescent="0.25">
      <c r="A25" s="84" t="s">
        <v>184</v>
      </c>
      <c r="B25" s="81">
        <v>15</v>
      </c>
      <c r="C25" s="82">
        <v>1437.6</v>
      </c>
      <c r="D25" s="81"/>
      <c r="E25" s="83"/>
      <c r="F25" s="81"/>
      <c r="G25" s="83"/>
      <c r="H25" s="81"/>
      <c r="I25" s="83"/>
      <c r="J25" s="81"/>
      <c r="K25" s="83"/>
    </row>
    <row r="26" spans="1:11" x14ac:dyDescent="0.25">
      <c r="A26" s="84" t="s">
        <v>185</v>
      </c>
      <c r="B26" s="81">
        <v>15</v>
      </c>
      <c r="C26" s="82">
        <v>1950</v>
      </c>
      <c r="D26" s="81"/>
      <c r="E26" s="83"/>
      <c r="F26" s="81"/>
      <c r="G26" s="83"/>
      <c r="H26" s="81"/>
      <c r="I26" s="83"/>
      <c r="J26" s="81"/>
      <c r="K26" s="83"/>
    </row>
    <row r="27" spans="1:11" x14ac:dyDescent="0.25">
      <c r="A27" s="84" t="s">
        <v>279</v>
      </c>
      <c r="B27" s="81">
        <v>120</v>
      </c>
      <c r="C27" s="82">
        <v>2852.4</v>
      </c>
      <c r="E27" s="83"/>
      <c r="F27" s="81"/>
      <c r="G27" s="83"/>
      <c r="H27" s="81"/>
      <c r="I27" s="83"/>
      <c r="J27" s="81"/>
      <c r="K27" s="83"/>
    </row>
    <row r="28" spans="1:11" x14ac:dyDescent="0.25">
      <c r="A28" s="251"/>
      <c r="B28" s="262">
        <f>SUM(B19:B27)</f>
        <v>2468</v>
      </c>
      <c r="C28" s="252">
        <f>SUM(C19:C26)</f>
        <v>109673.68999999999</v>
      </c>
      <c r="D28" s="81">
        <f>SUM(D19:D27)</f>
        <v>3229</v>
      </c>
      <c r="E28" s="253">
        <f>SUM(E19:E24)</f>
        <v>165148.98000000001</v>
      </c>
      <c r="F28" s="81">
        <f>SUM(F19:F27)</f>
        <v>9490</v>
      </c>
      <c r="G28" s="253">
        <f>SUM(G19:G24)</f>
        <v>319144.17000000004</v>
      </c>
      <c r="H28" s="81">
        <f>SUM(H19:H27)</f>
        <v>18653</v>
      </c>
      <c r="I28" s="253">
        <f>SUM(I19:I24)</f>
        <v>506544.3</v>
      </c>
      <c r="J28" s="81">
        <f>SUM(J19:J27)</f>
        <v>200</v>
      </c>
      <c r="K28" s="253">
        <f>SUM(K19:K24)</f>
        <v>7272</v>
      </c>
    </row>
    <row r="29" spans="1:11" ht="8.25" customHeight="1" x14ac:dyDescent="0.25"/>
    <row r="30" spans="1:11" ht="19.5" customHeight="1" x14ac:dyDescent="0.25">
      <c r="A30" s="249"/>
      <c r="B30" s="320" t="s">
        <v>347</v>
      </c>
      <c r="C30" s="320"/>
      <c r="D30" s="320"/>
      <c r="E30" s="320"/>
      <c r="F30" s="320"/>
      <c r="G30" s="320"/>
      <c r="H30" s="320"/>
      <c r="I30" s="320"/>
      <c r="J30" s="320"/>
      <c r="K30" s="320"/>
    </row>
    <row r="31" spans="1:11" ht="18.75" x14ac:dyDescent="0.25">
      <c r="A31" s="182"/>
      <c r="B31" s="317" t="s">
        <v>196</v>
      </c>
      <c r="C31" s="317"/>
      <c r="D31" s="317" t="s">
        <v>199</v>
      </c>
      <c r="E31" s="317"/>
      <c r="F31" s="317" t="s">
        <v>340</v>
      </c>
      <c r="G31" s="317"/>
      <c r="H31" s="317" t="s">
        <v>341</v>
      </c>
      <c r="I31" s="317"/>
      <c r="J31" s="317" t="s">
        <v>348</v>
      </c>
      <c r="K31" s="317"/>
    </row>
    <row r="32" spans="1:11" x14ac:dyDescent="0.25">
      <c r="A32" s="250" t="s">
        <v>7</v>
      </c>
      <c r="B32" s="250" t="s">
        <v>178</v>
      </c>
      <c r="C32" s="250" t="s">
        <v>173</v>
      </c>
      <c r="D32" s="250" t="s">
        <v>178</v>
      </c>
      <c r="E32" s="250" t="s">
        <v>173</v>
      </c>
      <c r="F32" s="250" t="s">
        <v>178</v>
      </c>
      <c r="G32" s="250" t="s">
        <v>173</v>
      </c>
      <c r="H32" s="250" t="s">
        <v>178</v>
      </c>
      <c r="I32" s="250" t="s">
        <v>173</v>
      </c>
      <c r="J32" s="250" t="s">
        <v>178</v>
      </c>
      <c r="K32" s="250" t="s">
        <v>173</v>
      </c>
    </row>
    <row r="33" spans="1:11" x14ac:dyDescent="0.25">
      <c r="A33" s="84" t="s">
        <v>57</v>
      </c>
      <c r="B33" s="81">
        <v>3931</v>
      </c>
      <c r="C33" s="82">
        <v>140021.92000000001</v>
      </c>
      <c r="D33" s="81">
        <v>2073</v>
      </c>
      <c r="E33" s="83">
        <v>76405.490000000005</v>
      </c>
      <c r="F33" s="81">
        <v>7293</v>
      </c>
      <c r="G33" s="83">
        <v>236340.71</v>
      </c>
      <c r="H33" s="81">
        <v>15098</v>
      </c>
      <c r="I33" s="83">
        <v>419948.15</v>
      </c>
      <c r="J33" s="81">
        <v>200</v>
      </c>
      <c r="K33" s="83">
        <v>7272</v>
      </c>
    </row>
    <row r="34" spans="1:11" x14ac:dyDescent="0.25">
      <c r="A34" s="84" t="s">
        <v>32</v>
      </c>
      <c r="B34" s="81">
        <v>234</v>
      </c>
      <c r="C34" s="82">
        <v>16830.71</v>
      </c>
      <c r="D34" s="81">
        <v>403</v>
      </c>
      <c r="E34" s="83">
        <v>71918.509999999995</v>
      </c>
      <c r="F34" s="81">
        <v>710</v>
      </c>
      <c r="G34" s="83">
        <v>42686.35</v>
      </c>
      <c r="H34" s="81"/>
      <c r="I34" s="83"/>
      <c r="J34" s="81"/>
      <c r="K34" s="83"/>
    </row>
    <row r="35" spans="1:11" x14ac:dyDescent="0.25">
      <c r="A35" s="1" t="s">
        <v>209</v>
      </c>
      <c r="B35" s="81">
        <v>8</v>
      </c>
      <c r="C35" s="82">
        <v>7360.8</v>
      </c>
      <c r="D35" s="81"/>
      <c r="E35" s="83"/>
      <c r="F35" s="81"/>
      <c r="G35" s="83"/>
      <c r="H35" s="81"/>
      <c r="I35" s="83"/>
      <c r="J35" s="81"/>
      <c r="K35" s="83"/>
    </row>
    <row r="36" spans="1:11" x14ac:dyDescent="0.25">
      <c r="A36" s="84" t="s">
        <v>9</v>
      </c>
      <c r="B36" s="81">
        <v>566</v>
      </c>
      <c r="C36" s="82">
        <v>25272.13</v>
      </c>
      <c r="D36" s="81">
        <v>573</v>
      </c>
      <c r="E36" s="83">
        <v>22203.7</v>
      </c>
      <c r="F36" s="81">
        <v>380</v>
      </c>
      <c r="G36" s="83">
        <v>19410.400000000001</v>
      </c>
      <c r="H36" s="81"/>
      <c r="I36" s="83"/>
      <c r="J36" s="81"/>
      <c r="K36" s="83"/>
    </row>
    <row r="37" spans="1:11" x14ac:dyDescent="0.25">
      <c r="A37" s="84" t="s">
        <v>16</v>
      </c>
      <c r="B37" s="81">
        <v>40</v>
      </c>
      <c r="C37" s="82">
        <v>2598</v>
      </c>
      <c r="D37" s="81"/>
      <c r="E37" s="83"/>
      <c r="F37" s="81"/>
      <c r="G37" s="83"/>
      <c r="H37" s="81"/>
      <c r="I37" s="83"/>
      <c r="J37" s="81"/>
      <c r="K37" s="83"/>
    </row>
    <row r="38" spans="1:11" x14ac:dyDescent="0.25">
      <c r="A38" s="84" t="s">
        <v>270</v>
      </c>
      <c r="B38" s="81"/>
      <c r="C38" s="82"/>
      <c r="D38" s="81">
        <v>100</v>
      </c>
      <c r="E38" s="83">
        <v>2847.5</v>
      </c>
      <c r="F38" s="81"/>
      <c r="G38" s="83"/>
      <c r="H38" s="81"/>
      <c r="I38" s="83"/>
      <c r="J38" s="81"/>
      <c r="K38" s="83"/>
    </row>
    <row r="39" spans="1:11" x14ac:dyDescent="0.25">
      <c r="A39" s="251"/>
      <c r="B39" s="81">
        <f t="shared" ref="B39:K39" si="1">SUM(B33:B38)</f>
        <v>4779</v>
      </c>
      <c r="C39" s="252">
        <f t="shared" si="1"/>
        <v>192083.56</v>
      </c>
      <c r="D39" s="81">
        <f t="shared" si="1"/>
        <v>3149</v>
      </c>
      <c r="E39" s="253">
        <f t="shared" si="1"/>
        <v>173375.2</v>
      </c>
      <c r="F39" s="81">
        <f t="shared" si="1"/>
        <v>8383</v>
      </c>
      <c r="G39" s="253">
        <f t="shared" si="1"/>
        <v>298437.46000000002</v>
      </c>
      <c r="H39" s="81">
        <f t="shared" si="1"/>
        <v>15098</v>
      </c>
      <c r="I39" s="253">
        <f t="shared" si="1"/>
        <v>419948.15</v>
      </c>
      <c r="J39" s="81">
        <f t="shared" si="1"/>
        <v>200</v>
      </c>
      <c r="K39" s="253">
        <f t="shared" si="1"/>
        <v>7272</v>
      </c>
    </row>
    <row r="40" spans="1:11" ht="9" customHeight="1" x14ac:dyDescent="0.25"/>
    <row r="41" spans="1:11" ht="15" customHeight="1" thickBot="1" x14ac:dyDescent="0.3">
      <c r="A41" s="58"/>
      <c r="B41" s="326" t="s">
        <v>339</v>
      </c>
      <c r="C41" s="326"/>
      <c r="D41" s="326"/>
      <c r="E41" s="326"/>
      <c r="F41" s="326"/>
      <c r="G41" s="326"/>
      <c r="H41" s="326"/>
      <c r="I41" s="326"/>
      <c r="J41" s="326"/>
      <c r="K41" s="326"/>
    </row>
    <row r="42" spans="1:11" ht="13.5" customHeight="1" thickBot="1" x14ac:dyDescent="0.3">
      <c r="A42" s="97"/>
      <c r="B42" s="321" t="s">
        <v>169</v>
      </c>
      <c r="C42" s="322"/>
      <c r="D42" s="321" t="s">
        <v>196</v>
      </c>
      <c r="E42" s="322"/>
      <c r="F42" s="321" t="s">
        <v>199</v>
      </c>
      <c r="G42" s="322"/>
      <c r="H42" s="323" t="s">
        <v>340</v>
      </c>
      <c r="I42" s="324"/>
      <c r="J42" s="323" t="s">
        <v>341</v>
      </c>
      <c r="K42" s="325"/>
    </row>
    <row r="43" spans="1:11" ht="15.75" thickBot="1" x14ac:dyDescent="0.3">
      <c r="A43" s="87" t="s">
        <v>7</v>
      </c>
      <c r="B43" s="87" t="s">
        <v>178</v>
      </c>
      <c r="C43" s="88" t="s">
        <v>173</v>
      </c>
      <c r="D43" s="87" t="s">
        <v>178</v>
      </c>
      <c r="E43" s="88" t="s">
        <v>173</v>
      </c>
      <c r="F43" s="87" t="s">
        <v>178</v>
      </c>
      <c r="G43" s="88" t="s">
        <v>173</v>
      </c>
      <c r="H43" s="87" t="s">
        <v>178</v>
      </c>
      <c r="I43" s="152" t="s">
        <v>173</v>
      </c>
      <c r="J43" s="87" t="s">
        <v>178</v>
      </c>
      <c r="K43" s="88" t="s">
        <v>173</v>
      </c>
    </row>
    <row r="44" spans="1:11" x14ac:dyDescent="0.25">
      <c r="A44" s="98" t="s">
        <v>57</v>
      </c>
      <c r="B44" s="219"/>
      <c r="C44" s="222"/>
      <c r="D44" s="154">
        <v>7715</v>
      </c>
      <c r="E44" s="89">
        <v>242867.39</v>
      </c>
      <c r="F44" s="48">
        <v>3348</v>
      </c>
      <c r="G44" s="52">
        <v>108689.06</v>
      </c>
      <c r="H44" s="48">
        <v>10476</v>
      </c>
      <c r="I44" s="61">
        <v>287425.58</v>
      </c>
      <c r="J44" s="48">
        <v>10794</v>
      </c>
      <c r="K44" s="52">
        <v>328061.63</v>
      </c>
    </row>
    <row r="45" spans="1:11" x14ac:dyDescent="0.25">
      <c r="A45" s="98" t="s">
        <v>32</v>
      </c>
      <c r="B45" s="220">
        <v>20</v>
      </c>
      <c r="C45" s="224">
        <v>2750</v>
      </c>
      <c r="D45" s="154">
        <v>711</v>
      </c>
      <c r="E45" s="89">
        <v>46626.41</v>
      </c>
      <c r="F45" s="48"/>
      <c r="G45" s="52"/>
      <c r="H45" s="48">
        <v>200</v>
      </c>
      <c r="I45" s="61">
        <v>31914</v>
      </c>
      <c r="J45" s="48"/>
      <c r="K45" s="52"/>
    </row>
    <row r="46" spans="1:11" x14ac:dyDescent="0.25">
      <c r="A46" s="98" t="s">
        <v>34</v>
      </c>
      <c r="B46" s="220"/>
      <c r="C46" s="224"/>
      <c r="D46" s="154">
        <v>10</v>
      </c>
      <c r="E46" s="89">
        <v>19682.75</v>
      </c>
      <c r="F46" s="48"/>
      <c r="G46" s="52"/>
      <c r="H46" s="48"/>
      <c r="I46" s="61"/>
      <c r="J46" s="48"/>
      <c r="K46" s="52"/>
    </row>
    <row r="47" spans="1:11" x14ac:dyDescent="0.25">
      <c r="A47" s="99" t="s">
        <v>209</v>
      </c>
      <c r="B47" s="220">
        <v>8</v>
      </c>
      <c r="C47" s="224">
        <v>7360.8</v>
      </c>
      <c r="D47" s="154"/>
      <c r="E47" s="89"/>
      <c r="F47" s="48"/>
      <c r="G47" s="52"/>
      <c r="H47" s="48"/>
      <c r="I47" s="61"/>
      <c r="J47" s="48"/>
      <c r="K47" s="52"/>
    </row>
    <row r="48" spans="1:11" x14ac:dyDescent="0.25">
      <c r="A48" s="98" t="s">
        <v>9</v>
      </c>
      <c r="B48" s="220"/>
      <c r="C48" s="224"/>
      <c r="D48" s="154">
        <v>710</v>
      </c>
      <c r="E48" s="89">
        <v>34031.949999999997</v>
      </c>
      <c r="F48" s="48">
        <v>160</v>
      </c>
      <c r="G48" s="52">
        <v>9732.7999999999993</v>
      </c>
      <c r="H48" s="48">
        <v>50</v>
      </c>
      <c r="I48" s="61">
        <v>1189</v>
      </c>
      <c r="J48" s="48"/>
      <c r="K48" s="52"/>
    </row>
    <row r="49" spans="1:11" x14ac:dyDescent="0.25">
      <c r="A49" s="98" t="s">
        <v>211</v>
      </c>
      <c r="B49" s="220"/>
      <c r="C49" s="224"/>
      <c r="D49" s="154">
        <v>160</v>
      </c>
      <c r="E49" s="89">
        <v>3042</v>
      </c>
      <c r="F49" s="48"/>
      <c r="G49" s="52"/>
      <c r="H49" s="48"/>
      <c r="I49" s="61"/>
      <c r="J49" s="48"/>
      <c r="K49" s="52"/>
    </row>
    <row r="50" spans="1:11" x14ac:dyDescent="0.25">
      <c r="A50" s="98" t="s">
        <v>16</v>
      </c>
      <c r="B50" s="220"/>
      <c r="C50" s="224"/>
      <c r="D50" s="154">
        <v>50</v>
      </c>
      <c r="E50" s="89">
        <v>8461</v>
      </c>
      <c r="F50" s="154"/>
      <c r="G50" s="52"/>
      <c r="H50" s="154"/>
      <c r="I50" s="61"/>
      <c r="J50" s="48"/>
      <c r="K50" s="52"/>
    </row>
    <row r="51" spans="1:11" x14ac:dyDescent="0.25">
      <c r="A51" s="217" t="s">
        <v>31</v>
      </c>
      <c r="B51" s="220"/>
      <c r="C51" s="224"/>
      <c r="D51" s="154">
        <v>174</v>
      </c>
      <c r="E51" s="89">
        <v>10607.04</v>
      </c>
      <c r="F51" s="154"/>
      <c r="G51" s="52"/>
      <c r="H51" s="154"/>
      <c r="I51" s="83"/>
      <c r="J51" s="48"/>
      <c r="K51" s="52"/>
    </row>
    <row r="52" spans="1:11" x14ac:dyDescent="0.25">
      <c r="A52" s="217" t="s">
        <v>281</v>
      </c>
      <c r="B52" s="220">
        <v>100</v>
      </c>
      <c r="C52" s="224">
        <v>5743</v>
      </c>
      <c r="D52" s="154"/>
      <c r="E52" s="89"/>
      <c r="F52" s="154"/>
      <c r="G52" s="52"/>
      <c r="H52" s="154"/>
      <c r="I52" s="83"/>
      <c r="J52" s="48"/>
      <c r="K52" s="52"/>
    </row>
    <row r="53" spans="1:11" x14ac:dyDescent="0.25">
      <c r="A53" s="217" t="s">
        <v>270</v>
      </c>
      <c r="B53" s="220"/>
      <c r="C53" s="223"/>
      <c r="D53" s="154"/>
      <c r="E53" s="89"/>
      <c r="F53" s="154"/>
      <c r="G53" s="52"/>
      <c r="H53" s="154"/>
      <c r="I53" s="83"/>
      <c r="J53" s="48"/>
      <c r="K53" s="52"/>
    </row>
    <row r="54" spans="1:11" ht="15.75" thickBot="1" x14ac:dyDescent="0.3">
      <c r="A54" s="100"/>
      <c r="B54" s="221">
        <f>SUM(B44:B53)</f>
        <v>128</v>
      </c>
      <c r="C54" s="90">
        <f>SUM(C43:C53)</f>
        <v>15853.8</v>
      </c>
      <c r="D54" s="218">
        <f t="shared" ref="D54:K54" si="2">SUM(D44:D53)</f>
        <v>9530</v>
      </c>
      <c r="E54" s="90">
        <f t="shared" si="2"/>
        <v>365318.54000000004</v>
      </c>
      <c r="F54" s="49">
        <f t="shared" si="2"/>
        <v>3508</v>
      </c>
      <c r="G54" s="60">
        <f t="shared" si="2"/>
        <v>118421.86</v>
      </c>
      <c r="H54" s="49">
        <f t="shared" si="2"/>
        <v>10726</v>
      </c>
      <c r="I54" s="64">
        <f t="shared" si="2"/>
        <v>320528.58</v>
      </c>
      <c r="J54" s="49">
        <f t="shared" si="2"/>
        <v>10794</v>
      </c>
      <c r="K54" s="60">
        <f t="shared" si="2"/>
        <v>328061.63</v>
      </c>
    </row>
    <row r="56" spans="1:11" ht="15.75" thickBot="1" x14ac:dyDescent="0.3"/>
    <row r="57" spans="1:11" ht="27" thickBot="1" x14ac:dyDescent="0.3">
      <c r="A57" s="58"/>
      <c r="B57" s="58"/>
      <c r="C57" s="58"/>
      <c r="D57" s="333" t="s">
        <v>278</v>
      </c>
      <c r="E57" s="334"/>
      <c r="F57" s="334"/>
      <c r="G57" s="334"/>
      <c r="H57" s="334"/>
      <c r="I57" s="334"/>
      <c r="J57" s="153"/>
      <c r="K57" s="96"/>
    </row>
    <row r="58" spans="1:11" ht="19.5" customHeight="1" thickBot="1" x14ac:dyDescent="0.3">
      <c r="A58" s="97"/>
      <c r="B58" s="215"/>
      <c r="C58" s="215"/>
      <c r="D58" s="321" t="s">
        <v>183</v>
      </c>
      <c r="E58" s="322"/>
      <c r="F58" s="321" t="s">
        <v>196</v>
      </c>
      <c r="G58" s="322"/>
      <c r="H58" s="323" t="s">
        <v>199</v>
      </c>
      <c r="I58" s="324"/>
      <c r="J58" s="153"/>
      <c r="K58" s="96"/>
    </row>
    <row r="59" spans="1:11" ht="15" customHeight="1" x14ac:dyDescent="0.25">
      <c r="A59" s="87" t="s">
        <v>7</v>
      </c>
      <c r="B59" s="87"/>
      <c r="C59" s="87"/>
      <c r="D59" s="87" t="s">
        <v>178</v>
      </c>
      <c r="E59" s="88" t="s">
        <v>173</v>
      </c>
      <c r="F59" s="87" t="s">
        <v>178</v>
      </c>
      <c r="G59" s="88" t="s">
        <v>173</v>
      </c>
      <c r="H59" s="87" t="s">
        <v>178</v>
      </c>
      <c r="I59" s="152" t="s">
        <v>173</v>
      </c>
      <c r="J59" s="153"/>
      <c r="K59" s="96"/>
    </row>
    <row r="60" spans="1:11" ht="15" customHeight="1" x14ac:dyDescent="0.25">
      <c r="A60" s="98" t="s">
        <v>57</v>
      </c>
      <c r="B60" s="98"/>
      <c r="C60" s="98"/>
      <c r="D60" s="48">
        <v>11829</v>
      </c>
      <c r="E60" s="89">
        <v>315563.28000000003</v>
      </c>
      <c r="F60" s="48">
        <v>10443</v>
      </c>
      <c r="G60" s="52">
        <v>405007.49</v>
      </c>
      <c r="H60" s="48">
        <v>4806</v>
      </c>
      <c r="I60" s="61">
        <v>75448.399999999994</v>
      </c>
      <c r="J60" s="153"/>
      <c r="K60" s="96"/>
    </row>
    <row r="61" spans="1:11" ht="15" customHeight="1" x14ac:dyDescent="0.25">
      <c r="A61" s="98" t="s">
        <v>32</v>
      </c>
      <c r="B61" s="98"/>
      <c r="C61" s="98"/>
      <c r="D61" s="48">
        <v>790</v>
      </c>
      <c r="E61" s="89">
        <v>45874.9</v>
      </c>
      <c r="F61" s="48">
        <v>1011</v>
      </c>
      <c r="G61" s="52">
        <v>52103.03</v>
      </c>
      <c r="H61" s="48"/>
      <c r="I61" s="61"/>
      <c r="J61" s="153"/>
      <c r="K61" s="96"/>
    </row>
    <row r="62" spans="1:11" ht="15" customHeight="1" x14ac:dyDescent="0.25">
      <c r="A62" s="99" t="s">
        <v>42</v>
      </c>
      <c r="B62" s="99"/>
      <c r="C62" s="99"/>
      <c r="D62" s="48">
        <v>100</v>
      </c>
      <c r="E62" s="89">
        <v>3358</v>
      </c>
      <c r="F62" s="48"/>
      <c r="G62" s="52"/>
      <c r="H62" s="48"/>
      <c r="I62" s="61"/>
      <c r="J62" s="153"/>
      <c r="K62" s="96"/>
    </row>
    <row r="63" spans="1:11" ht="15" customHeight="1" x14ac:dyDescent="0.25">
      <c r="A63" s="98" t="s">
        <v>166</v>
      </c>
      <c r="B63" s="98"/>
      <c r="C63" s="98"/>
      <c r="D63" s="48"/>
      <c r="E63" s="89"/>
      <c r="F63" s="48">
        <v>300</v>
      </c>
      <c r="G63" s="52">
        <v>12768.5</v>
      </c>
      <c r="H63" s="48"/>
      <c r="I63" s="61"/>
      <c r="J63" s="153"/>
      <c r="K63" s="96"/>
    </row>
    <row r="64" spans="1:11" ht="15" customHeight="1" x14ac:dyDescent="0.25">
      <c r="A64" s="98" t="s">
        <v>34</v>
      </c>
      <c r="B64" s="98"/>
      <c r="C64" s="98"/>
      <c r="D64" s="48"/>
      <c r="E64" s="89"/>
      <c r="F64" s="48">
        <v>10</v>
      </c>
      <c r="G64" s="52">
        <v>10484</v>
      </c>
      <c r="H64" s="48"/>
      <c r="I64" s="61"/>
      <c r="J64" s="153"/>
      <c r="K64" s="96"/>
    </row>
    <row r="65" spans="1:21" ht="15" customHeight="1" x14ac:dyDescent="0.25">
      <c r="A65" s="99" t="s">
        <v>209</v>
      </c>
      <c r="B65" s="99"/>
      <c r="C65" s="99"/>
      <c r="D65" s="48">
        <v>4</v>
      </c>
      <c r="E65" s="89">
        <v>7360.8</v>
      </c>
      <c r="F65" s="48"/>
      <c r="G65" s="52"/>
      <c r="H65" s="48"/>
      <c r="I65" s="61"/>
      <c r="J65" s="153"/>
      <c r="K65" s="96"/>
    </row>
    <row r="66" spans="1:21" ht="15" customHeight="1" x14ac:dyDescent="0.25">
      <c r="A66" s="99" t="s">
        <v>158</v>
      </c>
      <c r="B66" s="99"/>
      <c r="C66" s="99"/>
      <c r="D66" s="48">
        <v>60</v>
      </c>
      <c r="E66" s="89">
        <v>2138.4</v>
      </c>
      <c r="F66" s="48"/>
      <c r="G66" s="52"/>
      <c r="H66" s="48"/>
      <c r="I66" s="61"/>
      <c r="J66" s="153"/>
      <c r="K66" s="96"/>
    </row>
    <row r="67" spans="1:21" ht="15" customHeight="1" x14ac:dyDescent="0.25">
      <c r="A67" s="98" t="s">
        <v>9</v>
      </c>
      <c r="B67" s="98"/>
      <c r="C67" s="98"/>
      <c r="D67" s="48">
        <v>725</v>
      </c>
      <c r="E67" s="89">
        <v>37854.28</v>
      </c>
      <c r="F67" s="48">
        <v>801</v>
      </c>
      <c r="G67" s="52">
        <v>36524.82</v>
      </c>
      <c r="H67" s="48">
        <v>160</v>
      </c>
      <c r="I67" s="61">
        <v>9732.7999999999993</v>
      </c>
      <c r="J67" s="153"/>
      <c r="K67" s="96"/>
    </row>
    <row r="68" spans="1:21" ht="15" customHeight="1" x14ac:dyDescent="0.25">
      <c r="A68" s="98" t="s">
        <v>211</v>
      </c>
      <c r="B68" s="98"/>
      <c r="C68" s="98"/>
      <c r="D68" s="48"/>
      <c r="E68" s="89"/>
      <c r="F68" s="48">
        <v>100</v>
      </c>
      <c r="G68" s="52">
        <v>2989</v>
      </c>
      <c r="H68" s="48"/>
      <c r="I68" s="61"/>
      <c r="J68" s="153"/>
      <c r="K68" s="96"/>
    </row>
    <row r="69" spans="1:21" ht="15" customHeight="1" x14ac:dyDescent="0.25">
      <c r="A69" s="55" t="s">
        <v>16</v>
      </c>
      <c r="B69" s="216"/>
      <c r="C69" s="216"/>
      <c r="D69" s="154">
        <v>50</v>
      </c>
      <c r="E69" s="89">
        <v>3798</v>
      </c>
      <c r="F69" s="154"/>
      <c r="G69" s="52"/>
      <c r="H69" s="154"/>
      <c r="I69" s="61"/>
      <c r="J69" s="153"/>
      <c r="K69" s="96"/>
    </row>
    <row r="70" spans="1:21" ht="15" customHeight="1" x14ac:dyDescent="0.25">
      <c r="A70" s="155" t="s">
        <v>184</v>
      </c>
      <c r="B70" s="216"/>
      <c r="C70" s="216"/>
      <c r="D70" s="154">
        <v>16</v>
      </c>
      <c r="E70" s="89">
        <v>1054.5</v>
      </c>
      <c r="F70" s="154"/>
      <c r="G70" s="52"/>
      <c r="H70" s="154"/>
      <c r="I70" s="83"/>
      <c r="J70" s="153"/>
      <c r="K70" s="96"/>
    </row>
    <row r="71" spans="1:21" ht="15" customHeight="1" x14ac:dyDescent="0.25">
      <c r="A71" s="155" t="s">
        <v>279</v>
      </c>
      <c r="B71" s="216"/>
      <c r="C71" s="216"/>
      <c r="D71" s="154">
        <v>320</v>
      </c>
      <c r="E71" s="89">
        <v>15044.4</v>
      </c>
      <c r="F71" s="154"/>
      <c r="G71" s="52"/>
      <c r="H71" s="154"/>
      <c r="I71" s="83"/>
      <c r="J71" s="153"/>
      <c r="K71" s="96"/>
    </row>
    <row r="72" spans="1:21" ht="15" customHeight="1" x14ac:dyDescent="0.25">
      <c r="A72" s="155" t="s">
        <v>270</v>
      </c>
      <c r="B72" s="216"/>
      <c r="C72" s="216"/>
      <c r="D72" s="154">
        <v>100</v>
      </c>
      <c r="E72" s="89">
        <v>2847.5</v>
      </c>
      <c r="F72" s="154"/>
      <c r="G72" s="52"/>
      <c r="H72" s="154"/>
      <c r="I72" s="83"/>
      <c r="J72" s="153"/>
      <c r="K72" s="96"/>
    </row>
    <row r="73" spans="1:21" ht="15.75" customHeight="1" thickBot="1" x14ac:dyDescent="0.3">
      <c r="A73" s="100"/>
      <c r="B73" s="100"/>
      <c r="C73" s="100"/>
      <c r="D73" s="49"/>
      <c r="E73" s="90">
        <f>SUM(E60:E67)</f>
        <v>412149.66000000003</v>
      </c>
      <c r="F73" s="49"/>
      <c r="G73" s="60">
        <f>SUM(G60:G69)</f>
        <v>519876.84</v>
      </c>
      <c r="H73" s="49"/>
      <c r="I73" s="64">
        <f>SUM(I60:I68)</f>
        <v>85181.2</v>
      </c>
      <c r="J73" s="153"/>
      <c r="K73" s="96"/>
    </row>
    <row r="74" spans="1:21" x14ac:dyDescent="0.25">
      <c r="J74" s="95"/>
      <c r="K74" s="95"/>
    </row>
    <row r="75" spans="1:21" ht="15.75" thickBot="1" x14ac:dyDescent="0.3"/>
    <row r="76" spans="1:21" ht="27" thickBot="1" x14ac:dyDescent="0.3">
      <c r="A76" s="58"/>
      <c r="B76" s="58"/>
      <c r="C76" s="58"/>
      <c r="D76" s="333" t="s">
        <v>224</v>
      </c>
      <c r="E76" s="334"/>
      <c r="F76" s="334"/>
      <c r="G76" s="334"/>
      <c r="H76" s="334"/>
      <c r="I76" s="334"/>
      <c r="J76" s="334"/>
      <c r="K76" s="335"/>
      <c r="P76" s="58"/>
      <c r="Q76" s="326" t="s">
        <v>224</v>
      </c>
      <c r="R76" s="326"/>
      <c r="S76" s="326"/>
      <c r="T76" s="326"/>
      <c r="U76" s="326"/>
    </row>
    <row r="77" spans="1:21" ht="19.5" thickBot="1" x14ac:dyDescent="0.3">
      <c r="A77" s="97"/>
      <c r="B77" s="215"/>
      <c r="C77" s="215"/>
      <c r="D77" s="323" t="s">
        <v>225</v>
      </c>
      <c r="E77" s="325"/>
      <c r="F77" s="321" t="s">
        <v>183</v>
      </c>
      <c r="G77" s="322"/>
      <c r="H77" s="323" t="s">
        <v>196</v>
      </c>
      <c r="I77" s="325"/>
      <c r="J77" s="323" t="s">
        <v>199</v>
      </c>
      <c r="K77" s="325"/>
      <c r="P77" s="97"/>
      <c r="Q77" s="103" t="s">
        <v>226</v>
      </c>
      <c r="R77" s="103" t="s">
        <v>227</v>
      </c>
      <c r="S77" s="102" t="s">
        <v>228</v>
      </c>
      <c r="T77" s="102" t="s">
        <v>229</v>
      </c>
      <c r="U77" s="102" t="s">
        <v>230</v>
      </c>
    </row>
    <row r="78" spans="1:21" x14ac:dyDescent="0.25">
      <c r="A78" s="87" t="s">
        <v>7</v>
      </c>
      <c r="B78" s="87"/>
      <c r="C78" s="87"/>
      <c r="D78" s="87" t="s">
        <v>178</v>
      </c>
      <c r="E78" s="88" t="s">
        <v>173</v>
      </c>
      <c r="F78" s="87" t="s">
        <v>178</v>
      </c>
      <c r="G78" s="88" t="s">
        <v>173</v>
      </c>
      <c r="H78" s="87" t="s">
        <v>178</v>
      </c>
      <c r="I78" s="88" t="s">
        <v>173</v>
      </c>
      <c r="J78" s="87" t="s">
        <v>178</v>
      </c>
      <c r="K78" s="88" t="s">
        <v>173</v>
      </c>
      <c r="P78" s="87" t="s">
        <v>7</v>
      </c>
      <c r="Q78" s="88" t="s">
        <v>173</v>
      </c>
      <c r="R78" s="88" t="s">
        <v>173</v>
      </c>
      <c r="S78" s="88" t="s">
        <v>173</v>
      </c>
      <c r="T78" s="88" t="s">
        <v>173</v>
      </c>
      <c r="U78" s="88" t="s">
        <v>173</v>
      </c>
    </row>
    <row r="79" spans="1:21" x14ac:dyDescent="0.25">
      <c r="A79" s="98" t="s">
        <v>57</v>
      </c>
      <c r="B79" s="98"/>
      <c r="C79" s="98"/>
      <c r="D79" s="48">
        <v>711</v>
      </c>
      <c r="E79" s="89">
        <v>15126.42</v>
      </c>
      <c r="F79" s="48">
        <v>13190</v>
      </c>
      <c r="G79" s="52">
        <v>351232.87</v>
      </c>
      <c r="H79" s="48">
        <v>13071</v>
      </c>
      <c r="I79" s="52">
        <v>421211.45</v>
      </c>
      <c r="J79" s="48">
        <v>2580</v>
      </c>
      <c r="K79" s="52">
        <v>54130.400000000001</v>
      </c>
      <c r="P79" s="84" t="s">
        <v>57</v>
      </c>
      <c r="Q79" s="82">
        <v>15126.49</v>
      </c>
      <c r="R79" s="83">
        <v>101588.33</v>
      </c>
      <c r="S79" s="83">
        <v>8680</v>
      </c>
      <c r="T79" s="83">
        <v>55787.89</v>
      </c>
      <c r="U79" s="104">
        <v>185176.65</v>
      </c>
    </row>
    <row r="80" spans="1:21" x14ac:dyDescent="0.25">
      <c r="A80" s="98" t="s">
        <v>32</v>
      </c>
      <c r="B80" s="98"/>
      <c r="C80" s="98"/>
      <c r="D80" s="48"/>
      <c r="E80" s="89"/>
      <c r="F80" s="48">
        <v>769</v>
      </c>
      <c r="G80" s="52">
        <v>28748.71</v>
      </c>
      <c r="H80" s="48">
        <v>119</v>
      </c>
      <c r="I80" s="52">
        <v>2449.65</v>
      </c>
      <c r="J80" s="48"/>
      <c r="K80" s="52"/>
    </row>
    <row r="81" spans="1:13" x14ac:dyDescent="0.25">
      <c r="A81" s="99" t="s">
        <v>42</v>
      </c>
      <c r="B81" s="99"/>
      <c r="C81" s="99"/>
      <c r="D81" s="48"/>
      <c r="E81" s="89"/>
      <c r="F81" s="48">
        <v>100</v>
      </c>
      <c r="G81" s="52">
        <v>3358</v>
      </c>
      <c r="H81" s="48"/>
      <c r="I81" s="52"/>
      <c r="J81" s="48"/>
      <c r="K81" s="52"/>
    </row>
    <row r="82" spans="1:13" x14ac:dyDescent="0.25">
      <c r="A82" s="98" t="s">
        <v>166</v>
      </c>
      <c r="B82" s="98"/>
      <c r="C82" s="98"/>
      <c r="D82" s="48"/>
      <c r="E82" s="89"/>
      <c r="F82" s="48"/>
      <c r="G82" s="52"/>
      <c r="H82" s="48">
        <v>300</v>
      </c>
      <c r="I82" s="52">
        <v>12768.5</v>
      </c>
      <c r="J82" s="48"/>
      <c r="K82" s="52"/>
    </row>
    <row r="83" spans="1:13" x14ac:dyDescent="0.25">
      <c r="A83" s="98" t="s">
        <v>34</v>
      </c>
      <c r="B83" s="98"/>
      <c r="C83" s="98"/>
      <c r="D83" s="48"/>
      <c r="E83" s="89"/>
      <c r="F83" s="48"/>
      <c r="G83" s="52"/>
      <c r="H83" s="48">
        <v>10</v>
      </c>
      <c r="I83" s="52">
        <v>16484</v>
      </c>
      <c r="J83" s="48"/>
      <c r="K83" s="52"/>
    </row>
    <row r="84" spans="1:13" x14ac:dyDescent="0.25">
      <c r="A84" s="99" t="s">
        <v>209</v>
      </c>
      <c r="B84" s="99"/>
      <c r="C84" s="99"/>
      <c r="D84" s="48"/>
      <c r="E84" s="89"/>
      <c r="F84" s="48">
        <v>20</v>
      </c>
      <c r="G84" s="52">
        <v>18402</v>
      </c>
      <c r="H84" s="48"/>
      <c r="I84" s="52"/>
      <c r="J84" s="48"/>
      <c r="K84" s="52"/>
    </row>
    <row r="85" spans="1:13" x14ac:dyDescent="0.25">
      <c r="A85" s="99" t="s">
        <v>158</v>
      </c>
      <c r="B85" s="99"/>
      <c r="C85" s="99"/>
      <c r="D85" s="48"/>
      <c r="E85" s="89"/>
      <c r="F85" s="48">
        <v>60</v>
      </c>
      <c r="G85" s="52">
        <v>2138.4</v>
      </c>
      <c r="H85" s="48"/>
      <c r="I85" s="52"/>
      <c r="J85" s="48"/>
      <c r="K85" s="52"/>
    </row>
    <row r="86" spans="1:13" x14ac:dyDescent="0.25">
      <c r="A86" s="98" t="s">
        <v>9</v>
      </c>
      <c r="B86" s="98"/>
      <c r="C86" s="98"/>
      <c r="D86" s="48"/>
      <c r="E86" s="89"/>
      <c r="F86" s="48">
        <v>667</v>
      </c>
      <c r="G86" s="52">
        <v>36403.5</v>
      </c>
      <c r="H86" s="48">
        <v>160</v>
      </c>
      <c r="I86" s="52">
        <v>9732.7999999999993</v>
      </c>
      <c r="J86" s="48">
        <v>50</v>
      </c>
      <c r="K86" s="52">
        <v>1189</v>
      </c>
    </row>
    <row r="87" spans="1:13" x14ac:dyDescent="0.25">
      <c r="A87" s="98" t="s">
        <v>211</v>
      </c>
      <c r="B87" s="98"/>
      <c r="C87" s="98"/>
      <c r="D87" s="48"/>
      <c r="E87" s="89"/>
      <c r="F87" s="48"/>
      <c r="G87" s="52"/>
      <c r="H87" s="48">
        <v>100</v>
      </c>
      <c r="I87" s="52">
        <v>2989</v>
      </c>
      <c r="J87" s="48"/>
      <c r="K87" s="52"/>
    </row>
    <row r="88" spans="1:13" x14ac:dyDescent="0.25">
      <c r="A88" s="98" t="s">
        <v>16</v>
      </c>
      <c r="B88" s="98"/>
      <c r="C88" s="98"/>
      <c r="D88" s="48">
        <v>38</v>
      </c>
      <c r="E88" s="89">
        <v>2886.48</v>
      </c>
      <c r="F88" s="48"/>
      <c r="G88" s="52"/>
      <c r="H88" s="48"/>
      <c r="I88" s="52"/>
      <c r="J88" s="48"/>
      <c r="K88" s="52"/>
    </row>
    <row r="89" spans="1:13" ht="15.75" thickBot="1" x14ac:dyDescent="0.3">
      <c r="A89" s="100"/>
      <c r="B89" s="100"/>
      <c r="C89" s="100"/>
      <c r="D89" s="49"/>
      <c r="E89" s="90">
        <f>SUM(E79:E86)</f>
        <v>15126.42</v>
      </c>
      <c r="F89" s="49"/>
      <c r="G89" s="60">
        <f>SUM(G79:G88)</f>
        <v>440283.48000000004</v>
      </c>
      <c r="H89" s="49"/>
      <c r="I89" s="60">
        <f>SUM(I79:I87)</f>
        <v>465635.4</v>
      </c>
      <c r="J89" s="49"/>
      <c r="K89" s="60">
        <f>SUM(K79:K86)</f>
        <v>55319.4</v>
      </c>
    </row>
    <row r="90" spans="1:13" ht="15.75" thickBot="1" x14ac:dyDescent="0.3"/>
    <row r="91" spans="1:13" ht="27" thickBot="1" x14ac:dyDescent="0.3">
      <c r="A91" s="58"/>
      <c r="B91" s="58"/>
      <c r="C91" s="58"/>
      <c r="D91" s="333" t="s">
        <v>210</v>
      </c>
      <c r="E91" s="334"/>
      <c r="F91" s="334"/>
      <c r="G91" s="334"/>
      <c r="H91" s="334"/>
      <c r="I91" s="334"/>
      <c r="J91" s="334"/>
      <c r="K91" s="335"/>
      <c r="L91" s="96"/>
      <c r="M91" s="96"/>
    </row>
    <row r="92" spans="1:13" ht="19.5" thickBot="1" x14ac:dyDescent="0.3">
      <c r="A92" s="97"/>
      <c r="B92" s="215"/>
      <c r="C92" s="215"/>
      <c r="D92" s="323" t="s">
        <v>182</v>
      </c>
      <c r="E92" s="325"/>
      <c r="F92" s="321" t="s">
        <v>183</v>
      </c>
      <c r="G92" s="322"/>
      <c r="H92" s="323" t="s">
        <v>196</v>
      </c>
      <c r="I92" s="325"/>
      <c r="J92" s="323" t="s">
        <v>199</v>
      </c>
      <c r="K92" s="325"/>
      <c r="L92" s="95"/>
      <c r="M92" s="95"/>
    </row>
    <row r="93" spans="1:13" x14ac:dyDescent="0.25">
      <c r="A93" s="87" t="s">
        <v>7</v>
      </c>
      <c r="B93" s="87"/>
      <c r="C93" s="87"/>
      <c r="D93" s="87" t="s">
        <v>178</v>
      </c>
      <c r="E93" s="88" t="s">
        <v>173</v>
      </c>
      <c r="F93" s="87" t="s">
        <v>178</v>
      </c>
      <c r="G93" s="88" t="s">
        <v>173</v>
      </c>
      <c r="H93" s="87" t="s">
        <v>178</v>
      </c>
      <c r="I93" s="88" t="s">
        <v>173</v>
      </c>
      <c r="J93" s="87" t="s">
        <v>178</v>
      </c>
      <c r="K93" s="88" t="s">
        <v>173</v>
      </c>
      <c r="L93" s="19"/>
      <c r="M93" s="19"/>
    </row>
    <row r="94" spans="1:13" x14ac:dyDescent="0.25">
      <c r="A94" s="98" t="s">
        <v>57</v>
      </c>
      <c r="B94" s="98"/>
      <c r="C94" s="98"/>
      <c r="D94" s="48">
        <v>4543</v>
      </c>
      <c r="E94" s="89">
        <v>128346.65</v>
      </c>
      <c r="F94" s="48">
        <v>14705</v>
      </c>
      <c r="G94" s="52">
        <v>377141.92</v>
      </c>
      <c r="H94" s="48">
        <v>13071</v>
      </c>
      <c r="I94" s="52">
        <v>421211.45</v>
      </c>
      <c r="J94" s="48">
        <v>2280</v>
      </c>
      <c r="K94" s="52">
        <v>54130.400000000001</v>
      </c>
      <c r="L94" s="10"/>
      <c r="M94" s="62"/>
    </row>
    <row r="95" spans="1:13" x14ac:dyDescent="0.25">
      <c r="A95" s="98" t="s">
        <v>32</v>
      </c>
      <c r="B95" s="98"/>
      <c r="C95" s="98"/>
      <c r="D95" s="48">
        <v>204</v>
      </c>
      <c r="E95" s="89">
        <v>20340.900000000001</v>
      </c>
      <c r="F95" s="48">
        <v>769</v>
      </c>
      <c r="G95" s="52">
        <v>28748.71</v>
      </c>
      <c r="H95" s="48">
        <v>119</v>
      </c>
      <c r="I95" s="52">
        <v>2449.65</v>
      </c>
      <c r="J95" s="48"/>
      <c r="K95" s="52"/>
      <c r="L95" s="10"/>
      <c r="M95" s="62"/>
    </row>
    <row r="96" spans="1:13" x14ac:dyDescent="0.25">
      <c r="A96" s="99" t="s">
        <v>42</v>
      </c>
      <c r="B96" s="99"/>
      <c r="C96" s="99"/>
      <c r="D96" s="48">
        <v>60</v>
      </c>
      <c r="E96" s="89">
        <v>17340</v>
      </c>
      <c r="F96" s="48">
        <v>100</v>
      </c>
      <c r="G96" s="52">
        <v>3358</v>
      </c>
      <c r="H96" s="48"/>
      <c r="I96" s="52"/>
      <c r="J96" s="48"/>
      <c r="K96" s="52"/>
      <c r="L96" s="10"/>
      <c r="M96" s="62"/>
    </row>
    <row r="97" spans="1:13" x14ac:dyDescent="0.25">
      <c r="A97" s="98" t="s">
        <v>166</v>
      </c>
      <c r="B97" s="98"/>
      <c r="C97" s="98"/>
      <c r="D97" s="48"/>
      <c r="E97" s="89"/>
      <c r="F97" s="48"/>
      <c r="G97" s="52"/>
      <c r="H97" s="48">
        <v>150</v>
      </c>
      <c r="I97" s="52">
        <v>4778</v>
      </c>
      <c r="J97" s="48"/>
      <c r="K97" s="52"/>
      <c r="L97" s="10"/>
      <c r="M97" s="62"/>
    </row>
    <row r="98" spans="1:13" x14ac:dyDescent="0.25">
      <c r="A98" s="98" t="s">
        <v>34</v>
      </c>
      <c r="B98" s="98"/>
      <c r="C98" s="98"/>
      <c r="D98" s="48"/>
      <c r="E98" s="89"/>
      <c r="F98" s="48"/>
      <c r="G98" s="52"/>
      <c r="H98" s="48">
        <v>10</v>
      </c>
      <c r="I98" s="52">
        <v>16484</v>
      </c>
      <c r="J98" s="48"/>
      <c r="K98" s="52"/>
      <c r="L98" s="10"/>
      <c r="M98" s="62"/>
    </row>
    <row r="99" spans="1:13" x14ac:dyDescent="0.25">
      <c r="A99" s="99" t="s">
        <v>209</v>
      </c>
      <c r="B99" s="99"/>
      <c r="C99" s="99"/>
      <c r="D99" s="48"/>
      <c r="E99" s="89"/>
      <c r="F99" s="48">
        <v>20</v>
      </c>
      <c r="G99" s="52">
        <v>18402</v>
      </c>
      <c r="H99" s="48"/>
      <c r="I99" s="52"/>
      <c r="J99" s="48"/>
      <c r="K99" s="52"/>
      <c r="L99" s="10"/>
      <c r="M99" s="62"/>
    </row>
    <row r="100" spans="1:13" x14ac:dyDescent="0.25">
      <c r="A100" s="99" t="s">
        <v>158</v>
      </c>
      <c r="B100" s="99"/>
      <c r="C100" s="99"/>
      <c r="D100" s="48"/>
      <c r="E100" s="89"/>
      <c r="F100" s="48">
        <v>60</v>
      </c>
      <c r="G100" s="52">
        <v>2138.4</v>
      </c>
      <c r="H100" s="48"/>
      <c r="I100" s="52"/>
      <c r="J100" s="48"/>
      <c r="K100" s="52"/>
      <c r="L100" s="10"/>
      <c r="M100" s="62"/>
    </row>
    <row r="101" spans="1:13" x14ac:dyDescent="0.25">
      <c r="A101" s="98" t="s">
        <v>9</v>
      </c>
      <c r="B101" s="98"/>
      <c r="C101" s="98"/>
      <c r="D101" s="48"/>
      <c r="E101" s="89"/>
      <c r="F101" s="48">
        <v>797</v>
      </c>
      <c r="G101" s="52">
        <v>41317.72</v>
      </c>
      <c r="H101" s="48">
        <v>210</v>
      </c>
      <c r="I101" s="52">
        <v>10921.8</v>
      </c>
      <c r="J101" s="48"/>
      <c r="K101" s="52"/>
      <c r="L101" s="10"/>
      <c r="M101" s="62"/>
    </row>
    <row r="102" spans="1:13" x14ac:dyDescent="0.25">
      <c r="A102" s="98" t="s">
        <v>184</v>
      </c>
      <c r="B102" s="98"/>
      <c r="C102" s="98"/>
      <c r="D102" s="48">
        <v>80</v>
      </c>
      <c r="E102" s="89">
        <v>2496</v>
      </c>
      <c r="F102" s="48"/>
      <c r="G102" s="52"/>
      <c r="H102" s="48"/>
      <c r="I102" s="52"/>
      <c r="J102" s="48"/>
      <c r="K102" s="52"/>
      <c r="L102" s="10"/>
      <c r="M102" s="62"/>
    </row>
    <row r="103" spans="1:13" x14ac:dyDescent="0.25">
      <c r="A103" s="98"/>
      <c r="B103" s="98"/>
      <c r="C103" s="98"/>
      <c r="D103" s="48">
        <v>70</v>
      </c>
      <c r="E103" s="89">
        <v>5166</v>
      </c>
      <c r="F103" s="48">
        <v>59</v>
      </c>
      <c r="G103" s="52">
        <v>10633</v>
      </c>
      <c r="H103" s="48"/>
      <c r="I103" s="52"/>
      <c r="J103" s="48"/>
      <c r="K103" s="52"/>
      <c r="L103" s="10"/>
      <c r="M103" s="62"/>
    </row>
    <row r="104" spans="1:13" ht="15.75" thickBot="1" x14ac:dyDescent="0.3">
      <c r="A104" s="100"/>
      <c r="B104" s="100"/>
      <c r="C104" s="100"/>
      <c r="D104" s="49"/>
      <c r="E104" s="90">
        <f>SUM(E94:E101)</f>
        <v>166027.54999999999</v>
      </c>
      <c r="F104" s="49"/>
      <c r="G104" s="60">
        <f>SUM(G94:G103)</f>
        <v>481739.75</v>
      </c>
      <c r="H104" s="49"/>
      <c r="I104" s="60">
        <f>SUM(I94:I101)</f>
        <v>455844.9</v>
      </c>
      <c r="J104" s="49"/>
      <c r="K104" s="60">
        <f>SUM(K94:K101)</f>
        <v>54130.400000000001</v>
      </c>
      <c r="L104" s="10"/>
      <c r="M104" s="101"/>
    </row>
    <row r="106" spans="1:13" ht="27" thickBot="1" x14ac:dyDescent="0.3">
      <c r="A106" s="58"/>
      <c r="B106" s="58"/>
      <c r="C106" s="58"/>
      <c r="D106" s="331" t="s">
        <v>197</v>
      </c>
      <c r="E106" s="331"/>
      <c r="F106" s="331"/>
      <c r="G106" s="331"/>
      <c r="H106" s="331"/>
      <c r="I106" s="331"/>
      <c r="J106" s="331"/>
      <c r="K106" s="331"/>
      <c r="L106" s="331"/>
      <c r="M106" s="331"/>
    </row>
    <row r="107" spans="1:13" ht="19.5" thickBot="1" x14ac:dyDescent="0.3">
      <c r="A107" s="53"/>
      <c r="B107" s="97"/>
      <c r="C107" s="97"/>
      <c r="D107" s="327" t="s">
        <v>172</v>
      </c>
      <c r="E107" s="332"/>
      <c r="F107" s="327" t="s">
        <v>182</v>
      </c>
      <c r="G107" s="328"/>
      <c r="H107" s="327" t="s">
        <v>183</v>
      </c>
      <c r="I107" s="328"/>
      <c r="J107" s="327" t="s">
        <v>196</v>
      </c>
      <c r="K107" s="328"/>
      <c r="L107" s="327" t="s">
        <v>199</v>
      </c>
      <c r="M107" s="328"/>
    </row>
    <row r="108" spans="1:13" x14ac:dyDescent="0.25">
      <c r="A108" s="86" t="s">
        <v>7</v>
      </c>
      <c r="B108" s="87"/>
      <c r="C108" s="87"/>
      <c r="D108" s="87" t="s">
        <v>178</v>
      </c>
      <c r="E108" s="88" t="s">
        <v>173</v>
      </c>
      <c r="F108" s="87" t="s">
        <v>178</v>
      </c>
      <c r="G108" s="88" t="s">
        <v>173</v>
      </c>
      <c r="H108" s="87" t="s">
        <v>178</v>
      </c>
      <c r="I108" s="88" t="s">
        <v>173</v>
      </c>
      <c r="J108" s="87" t="s">
        <v>178</v>
      </c>
      <c r="K108" s="88" t="s">
        <v>173</v>
      </c>
      <c r="L108" s="87" t="s">
        <v>178</v>
      </c>
      <c r="M108" s="88" t="s">
        <v>173</v>
      </c>
    </row>
    <row r="109" spans="1:13" x14ac:dyDescent="0.25">
      <c r="A109" s="55" t="s">
        <v>57</v>
      </c>
      <c r="B109" s="98"/>
      <c r="C109" s="98"/>
      <c r="D109" s="48">
        <v>7013</v>
      </c>
      <c r="E109" s="89">
        <v>224294.31</v>
      </c>
      <c r="F109" s="48">
        <v>11256</v>
      </c>
      <c r="G109" s="52">
        <v>272058.63</v>
      </c>
      <c r="H109" s="48">
        <v>14505</v>
      </c>
      <c r="I109" s="52">
        <v>370121.92</v>
      </c>
      <c r="J109" s="48">
        <v>12971</v>
      </c>
      <c r="K109" s="52">
        <v>419673.45</v>
      </c>
      <c r="L109" s="48">
        <v>2280</v>
      </c>
      <c r="M109" s="52">
        <v>54130.400000000001</v>
      </c>
    </row>
    <row r="110" spans="1:13" x14ac:dyDescent="0.25">
      <c r="A110" s="55" t="s">
        <v>32</v>
      </c>
      <c r="B110" s="98"/>
      <c r="C110" s="98"/>
      <c r="D110" s="48">
        <v>301</v>
      </c>
      <c r="E110" s="89">
        <v>12440.54</v>
      </c>
      <c r="F110" s="48">
        <v>926</v>
      </c>
      <c r="G110" s="52">
        <v>122678.51</v>
      </c>
      <c r="H110" s="48">
        <v>200</v>
      </c>
      <c r="I110" s="52">
        <v>16263</v>
      </c>
      <c r="J110" s="48"/>
      <c r="K110" s="52"/>
      <c r="L110" s="48"/>
      <c r="M110" s="52"/>
    </row>
    <row r="111" spans="1:13" x14ac:dyDescent="0.25">
      <c r="A111" s="56" t="s">
        <v>42</v>
      </c>
      <c r="B111" s="99"/>
      <c r="C111" s="99"/>
      <c r="D111" s="48">
        <v>141</v>
      </c>
      <c r="E111" s="89">
        <v>4388.58</v>
      </c>
      <c r="F111" s="48">
        <v>200</v>
      </c>
      <c r="G111" s="52">
        <v>10051</v>
      </c>
      <c r="H111" s="48"/>
      <c r="I111" s="52"/>
      <c r="J111" s="48"/>
      <c r="K111" s="52"/>
      <c r="L111" s="48"/>
      <c r="M111" s="52"/>
    </row>
    <row r="112" spans="1:13" x14ac:dyDescent="0.25">
      <c r="A112" s="55" t="s">
        <v>166</v>
      </c>
      <c r="B112" s="98"/>
      <c r="C112" s="98"/>
      <c r="D112" s="48">
        <v>11</v>
      </c>
      <c r="E112" s="89">
        <v>457.01</v>
      </c>
      <c r="F112" s="48">
        <v>450</v>
      </c>
      <c r="G112" s="52">
        <v>19133.400000000001</v>
      </c>
      <c r="H112" s="48"/>
      <c r="I112" s="52"/>
      <c r="J112" s="48"/>
      <c r="K112" s="52"/>
      <c r="L112" s="48"/>
      <c r="M112" s="52"/>
    </row>
    <row r="113" spans="1:13" x14ac:dyDescent="0.25">
      <c r="A113" s="55" t="s">
        <v>34</v>
      </c>
      <c r="B113" s="98"/>
      <c r="C113" s="98"/>
      <c r="D113" s="48"/>
      <c r="E113" s="89"/>
      <c r="F113" s="48">
        <v>7</v>
      </c>
      <c r="G113" s="52">
        <v>6614</v>
      </c>
      <c r="H113" s="48">
        <v>10</v>
      </c>
      <c r="I113" s="52">
        <v>16484</v>
      </c>
      <c r="J113" s="48"/>
      <c r="K113" s="52"/>
      <c r="L113" s="48"/>
      <c r="M113" s="52"/>
    </row>
    <row r="114" spans="1:13" x14ac:dyDescent="0.25">
      <c r="A114" s="56" t="s">
        <v>31</v>
      </c>
      <c r="B114" s="99"/>
      <c r="C114" s="99"/>
      <c r="D114" s="48"/>
      <c r="E114" s="89"/>
      <c r="F114" s="48">
        <v>170</v>
      </c>
      <c r="G114" s="52">
        <v>9576.1200000000008</v>
      </c>
      <c r="H114" s="48"/>
      <c r="I114" s="52"/>
      <c r="J114" s="48"/>
      <c r="K114" s="52"/>
      <c r="L114" s="48"/>
      <c r="M114" s="52"/>
    </row>
    <row r="115" spans="1:13" x14ac:dyDescent="0.25">
      <c r="A115" s="56" t="s">
        <v>158</v>
      </c>
      <c r="B115" s="99"/>
      <c r="C115" s="99"/>
      <c r="D115" s="48"/>
      <c r="E115" s="89"/>
      <c r="F115" s="48">
        <v>200</v>
      </c>
      <c r="G115" s="52">
        <v>7646</v>
      </c>
      <c r="H115" s="48"/>
      <c r="I115" s="52"/>
      <c r="J115" s="48"/>
      <c r="K115" s="52"/>
      <c r="L115" s="48"/>
      <c r="M115" s="52"/>
    </row>
    <row r="116" spans="1:13" x14ac:dyDescent="0.25">
      <c r="A116" s="55" t="s">
        <v>9</v>
      </c>
      <c r="B116" s="98"/>
      <c r="C116" s="98"/>
      <c r="D116" s="48">
        <v>44</v>
      </c>
      <c r="E116" s="89">
        <v>642.4</v>
      </c>
      <c r="F116" s="48">
        <v>531</v>
      </c>
      <c r="G116" s="52">
        <v>13499.4</v>
      </c>
      <c r="H116" s="48">
        <v>50</v>
      </c>
      <c r="I116" s="52">
        <v>1189</v>
      </c>
      <c r="J116" s="48"/>
      <c r="K116" s="52"/>
      <c r="L116" s="48"/>
      <c r="M116" s="52"/>
    </row>
    <row r="117" spans="1:13" x14ac:dyDescent="0.25">
      <c r="A117" s="55" t="s">
        <v>198</v>
      </c>
      <c r="B117" s="98"/>
      <c r="C117" s="98"/>
      <c r="D117" s="48"/>
      <c r="E117" s="89"/>
      <c r="F117" s="48">
        <v>20</v>
      </c>
      <c r="G117" s="52">
        <v>574.79999999999995</v>
      </c>
      <c r="H117" s="48"/>
      <c r="I117" s="52"/>
      <c r="J117" s="48"/>
      <c r="K117" s="52"/>
      <c r="L117" s="48"/>
      <c r="M117" s="52"/>
    </row>
    <row r="118" spans="1:13" x14ac:dyDescent="0.25">
      <c r="A118" s="55" t="s">
        <v>184</v>
      </c>
      <c r="B118" s="98"/>
      <c r="C118" s="98"/>
      <c r="D118" s="48"/>
      <c r="E118" s="89"/>
      <c r="F118" s="48">
        <v>80</v>
      </c>
      <c r="G118" s="52">
        <v>2496</v>
      </c>
      <c r="H118" s="48"/>
      <c r="I118" s="52"/>
      <c r="J118" s="48"/>
      <c r="K118" s="52"/>
      <c r="L118" s="48"/>
      <c r="M118" s="52"/>
    </row>
    <row r="119" spans="1:13" x14ac:dyDescent="0.25">
      <c r="A119" s="55"/>
      <c r="B119" s="98"/>
      <c r="C119" s="98"/>
      <c r="D119" s="48"/>
      <c r="E119" s="89"/>
      <c r="F119" s="48"/>
      <c r="G119" s="52"/>
      <c r="H119" s="48"/>
      <c r="I119" s="52"/>
      <c r="J119" s="48"/>
      <c r="K119" s="52"/>
      <c r="L119" s="48"/>
      <c r="M119" s="52"/>
    </row>
    <row r="120" spans="1:13" x14ac:dyDescent="0.25">
      <c r="A120" s="55" t="s">
        <v>186</v>
      </c>
      <c r="B120" s="98"/>
      <c r="C120" s="98"/>
      <c r="D120" s="48"/>
      <c r="E120" s="89"/>
      <c r="F120" s="48"/>
      <c r="G120" s="52"/>
      <c r="H120" s="48"/>
      <c r="I120" s="52"/>
      <c r="J120" s="48"/>
      <c r="K120" s="52"/>
      <c r="L120" s="48"/>
      <c r="M120" s="52"/>
    </row>
    <row r="121" spans="1:13" ht="15.75" thickBot="1" x14ac:dyDescent="0.3">
      <c r="A121" s="57"/>
      <c r="B121" s="100"/>
      <c r="C121" s="100"/>
      <c r="D121" s="49"/>
      <c r="E121" s="90">
        <f>SUM(E109:E117)</f>
        <v>242222.84</v>
      </c>
      <c r="F121" s="49"/>
      <c r="G121" s="60">
        <f>SUM(G109:G118)</f>
        <v>464327.86000000004</v>
      </c>
      <c r="H121" s="49"/>
      <c r="I121" s="60">
        <f>SUM(I109:I117)</f>
        <v>404057.92</v>
      </c>
      <c r="J121" s="49"/>
      <c r="K121" s="60">
        <f>SUM(K109:K117)</f>
        <v>419673.45</v>
      </c>
      <c r="L121" s="49"/>
      <c r="M121" s="60">
        <f>SUM(M109:M117)</f>
        <v>54130.400000000001</v>
      </c>
    </row>
    <row r="123" spans="1:13" ht="27" thickBot="1" x14ac:dyDescent="0.3">
      <c r="A123" s="58"/>
      <c r="B123" s="58"/>
      <c r="C123" s="58"/>
      <c r="D123" s="331" t="s">
        <v>187</v>
      </c>
      <c r="E123" s="331"/>
      <c r="F123" s="331"/>
      <c r="G123" s="331"/>
      <c r="H123" s="331"/>
      <c r="I123" s="331"/>
      <c r="J123" s="331"/>
      <c r="K123" s="331"/>
    </row>
    <row r="124" spans="1:13" ht="18.75" x14ac:dyDescent="0.25">
      <c r="A124" s="53"/>
      <c r="B124" s="97"/>
      <c r="C124" s="97"/>
      <c r="D124" s="327" t="s">
        <v>171</v>
      </c>
      <c r="E124" s="332"/>
      <c r="F124" s="327" t="s">
        <v>172</v>
      </c>
      <c r="G124" s="328"/>
      <c r="H124" s="327" t="s">
        <v>182</v>
      </c>
      <c r="I124" s="328"/>
      <c r="J124" s="327" t="s">
        <v>183</v>
      </c>
      <c r="K124" s="328"/>
    </row>
    <row r="125" spans="1:13" x14ac:dyDescent="0.25">
      <c r="A125" s="54" t="s">
        <v>7</v>
      </c>
      <c r="B125" s="46"/>
      <c r="C125" s="46"/>
      <c r="D125" s="46" t="s">
        <v>178</v>
      </c>
      <c r="E125" s="50" t="s">
        <v>173</v>
      </c>
      <c r="F125" s="46" t="s">
        <v>178</v>
      </c>
      <c r="G125" s="47" t="s">
        <v>173</v>
      </c>
      <c r="H125" s="46" t="s">
        <v>178</v>
      </c>
      <c r="I125" s="47" t="s">
        <v>173</v>
      </c>
      <c r="J125" s="46" t="s">
        <v>178</v>
      </c>
      <c r="K125" s="47" t="s">
        <v>173</v>
      </c>
    </row>
    <row r="126" spans="1:13" x14ac:dyDescent="0.25">
      <c r="A126" s="55" t="s">
        <v>57</v>
      </c>
      <c r="B126" s="98"/>
      <c r="C126" s="98"/>
      <c r="D126" s="48">
        <v>3997</v>
      </c>
      <c r="E126" s="51">
        <v>135687</v>
      </c>
      <c r="F126" s="48">
        <v>21585</v>
      </c>
      <c r="G126" s="52">
        <v>531342.55000000005</v>
      </c>
      <c r="H126" s="48">
        <v>12816</v>
      </c>
      <c r="I126" s="52">
        <v>469892.91</v>
      </c>
      <c r="J126" s="48">
        <v>500</v>
      </c>
      <c r="K126" s="52">
        <v>36887</v>
      </c>
    </row>
    <row r="127" spans="1:13" x14ac:dyDescent="0.25">
      <c r="A127" s="55" t="s">
        <v>32</v>
      </c>
      <c r="B127" s="98"/>
      <c r="C127" s="98"/>
      <c r="D127" s="48">
        <v>814</v>
      </c>
      <c r="E127" s="51">
        <v>23506.93</v>
      </c>
      <c r="F127" s="48">
        <v>1205</v>
      </c>
      <c r="G127" s="52">
        <v>154269.44</v>
      </c>
      <c r="H127" s="48">
        <v>798</v>
      </c>
      <c r="I127" s="52">
        <v>123387.24</v>
      </c>
      <c r="J127" s="48">
        <v>0</v>
      </c>
      <c r="K127" s="52"/>
    </row>
    <row r="128" spans="1:13" x14ac:dyDescent="0.25">
      <c r="A128" s="56" t="s">
        <v>42</v>
      </c>
      <c r="B128" s="99"/>
      <c r="C128" s="99"/>
      <c r="D128" s="48">
        <v>85</v>
      </c>
      <c r="E128" s="51">
        <v>4188.3</v>
      </c>
      <c r="F128" s="48">
        <v>160</v>
      </c>
      <c r="G128" s="52">
        <v>4795.2</v>
      </c>
      <c r="H128" s="48">
        <v>0</v>
      </c>
      <c r="I128" s="52"/>
      <c r="J128" s="48">
        <v>0</v>
      </c>
      <c r="K128" s="52"/>
    </row>
    <row r="129" spans="1:13" x14ac:dyDescent="0.25">
      <c r="A129" s="55" t="s">
        <v>166</v>
      </c>
      <c r="B129" s="98"/>
      <c r="C129" s="98"/>
      <c r="D129" s="48">
        <v>900</v>
      </c>
      <c r="E129" s="51">
        <v>26185</v>
      </c>
      <c r="F129" s="48">
        <v>1540</v>
      </c>
      <c r="G129" s="52">
        <v>34727.4</v>
      </c>
      <c r="H129" s="48">
        <v>0</v>
      </c>
      <c r="I129" s="52"/>
      <c r="J129" s="48">
        <v>0</v>
      </c>
      <c r="K129" s="52"/>
    </row>
    <row r="130" spans="1:13" x14ac:dyDescent="0.25">
      <c r="A130" s="55" t="s">
        <v>34</v>
      </c>
      <c r="B130" s="98"/>
      <c r="C130" s="98"/>
      <c r="D130" s="48">
        <v>0</v>
      </c>
      <c r="E130" s="51"/>
      <c r="F130" s="48">
        <v>0</v>
      </c>
      <c r="G130" s="52"/>
      <c r="H130" s="48">
        <v>2</v>
      </c>
      <c r="I130" s="52">
        <v>6580</v>
      </c>
      <c r="J130" s="48" t="e">
        <f>SUM(Entregues!#REF!)</f>
        <v>#REF!</v>
      </c>
      <c r="K130" s="52"/>
    </row>
    <row r="131" spans="1:13" x14ac:dyDescent="0.25">
      <c r="A131" s="56" t="s">
        <v>31</v>
      </c>
      <c r="B131" s="99"/>
      <c r="C131" s="99"/>
      <c r="D131" s="48">
        <v>140</v>
      </c>
      <c r="E131" s="51">
        <v>7644.7</v>
      </c>
      <c r="F131" s="48">
        <v>0</v>
      </c>
      <c r="G131" s="52"/>
      <c r="H131" s="48">
        <v>0</v>
      </c>
      <c r="I131" s="52"/>
      <c r="J131" s="48">
        <v>0</v>
      </c>
      <c r="K131" s="52"/>
    </row>
    <row r="132" spans="1:13" x14ac:dyDescent="0.25">
      <c r="A132" s="1" t="s">
        <v>158</v>
      </c>
      <c r="B132" s="1"/>
      <c r="C132" s="1"/>
      <c r="D132" s="81">
        <v>36</v>
      </c>
      <c r="E132" s="82">
        <v>1376.28</v>
      </c>
      <c r="F132" s="81" t="e">
        <f>SUM(Entregues!#REF!)</f>
        <v>#REF!</v>
      </c>
      <c r="G132" s="83"/>
      <c r="H132" s="81">
        <v>0</v>
      </c>
      <c r="I132" s="83"/>
      <c r="J132" s="81">
        <v>0</v>
      </c>
      <c r="K132" s="83"/>
    </row>
    <row r="133" spans="1:13" x14ac:dyDescent="0.25">
      <c r="A133" s="84" t="s">
        <v>9</v>
      </c>
      <c r="B133" s="84"/>
      <c r="C133" s="84"/>
      <c r="D133" s="81">
        <v>270</v>
      </c>
      <c r="E133" s="82">
        <v>9530.2999999999993</v>
      </c>
      <c r="F133" s="81">
        <v>724</v>
      </c>
      <c r="G133" s="83">
        <v>30733.5</v>
      </c>
      <c r="H133" s="81">
        <v>80</v>
      </c>
      <c r="I133" s="83">
        <v>4866.3999999999996</v>
      </c>
      <c r="J133" s="81">
        <v>0</v>
      </c>
      <c r="K133" s="83"/>
    </row>
    <row r="134" spans="1:13" x14ac:dyDescent="0.25">
      <c r="A134" s="84" t="s">
        <v>16</v>
      </c>
      <c r="B134" s="84"/>
      <c r="C134" s="84"/>
      <c r="D134" s="81">
        <v>674</v>
      </c>
      <c r="E134" s="82">
        <v>90403.95</v>
      </c>
      <c r="F134" s="81">
        <v>1418</v>
      </c>
      <c r="G134" s="83">
        <v>154148.85999999999</v>
      </c>
      <c r="H134" s="81">
        <v>0</v>
      </c>
      <c r="I134" s="83"/>
      <c r="J134" s="81">
        <v>150</v>
      </c>
      <c r="K134" s="83">
        <v>22741</v>
      </c>
    </row>
    <row r="135" spans="1:13" x14ac:dyDescent="0.25">
      <c r="A135" s="84" t="s">
        <v>184</v>
      </c>
      <c r="B135" s="84"/>
      <c r="C135" s="84"/>
      <c r="D135" s="81">
        <v>0</v>
      </c>
      <c r="E135" s="82"/>
      <c r="F135" s="81">
        <v>30</v>
      </c>
      <c r="G135" s="83">
        <v>1653.9</v>
      </c>
      <c r="H135" s="81">
        <v>0</v>
      </c>
      <c r="I135" s="83"/>
      <c r="J135" s="81">
        <v>0</v>
      </c>
      <c r="K135" s="83"/>
    </row>
    <row r="136" spans="1:13" x14ac:dyDescent="0.25">
      <c r="A136" s="84" t="s">
        <v>185</v>
      </c>
      <c r="B136" s="84"/>
      <c r="C136" s="84"/>
      <c r="D136" s="81">
        <v>50</v>
      </c>
      <c r="E136" s="82">
        <v>9075</v>
      </c>
      <c r="F136" s="81">
        <v>0</v>
      </c>
      <c r="G136" s="83"/>
      <c r="H136" s="81">
        <v>0</v>
      </c>
      <c r="I136" s="83"/>
      <c r="J136" s="81">
        <v>0</v>
      </c>
      <c r="K136" s="83"/>
    </row>
    <row r="137" spans="1:13" x14ac:dyDescent="0.25">
      <c r="A137" s="84" t="s">
        <v>186</v>
      </c>
      <c r="B137" s="84"/>
      <c r="C137" s="84"/>
      <c r="D137" s="81">
        <v>100</v>
      </c>
      <c r="E137" s="82">
        <v>6432</v>
      </c>
      <c r="F137" s="81">
        <v>0</v>
      </c>
      <c r="G137" s="83"/>
      <c r="H137" s="81">
        <v>0</v>
      </c>
      <c r="I137" s="83"/>
      <c r="J137" s="81">
        <v>0</v>
      </c>
      <c r="K137" s="83"/>
    </row>
    <row r="138" spans="1:13" ht="15.75" thickBot="1" x14ac:dyDescent="0.3">
      <c r="A138" s="57"/>
      <c r="B138" s="100"/>
      <c r="C138" s="100"/>
      <c r="D138" s="49"/>
      <c r="E138" s="59">
        <f>SUM(E126:E134)</f>
        <v>298522.45999999996</v>
      </c>
      <c r="F138" s="49"/>
      <c r="G138" s="60">
        <f>SUM(G126:G134)</f>
        <v>910016.95</v>
      </c>
      <c r="H138" s="49"/>
      <c r="I138" s="60">
        <f>SUM(I126:I134)</f>
        <v>604726.55000000005</v>
      </c>
      <c r="J138" s="49"/>
      <c r="K138" s="60">
        <f>SUM(K126:K134)</f>
        <v>59628</v>
      </c>
    </row>
    <row r="140" spans="1:13" ht="27" thickBot="1" x14ac:dyDescent="0.3">
      <c r="A140" s="58"/>
      <c r="B140" s="58"/>
      <c r="C140" s="58"/>
      <c r="D140" s="331" t="s">
        <v>174</v>
      </c>
      <c r="E140" s="331"/>
      <c r="F140" s="331"/>
      <c r="G140" s="331"/>
      <c r="H140" s="331"/>
      <c r="I140" s="331"/>
      <c r="J140" s="331"/>
      <c r="K140" s="331"/>
      <c r="L140" s="331"/>
      <c r="M140" s="331"/>
    </row>
    <row r="141" spans="1:13" ht="18.75" x14ac:dyDescent="0.25">
      <c r="A141" s="53"/>
      <c r="B141" s="97"/>
      <c r="C141" s="97"/>
      <c r="D141" s="327" t="s">
        <v>169</v>
      </c>
      <c r="E141" s="332"/>
      <c r="F141" s="327" t="s">
        <v>168</v>
      </c>
      <c r="G141" s="328"/>
      <c r="H141" s="327" t="s">
        <v>170</v>
      </c>
      <c r="I141" s="328"/>
      <c r="J141" s="327" t="s">
        <v>171</v>
      </c>
      <c r="K141" s="328"/>
      <c r="L141" s="327" t="s">
        <v>172</v>
      </c>
      <c r="M141" s="328"/>
    </row>
    <row r="142" spans="1:13" x14ac:dyDescent="0.25">
      <c r="A142" s="54" t="s">
        <v>7</v>
      </c>
      <c r="B142" s="46"/>
      <c r="C142" s="46"/>
      <c r="D142" s="46" t="s">
        <v>178</v>
      </c>
      <c r="E142" s="50" t="s">
        <v>173</v>
      </c>
      <c r="F142" s="46" t="s">
        <v>178</v>
      </c>
      <c r="G142" s="47" t="s">
        <v>173</v>
      </c>
      <c r="H142" s="46" t="s">
        <v>178</v>
      </c>
      <c r="I142" s="47" t="s">
        <v>173</v>
      </c>
      <c r="J142" s="46" t="s">
        <v>178</v>
      </c>
      <c r="K142" s="47" t="s">
        <v>173</v>
      </c>
      <c r="L142" s="46" t="s">
        <v>178</v>
      </c>
      <c r="M142" s="47" t="s">
        <v>173</v>
      </c>
    </row>
    <row r="143" spans="1:13" x14ac:dyDescent="0.25">
      <c r="A143" s="55" t="s">
        <v>57</v>
      </c>
      <c r="B143" s="98"/>
      <c r="C143" s="98"/>
      <c r="D143" s="48">
        <v>3304</v>
      </c>
      <c r="E143" s="51">
        <v>140564.25</v>
      </c>
      <c r="F143" s="48">
        <f>24039-1810</f>
        <v>22229</v>
      </c>
      <c r="G143" s="52">
        <f>752032.72-39317.3</f>
        <v>712715.41999999993</v>
      </c>
      <c r="H143" s="48">
        <v>20195</v>
      </c>
      <c r="I143" s="52">
        <v>534958.48</v>
      </c>
      <c r="J143" s="48">
        <v>6041</v>
      </c>
      <c r="K143" s="52">
        <v>204073.92</v>
      </c>
      <c r="L143" s="48">
        <v>1880</v>
      </c>
      <c r="M143" s="52">
        <v>36593.800000000003</v>
      </c>
    </row>
    <row r="144" spans="1:13" x14ac:dyDescent="0.25">
      <c r="A144" s="55" t="s">
        <v>32</v>
      </c>
      <c r="B144" s="98"/>
      <c r="C144" s="98"/>
      <c r="D144" s="48">
        <v>2127</v>
      </c>
      <c r="E144" s="51">
        <v>179313.89</v>
      </c>
      <c r="F144" s="48">
        <v>2234</v>
      </c>
      <c r="G144" s="52">
        <v>105192.79</v>
      </c>
      <c r="H144" s="48">
        <v>1451</v>
      </c>
      <c r="I144" s="52">
        <v>142911.6</v>
      </c>
      <c r="J144" s="48"/>
      <c r="K144" s="52">
        <v>0</v>
      </c>
      <c r="L144" s="48"/>
      <c r="M144" s="52">
        <v>0</v>
      </c>
    </row>
    <row r="145" spans="1:13" x14ac:dyDescent="0.25">
      <c r="A145" s="56" t="s">
        <v>42</v>
      </c>
      <c r="B145" s="99"/>
      <c r="C145" s="99"/>
      <c r="D145" s="48" t="e">
        <f>SUM(Entregues!#REF!)</f>
        <v>#REF!</v>
      </c>
      <c r="E145" s="51">
        <v>4495.5</v>
      </c>
      <c r="F145" s="48" t="e">
        <f>SUM(Entregues!#REF!)</f>
        <v>#REF!</v>
      </c>
      <c r="G145" s="52">
        <v>20288.22</v>
      </c>
      <c r="H145" s="48"/>
      <c r="I145" s="52">
        <v>0</v>
      </c>
      <c r="J145" s="48"/>
      <c r="K145" s="52">
        <v>0</v>
      </c>
      <c r="L145" s="48"/>
      <c r="M145" s="52">
        <v>0</v>
      </c>
    </row>
    <row r="146" spans="1:13" x14ac:dyDescent="0.25">
      <c r="A146" s="55" t="s">
        <v>166</v>
      </c>
      <c r="B146" s="98"/>
      <c r="C146" s="98"/>
      <c r="D146" s="48">
        <f>950-500-123-150</f>
        <v>177</v>
      </c>
      <c r="E146" s="51">
        <f>26167.25-(46.12*200)-(300*22.56)-1476-6426</f>
        <v>2273.25</v>
      </c>
      <c r="F146" s="48">
        <v>331</v>
      </c>
      <c r="G146" s="52">
        <v>17568.04</v>
      </c>
      <c r="H146" s="48">
        <v>2190</v>
      </c>
      <c r="I146" s="52">
        <v>51044.9</v>
      </c>
      <c r="J146" s="48"/>
      <c r="K146" s="52">
        <v>0</v>
      </c>
      <c r="L146" s="48"/>
      <c r="M146" s="52">
        <v>0</v>
      </c>
    </row>
    <row r="147" spans="1:13" x14ac:dyDescent="0.25">
      <c r="A147" s="55" t="s">
        <v>34</v>
      </c>
      <c r="B147" s="98"/>
      <c r="C147" s="98"/>
      <c r="D147" s="48"/>
      <c r="E147" s="51">
        <v>0</v>
      </c>
      <c r="F147" s="48"/>
      <c r="G147" s="52">
        <v>0</v>
      </c>
      <c r="H147" s="48" t="e">
        <f>SUM(Entregues!#REF!)</f>
        <v>#REF!</v>
      </c>
      <c r="I147" s="52">
        <v>1948</v>
      </c>
      <c r="J147" s="48" t="e">
        <f>SUM(Entregues!#REF!)</f>
        <v>#REF!</v>
      </c>
      <c r="K147" s="52">
        <v>6580</v>
      </c>
      <c r="L147" s="48"/>
      <c r="M147" s="52">
        <v>0</v>
      </c>
    </row>
    <row r="148" spans="1:13" x14ac:dyDescent="0.25">
      <c r="A148" s="56" t="s">
        <v>31</v>
      </c>
      <c r="B148" s="99"/>
      <c r="C148" s="99"/>
      <c r="D148" s="48"/>
      <c r="E148" s="51">
        <v>0</v>
      </c>
      <c r="F148" s="48" t="e">
        <f>SUM(Entregues!#REF!)</f>
        <v>#REF!</v>
      </c>
      <c r="G148" s="52">
        <v>20736</v>
      </c>
      <c r="H148" s="48"/>
      <c r="I148" s="52">
        <v>0</v>
      </c>
      <c r="J148" s="48"/>
      <c r="K148" s="52">
        <v>0</v>
      </c>
      <c r="L148" s="48"/>
      <c r="M148" s="52">
        <v>0</v>
      </c>
    </row>
    <row r="149" spans="1:13" x14ac:dyDescent="0.25">
      <c r="A149" s="56" t="s">
        <v>158</v>
      </c>
      <c r="B149" s="99"/>
      <c r="C149" s="99"/>
      <c r="D149" s="48"/>
      <c r="E149" s="51">
        <v>0</v>
      </c>
      <c r="F149" s="48" t="e">
        <f>SUM(Entregues!#REF!)</f>
        <v>#REF!</v>
      </c>
      <c r="G149" s="52">
        <v>6116.8</v>
      </c>
      <c r="H149" s="48"/>
      <c r="I149" s="52">
        <v>0</v>
      </c>
      <c r="J149" s="48"/>
      <c r="K149" s="52">
        <v>0</v>
      </c>
      <c r="L149" s="48"/>
      <c r="M149" s="52">
        <v>0</v>
      </c>
    </row>
    <row r="150" spans="1:13" x14ac:dyDescent="0.25">
      <c r="A150" s="55" t="s">
        <v>9</v>
      </c>
      <c r="B150" s="98"/>
      <c r="C150" s="98"/>
      <c r="D150" s="48"/>
      <c r="E150" s="51">
        <v>0</v>
      </c>
      <c r="F150" s="48" t="e">
        <f>SUM(Entregues!#REF!)</f>
        <v>#REF!</v>
      </c>
      <c r="G150" s="52">
        <v>24724</v>
      </c>
      <c r="H150" s="48"/>
      <c r="I150" s="52">
        <v>0</v>
      </c>
      <c r="J150" s="48"/>
      <c r="K150" s="52">
        <v>0</v>
      </c>
      <c r="L150" s="48"/>
      <c r="M150" s="52">
        <v>0</v>
      </c>
    </row>
    <row r="151" spans="1:13" x14ac:dyDescent="0.25">
      <c r="A151" s="55" t="s">
        <v>16</v>
      </c>
      <c r="B151" s="98"/>
      <c r="C151" s="98"/>
      <c r="D151" s="48">
        <v>257</v>
      </c>
      <c r="E151" s="51">
        <v>59524.95</v>
      </c>
      <c r="F151" s="48">
        <v>730</v>
      </c>
      <c r="G151" s="52">
        <v>17153.400000000001</v>
      </c>
      <c r="H151" s="48">
        <v>3</v>
      </c>
      <c r="I151" s="52">
        <v>207.18</v>
      </c>
      <c r="J151" s="48">
        <v>820</v>
      </c>
      <c r="K151" s="52">
        <v>124865.06</v>
      </c>
      <c r="L151" s="48">
        <v>1110</v>
      </c>
      <c r="M151" s="52">
        <v>127963.3</v>
      </c>
    </row>
    <row r="152" spans="1:13" ht="15.75" thickBot="1" x14ac:dyDescent="0.3">
      <c r="A152" s="57"/>
      <c r="B152" s="100"/>
      <c r="C152" s="100"/>
      <c r="D152" s="49"/>
      <c r="E152" s="59">
        <f>SUM(E143:E151)</f>
        <v>386171.84</v>
      </c>
      <c r="F152" s="49"/>
      <c r="G152" s="60">
        <f>SUM(G143:G151)</f>
        <v>924494.67</v>
      </c>
      <c r="H152" s="49"/>
      <c r="I152" s="60">
        <f>SUM(I143:I151)</f>
        <v>731070.16</v>
      </c>
      <c r="J152" s="49"/>
      <c r="K152" s="60">
        <f>SUM(K143:K151)</f>
        <v>335518.98</v>
      </c>
      <c r="L152" s="49"/>
      <c r="M152" s="60">
        <f>SUM(M143:M151)</f>
        <v>164557.1</v>
      </c>
    </row>
    <row r="153" spans="1:13" x14ac:dyDescent="0.25">
      <c r="A153"/>
      <c r="B153"/>
      <c r="C153"/>
      <c r="D153" s="40"/>
      <c r="E153" s="40"/>
      <c r="F153" s="40"/>
      <c r="G153"/>
      <c r="H153" s="40"/>
      <c r="I153"/>
      <c r="J153" s="40"/>
      <c r="K153"/>
      <c r="L153" s="40"/>
      <c r="M153"/>
    </row>
    <row r="154" spans="1:13" ht="27" thickBot="1" x14ac:dyDescent="0.3">
      <c r="A154" s="58"/>
      <c r="B154" s="58"/>
      <c r="C154" s="58"/>
      <c r="D154" s="331" t="s">
        <v>175</v>
      </c>
      <c r="E154" s="331"/>
      <c r="F154" s="331"/>
      <c r="G154" s="331"/>
      <c r="H154" s="331"/>
      <c r="I154" s="331"/>
      <c r="J154" s="326"/>
      <c r="K154" s="326"/>
      <c r="L154" s="10"/>
      <c r="M154" s="62"/>
    </row>
    <row r="155" spans="1:13" ht="18.75" x14ac:dyDescent="0.25">
      <c r="A155" s="53"/>
      <c r="B155" s="97"/>
      <c r="C155" s="97"/>
      <c r="D155" s="327" t="s">
        <v>168</v>
      </c>
      <c r="E155" s="328"/>
      <c r="F155" s="327" t="s">
        <v>170</v>
      </c>
      <c r="G155" s="328"/>
      <c r="H155" s="327" t="s">
        <v>171</v>
      </c>
      <c r="I155" s="328"/>
      <c r="J155" s="329" t="s">
        <v>172</v>
      </c>
      <c r="K155" s="330"/>
    </row>
    <row r="156" spans="1:13" x14ac:dyDescent="0.25">
      <c r="A156" s="54" t="s">
        <v>7</v>
      </c>
      <c r="B156" s="46"/>
      <c r="C156" s="46"/>
      <c r="D156" s="46" t="s">
        <v>178</v>
      </c>
      <c r="E156" s="47" t="s">
        <v>173</v>
      </c>
      <c r="F156" s="46" t="s">
        <v>178</v>
      </c>
      <c r="G156" s="47" t="s">
        <v>173</v>
      </c>
      <c r="H156" s="46" t="s">
        <v>178</v>
      </c>
      <c r="I156" s="50" t="s">
        <v>173</v>
      </c>
      <c r="J156" s="46" t="s">
        <v>178</v>
      </c>
      <c r="K156" s="65" t="s">
        <v>173</v>
      </c>
    </row>
    <row r="157" spans="1:13" x14ac:dyDescent="0.25">
      <c r="A157" s="55" t="s">
        <v>57</v>
      </c>
      <c r="B157" s="98"/>
      <c r="C157" s="98"/>
      <c r="D157" s="48">
        <v>30243</v>
      </c>
      <c r="E157" s="52">
        <v>849423.94</v>
      </c>
      <c r="F157" s="48">
        <v>18133</v>
      </c>
      <c r="G157" s="52">
        <v>544319.63</v>
      </c>
      <c r="H157" s="48">
        <v>15973</v>
      </c>
      <c r="I157" s="61">
        <v>473739.7</v>
      </c>
      <c r="J157" s="48">
        <v>28023</v>
      </c>
      <c r="K157" s="52">
        <v>847944.51</v>
      </c>
    </row>
    <row r="158" spans="1:13" x14ac:dyDescent="0.25">
      <c r="A158" s="55" t="s">
        <v>32</v>
      </c>
      <c r="B158" s="98"/>
      <c r="C158" s="98"/>
      <c r="D158" s="48">
        <v>2799</v>
      </c>
      <c r="E158" s="51">
        <v>158931.72</v>
      </c>
      <c r="F158" s="48">
        <v>2417</v>
      </c>
      <c r="G158" s="52">
        <v>107283.63</v>
      </c>
      <c r="H158" s="48">
        <v>1591</v>
      </c>
      <c r="I158" s="61">
        <v>22538.83</v>
      </c>
      <c r="J158" s="48">
        <v>1426</v>
      </c>
      <c r="K158" s="52">
        <v>74288.25</v>
      </c>
    </row>
    <row r="159" spans="1:13" x14ac:dyDescent="0.25">
      <c r="A159" s="56" t="s">
        <v>42</v>
      </c>
      <c r="B159" s="99"/>
      <c r="C159" s="99"/>
      <c r="D159" s="48">
        <v>960</v>
      </c>
      <c r="E159" s="52">
        <v>29384.9</v>
      </c>
      <c r="F159" s="48"/>
      <c r="G159" s="52"/>
      <c r="H159" s="48">
        <v>260</v>
      </c>
      <c r="I159" s="61">
        <v>8730.7999999999993</v>
      </c>
      <c r="J159" s="48">
        <v>875</v>
      </c>
      <c r="K159" s="52">
        <v>26482.5</v>
      </c>
    </row>
    <row r="160" spans="1:13" x14ac:dyDescent="0.25">
      <c r="A160" s="55" t="s">
        <v>166</v>
      </c>
      <c r="B160" s="98"/>
      <c r="C160" s="98"/>
      <c r="D160" s="48">
        <v>1400</v>
      </c>
      <c r="E160" s="52">
        <v>2716.5</v>
      </c>
      <c r="F160" s="48">
        <v>470</v>
      </c>
      <c r="G160" s="52">
        <v>15754</v>
      </c>
      <c r="H160" s="48">
        <v>2230</v>
      </c>
      <c r="I160" s="61">
        <v>54484.2</v>
      </c>
      <c r="J160" s="48">
        <v>4</v>
      </c>
      <c r="K160" s="52">
        <v>7554</v>
      </c>
    </row>
    <row r="161" spans="1:11" x14ac:dyDescent="0.25">
      <c r="A161" s="55" t="s">
        <v>34</v>
      </c>
      <c r="B161" s="98"/>
      <c r="C161" s="98"/>
      <c r="D161" s="48">
        <v>6</v>
      </c>
      <c r="E161" s="52">
        <v>15313.02</v>
      </c>
      <c r="F161" s="48"/>
      <c r="G161" s="52"/>
      <c r="H161" s="48">
        <v>14</v>
      </c>
      <c r="I161" s="61">
        <v>13700</v>
      </c>
      <c r="J161" s="48"/>
      <c r="K161" s="52"/>
    </row>
    <row r="162" spans="1:11" x14ac:dyDescent="0.25">
      <c r="A162" s="56" t="s">
        <v>31</v>
      </c>
      <c r="B162" s="99"/>
      <c r="C162" s="99"/>
      <c r="D162" s="48"/>
      <c r="E162" s="52"/>
      <c r="F162" s="48"/>
      <c r="G162" s="52"/>
      <c r="H162" s="48"/>
      <c r="I162" s="61"/>
      <c r="J162" s="48"/>
      <c r="K162" s="52"/>
    </row>
    <row r="163" spans="1:11" x14ac:dyDescent="0.25">
      <c r="A163" s="56" t="s">
        <v>176</v>
      </c>
      <c r="B163" s="99"/>
      <c r="C163" s="99"/>
      <c r="D163" s="48">
        <v>295</v>
      </c>
      <c r="E163" s="52">
        <v>9557.5</v>
      </c>
      <c r="F163" s="48">
        <v>50</v>
      </c>
      <c r="G163" s="52">
        <v>1500</v>
      </c>
      <c r="H163" s="48">
        <v>460</v>
      </c>
      <c r="I163" s="61">
        <v>16017.1</v>
      </c>
      <c r="J163" s="48"/>
      <c r="K163" s="52"/>
    </row>
    <row r="164" spans="1:11" x14ac:dyDescent="0.25">
      <c r="A164" s="55" t="s">
        <v>9</v>
      </c>
      <c r="B164" s="98"/>
      <c r="C164" s="98"/>
      <c r="D164" s="48">
        <v>1132</v>
      </c>
      <c r="E164" s="52">
        <v>45252.31</v>
      </c>
      <c r="F164" s="48">
        <v>1736</v>
      </c>
      <c r="G164" s="52">
        <v>51994.49</v>
      </c>
      <c r="H164" s="48">
        <v>179</v>
      </c>
      <c r="I164" s="61">
        <v>4145.9799999999996</v>
      </c>
      <c r="J164" s="48">
        <v>911</v>
      </c>
      <c r="K164" s="52">
        <v>45912.06</v>
      </c>
    </row>
    <row r="165" spans="1:11" x14ac:dyDescent="0.25">
      <c r="A165" s="55" t="s">
        <v>177</v>
      </c>
      <c r="B165" s="98"/>
      <c r="C165" s="98"/>
      <c r="D165" s="48">
        <v>121</v>
      </c>
      <c r="E165" s="52">
        <v>783.22</v>
      </c>
      <c r="F165" s="48"/>
      <c r="G165" s="52"/>
      <c r="H165" s="48"/>
      <c r="I165" s="61"/>
      <c r="J165" s="48">
        <v>100</v>
      </c>
      <c r="K165" s="52">
        <v>6482</v>
      </c>
    </row>
    <row r="166" spans="1:11" x14ac:dyDescent="0.25">
      <c r="A166" s="55" t="s">
        <v>16</v>
      </c>
      <c r="B166" s="98"/>
      <c r="C166" s="98"/>
      <c r="D166" s="48">
        <v>618</v>
      </c>
      <c r="E166" s="52">
        <v>28684.2</v>
      </c>
      <c r="F166" s="48">
        <v>971</v>
      </c>
      <c r="G166" s="52">
        <v>71960.03</v>
      </c>
      <c r="H166" s="48">
        <v>1520</v>
      </c>
      <c r="I166" s="61">
        <v>116387</v>
      </c>
      <c r="J166" s="48">
        <v>1150</v>
      </c>
      <c r="K166" s="52">
        <v>71903</v>
      </c>
    </row>
    <row r="167" spans="1:11" ht="15.75" thickBot="1" x14ac:dyDescent="0.3">
      <c r="A167" s="57"/>
      <c r="B167" s="100"/>
      <c r="C167" s="100"/>
      <c r="D167" s="49"/>
      <c r="E167" s="59">
        <f>SUM(E157:E166)</f>
        <v>1140047.3099999998</v>
      </c>
      <c r="F167" s="49"/>
      <c r="G167" s="60">
        <f>SUM(G157:G166)</f>
        <v>792811.78</v>
      </c>
      <c r="H167" s="49"/>
      <c r="I167" s="64">
        <f>SUM(I157:I166)</f>
        <v>709743.61</v>
      </c>
      <c r="J167" s="63"/>
      <c r="K167" s="66">
        <f>SUM(K157:K166)</f>
        <v>1080566.32</v>
      </c>
    </row>
  </sheetData>
  <mergeCells count="61">
    <mergeCell ref="F17:G17"/>
    <mergeCell ref="H17:I17"/>
    <mergeCell ref="J17:K17"/>
    <mergeCell ref="D58:E58"/>
    <mergeCell ref="F58:G58"/>
    <mergeCell ref="H58:I58"/>
    <mergeCell ref="D57:I57"/>
    <mergeCell ref="Q76:U76"/>
    <mergeCell ref="D76:K76"/>
    <mergeCell ref="D77:E77"/>
    <mergeCell ref="F77:G77"/>
    <mergeCell ref="H77:I77"/>
    <mergeCell ref="J77:K77"/>
    <mergeCell ref="L107:M107"/>
    <mergeCell ref="D106:M106"/>
    <mergeCell ref="D107:E107"/>
    <mergeCell ref="F107:G107"/>
    <mergeCell ref="H107:I107"/>
    <mergeCell ref="J107:K107"/>
    <mergeCell ref="D92:E92"/>
    <mergeCell ref="F92:G92"/>
    <mergeCell ref="H92:I92"/>
    <mergeCell ref="J92:K92"/>
    <mergeCell ref="D91:K91"/>
    <mergeCell ref="D123:K123"/>
    <mergeCell ref="D124:E124"/>
    <mergeCell ref="F124:G124"/>
    <mergeCell ref="H124:I124"/>
    <mergeCell ref="J124:K124"/>
    <mergeCell ref="D140:M140"/>
    <mergeCell ref="D141:E141"/>
    <mergeCell ref="L141:M141"/>
    <mergeCell ref="J141:K141"/>
    <mergeCell ref="H141:I141"/>
    <mergeCell ref="F141:G141"/>
    <mergeCell ref="D155:E155"/>
    <mergeCell ref="F155:G155"/>
    <mergeCell ref="H155:I155"/>
    <mergeCell ref="J155:K155"/>
    <mergeCell ref="D154:K154"/>
    <mergeCell ref="B1:I1"/>
    <mergeCell ref="D42:E42"/>
    <mergeCell ref="F42:G42"/>
    <mergeCell ref="H42:I42"/>
    <mergeCell ref="J42:K42"/>
    <mergeCell ref="B41:K41"/>
    <mergeCell ref="B42:C42"/>
    <mergeCell ref="B30:K30"/>
    <mergeCell ref="B31:C31"/>
    <mergeCell ref="D31:E31"/>
    <mergeCell ref="F31:G31"/>
    <mergeCell ref="H31:I31"/>
    <mergeCell ref="J31:K31"/>
    <mergeCell ref="B16:K16"/>
    <mergeCell ref="B17:C17"/>
    <mergeCell ref="D17:E17"/>
    <mergeCell ref="B2:C2"/>
    <mergeCell ref="D2:E2"/>
    <mergeCell ref="F2:G2"/>
    <mergeCell ref="H2:I2"/>
    <mergeCell ref="J2:K2"/>
  </mergeCells>
  <pageMargins left="0" right="0" top="0" bottom="0" header="0.31496062992125984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opLeftCell="A7" workbookViewId="0">
      <selection activeCell="D20" sqref="D20"/>
    </sheetView>
  </sheetViews>
  <sheetFormatPr defaultRowHeight="15" x14ac:dyDescent="0.25"/>
  <cols>
    <col min="3" max="3" width="15.85546875" style="142" bestFit="1" customWidth="1"/>
    <col min="4" max="4" width="28.7109375" style="40" bestFit="1" customWidth="1"/>
    <col min="5" max="5" width="13" style="40" customWidth="1"/>
    <col min="6" max="6" width="10.7109375" bestFit="1" customWidth="1"/>
  </cols>
  <sheetData>
    <row r="1" spans="1:6" ht="51.75" customHeight="1" thickBot="1" x14ac:dyDescent="0.3">
      <c r="A1" s="266" t="s">
        <v>255</v>
      </c>
      <c r="B1" s="267" t="s">
        <v>1</v>
      </c>
      <c r="C1" s="268" t="s">
        <v>426</v>
      </c>
      <c r="D1" s="267" t="s">
        <v>321</v>
      </c>
      <c r="E1" s="267" t="s">
        <v>256</v>
      </c>
      <c r="F1" s="267" t="s">
        <v>4</v>
      </c>
    </row>
    <row r="2" spans="1:6" ht="15.75" thickBot="1" x14ac:dyDescent="0.3">
      <c r="A2" s="174">
        <v>183436</v>
      </c>
      <c r="B2" s="175">
        <v>4</v>
      </c>
      <c r="C2" s="269">
        <v>725301025</v>
      </c>
      <c r="D2" s="176" t="s">
        <v>257</v>
      </c>
      <c r="E2" s="175">
        <v>551</v>
      </c>
      <c r="F2" s="286">
        <v>45299</v>
      </c>
    </row>
    <row r="3" spans="1:6" ht="15.75" thickBot="1" x14ac:dyDescent="0.3">
      <c r="A3" s="174">
        <v>184416</v>
      </c>
      <c r="B3" s="175">
        <v>8</v>
      </c>
      <c r="C3" s="269">
        <v>725392447</v>
      </c>
      <c r="D3" s="176" t="s">
        <v>326</v>
      </c>
      <c r="E3" s="175">
        <v>1500</v>
      </c>
      <c r="F3" s="286">
        <v>45299</v>
      </c>
    </row>
    <row r="4" spans="1:6" ht="15.75" thickBot="1" x14ac:dyDescent="0.3">
      <c r="A4" s="174">
        <v>184417</v>
      </c>
      <c r="B4" s="175">
        <v>8</v>
      </c>
      <c r="C4" s="269" t="s">
        <v>329</v>
      </c>
      <c r="D4" s="176" t="s">
        <v>330</v>
      </c>
      <c r="E4" s="175">
        <v>1000</v>
      </c>
      <c r="F4" s="286">
        <v>45320</v>
      </c>
    </row>
    <row r="5" spans="1:6" ht="15.75" thickBot="1" x14ac:dyDescent="0.3">
      <c r="A5" s="174">
        <v>185169</v>
      </c>
      <c r="B5" s="175">
        <v>1</v>
      </c>
      <c r="C5" s="269" t="s">
        <v>322</v>
      </c>
      <c r="D5" s="176" t="s">
        <v>323</v>
      </c>
      <c r="E5" s="175">
        <v>100</v>
      </c>
      <c r="F5" s="286">
        <v>45287</v>
      </c>
    </row>
    <row r="6" spans="1:6" ht="15.75" thickBot="1" x14ac:dyDescent="0.3">
      <c r="A6" s="174">
        <v>185089</v>
      </c>
      <c r="B6" s="175">
        <v>2</v>
      </c>
      <c r="C6" s="269" t="s">
        <v>286</v>
      </c>
      <c r="D6" s="176" t="s">
        <v>287</v>
      </c>
      <c r="E6" s="175">
        <v>183</v>
      </c>
      <c r="F6" s="286">
        <v>45294</v>
      </c>
    </row>
    <row r="7" spans="1:6" ht="15.75" thickBot="1" x14ac:dyDescent="0.3">
      <c r="A7" s="174">
        <v>185328</v>
      </c>
      <c r="B7" s="175">
        <v>3</v>
      </c>
      <c r="C7" s="269" t="s">
        <v>331</v>
      </c>
      <c r="D7" s="176" t="s">
        <v>332</v>
      </c>
      <c r="E7" s="175">
        <v>240</v>
      </c>
      <c r="F7" s="286">
        <v>45321</v>
      </c>
    </row>
    <row r="8" spans="1:6" ht="15.75" thickBot="1" x14ac:dyDescent="0.3">
      <c r="A8" s="174">
        <v>184857</v>
      </c>
      <c r="B8" s="175">
        <v>2</v>
      </c>
      <c r="C8" s="269" t="s">
        <v>331</v>
      </c>
      <c r="D8" s="176" t="s">
        <v>332</v>
      </c>
      <c r="E8" s="175">
        <v>100</v>
      </c>
      <c r="F8" s="286">
        <v>45322</v>
      </c>
    </row>
    <row r="9" spans="1:6" ht="15.75" thickBot="1" x14ac:dyDescent="0.3">
      <c r="A9" s="174">
        <v>184417</v>
      </c>
      <c r="B9" s="175">
        <v>18</v>
      </c>
      <c r="C9" s="269" t="s">
        <v>324</v>
      </c>
      <c r="D9" s="176" t="s">
        <v>325</v>
      </c>
      <c r="E9" s="175">
        <v>150</v>
      </c>
      <c r="F9" s="286">
        <v>45316</v>
      </c>
    </row>
    <row r="10" spans="1:6" ht="14.25" customHeight="1" thickBot="1" x14ac:dyDescent="0.3">
      <c r="A10" s="174">
        <v>184417</v>
      </c>
      <c r="B10" s="175">
        <v>20</v>
      </c>
      <c r="C10" s="269" t="s">
        <v>294</v>
      </c>
      <c r="D10" s="176" t="s">
        <v>295</v>
      </c>
      <c r="E10" s="175">
        <v>200</v>
      </c>
      <c r="F10" s="286">
        <v>45287</v>
      </c>
    </row>
    <row r="11" spans="1:6" ht="13.5" customHeight="1" thickBot="1" x14ac:dyDescent="0.3">
      <c r="A11" s="174">
        <v>183092</v>
      </c>
      <c r="B11" s="175">
        <v>11</v>
      </c>
      <c r="C11" s="269" t="s">
        <v>288</v>
      </c>
      <c r="D11" s="176" t="s">
        <v>289</v>
      </c>
      <c r="E11" s="175">
        <v>100</v>
      </c>
      <c r="F11" s="286">
        <v>45316</v>
      </c>
    </row>
    <row r="12" spans="1:6" ht="15.75" thickBot="1" x14ac:dyDescent="0.3">
      <c r="A12" s="174">
        <v>183790</v>
      </c>
      <c r="B12" s="175">
        <v>3</v>
      </c>
      <c r="C12" s="269" t="s">
        <v>288</v>
      </c>
      <c r="D12" s="176" t="s">
        <v>289</v>
      </c>
      <c r="E12" s="175">
        <v>100</v>
      </c>
      <c r="F12" s="286">
        <v>45316</v>
      </c>
    </row>
    <row r="13" spans="1:6" ht="15.75" thickBot="1" x14ac:dyDescent="0.3">
      <c r="A13" s="174">
        <v>184417</v>
      </c>
      <c r="B13" s="175">
        <v>21</v>
      </c>
      <c r="C13" s="269" t="s">
        <v>288</v>
      </c>
      <c r="D13" s="176" t="s">
        <v>289</v>
      </c>
      <c r="E13" s="175">
        <v>100</v>
      </c>
      <c r="F13" s="286">
        <v>45348</v>
      </c>
    </row>
    <row r="14" spans="1:6" ht="15.75" thickBot="1" x14ac:dyDescent="0.3">
      <c r="A14" s="174">
        <v>180913</v>
      </c>
      <c r="B14" s="175">
        <v>6</v>
      </c>
      <c r="C14" s="269" t="s">
        <v>258</v>
      </c>
      <c r="D14" s="176" t="s">
        <v>259</v>
      </c>
      <c r="E14" s="175">
        <v>200</v>
      </c>
      <c r="F14" s="286">
        <v>45287</v>
      </c>
    </row>
    <row r="15" spans="1:6" ht="15.75" thickBot="1" x14ac:dyDescent="0.3">
      <c r="A15" s="174">
        <v>183438</v>
      </c>
      <c r="B15" s="175">
        <v>11</v>
      </c>
      <c r="C15" s="269" t="s">
        <v>284</v>
      </c>
      <c r="D15" s="176" t="s">
        <v>285</v>
      </c>
      <c r="E15" s="175">
        <v>130</v>
      </c>
      <c r="F15" s="286">
        <v>45287</v>
      </c>
    </row>
    <row r="16" spans="1:6" ht="15.75" thickBot="1" x14ac:dyDescent="0.3">
      <c r="A16" s="174">
        <v>184417</v>
      </c>
      <c r="B16" s="175">
        <v>24</v>
      </c>
      <c r="C16" s="269" t="s">
        <v>284</v>
      </c>
      <c r="D16" s="176" t="s">
        <v>285</v>
      </c>
      <c r="E16" s="175">
        <v>500</v>
      </c>
      <c r="F16" s="286">
        <v>45316</v>
      </c>
    </row>
    <row r="17" spans="1:6" ht="15.75" thickBot="1" x14ac:dyDescent="0.3">
      <c r="A17" s="174">
        <v>184857</v>
      </c>
      <c r="B17" s="175">
        <v>4</v>
      </c>
      <c r="C17" s="269" t="s">
        <v>327</v>
      </c>
      <c r="D17" s="176" t="s">
        <v>328</v>
      </c>
      <c r="E17" s="175">
        <v>100</v>
      </c>
      <c r="F17" s="286">
        <v>45348</v>
      </c>
    </row>
    <row r="18" spans="1:6" ht="15.75" thickBot="1" x14ac:dyDescent="0.3">
      <c r="A18" s="174">
        <v>184417</v>
      </c>
      <c r="B18" s="175">
        <v>37</v>
      </c>
      <c r="C18" s="269" t="s">
        <v>335</v>
      </c>
      <c r="D18" s="176" t="s">
        <v>336</v>
      </c>
      <c r="E18" s="175">
        <v>350</v>
      </c>
      <c r="F18" s="286">
        <v>45316</v>
      </c>
    </row>
    <row r="19" spans="1:6" ht="15.75" thickBot="1" x14ac:dyDescent="0.3">
      <c r="A19" s="174">
        <v>184857</v>
      </c>
      <c r="B19" s="175">
        <v>6</v>
      </c>
      <c r="C19" s="269" t="s">
        <v>335</v>
      </c>
      <c r="D19" s="176" t="s">
        <v>336</v>
      </c>
      <c r="E19" s="175">
        <v>500</v>
      </c>
      <c r="F19" s="286">
        <v>45322</v>
      </c>
    </row>
    <row r="20" spans="1:6" ht="15.75" thickBot="1" x14ac:dyDescent="0.3">
      <c r="A20" s="174">
        <v>183092</v>
      </c>
      <c r="B20" s="175">
        <v>16</v>
      </c>
      <c r="C20" s="269" t="s">
        <v>333</v>
      </c>
      <c r="D20" s="176" t="s">
        <v>334</v>
      </c>
      <c r="E20" s="175">
        <v>22</v>
      </c>
      <c r="F20" s="286">
        <v>45348</v>
      </c>
    </row>
    <row r="21" spans="1:6" ht="15.75" thickBot="1" x14ac:dyDescent="0.3">
      <c r="A21" s="174">
        <v>183092</v>
      </c>
      <c r="B21" s="175">
        <v>17</v>
      </c>
      <c r="C21" s="269" t="s">
        <v>290</v>
      </c>
      <c r="D21" s="176" t="s">
        <v>291</v>
      </c>
      <c r="E21" s="175">
        <v>100</v>
      </c>
      <c r="F21" s="286">
        <v>45299</v>
      </c>
    </row>
    <row r="22" spans="1:6" ht="15.75" thickBot="1" x14ac:dyDescent="0.3">
      <c r="A22" s="174">
        <v>184825</v>
      </c>
      <c r="B22" s="175">
        <v>1</v>
      </c>
      <c r="C22" s="269" t="s">
        <v>292</v>
      </c>
      <c r="D22" s="176" t="s">
        <v>293</v>
      </c>
      <c r="E22" s="175">
        <v>500</v>
      </c>
      <c r="F22" s="286">
        <v>45316</v>
      </c>
    </row>
    <row r="23" spans="1:6" ht="15.75" thickBot="1" x14ac:dyDescent="0.3">
      <c r="A23" s="174">
        <v>184416</v>
      </c>
      <c r="B23" s="175">
        <v>1</v>
      </c>
      <c r="C23" s="269" t="s">
        <v>292</v>
      </c>
      <c r="D23" s="176" t="s">
        <v>293</v>
      </c>
      <c r="E23" s="175">
        <v>500</v>
      </c>
      <c r="F23" s="286">
        <v>45321</v>
      </c>
    </row>
  </sheetData>
  <autoFilter ref="A1:F1">
    <sortState ref="A2:F23">
      <sortCondition ref="C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topLeftCell="A10" workbookViewId="0">
      <selection activeCell="F30" sqref="F29:F30"/>
    </sheetView>
  </sheetViews>
  <sheetFormatPr defaultRowHeight="15" x14ac:dyDescent="0.25"/>
  <cols>
    <col min="1" max="1" width="18" bestFit="1" customWidth="1"/>
    <col min="2" max="2" width="18.7109375" bestFit="1" customWidth="1"/>
    <col min="3" max="3" width="15.42578125" customWidth="1"/>
    <col min="4" max="4" width="14.42578125" customWidth="1"/>
  </cols>
  <sheetData>
    <row r="1" spans="1:4" ht="15.75" thickBot="1" x14ac:dyDescent="0.3">
      <c r="A1" s="254" t="s">
        <v>264</v>
      </c>
      <c r="B1" s="254" t="s">
        <v>265</v>
      </c>
      <c r="C1" s="254" t="s">
        <v>266</v>
      </c>
      <c r="D1" s="254" t="s">
        <v>267</v>
      </c>
    </row>
    <row r="2" spans="1:4" x14ac:dyDescent="0.25">
      <c r="A2" s="255" t="s">
        <v>17</v>
      </c>
      <c r="B2" s="256">
        <v>45240</v>
      </c>
      <c r="C2" s="257">
        <v>27</v>
      </c>
      <c r="D2" s="257" t="s">
        <v>268</v>
      </c>
    </row>
    <row r="3" spans="1:4" x14ac:dyDescent="0.25">
      <c r="A3" s="258" t="s">
        <v>17</v>
      </c>
      <c r="B3" s="259">
        <v>45296</v>
      </c>
      <c r="C3" s="260">
        <v>48</v>
      </c>
      <c r="D3" s="260" t="s">
        <v>268</v>
      </c>
    </row>
    <row r="4" spans="1:4" x14ac:dyDescent="0.25">
      <c r="A4" s="255" t="s">
        <v>307</v>
      </c>
      <c r="B4" s="256">
        <v>45260</v>
      </c>
      <c r="C4" s="257">
        <v>57</v>
      </c>
      <c r="D4" s="257" t="s">
        <v>268</v>
      </c>
    </row>
    <row r="5" spans="1:4" x14ac:dyDescent="0.25">
      <c r="A5" s="255" t="s">
        <v>349</v>
      </c>
      <c r="B5" s="256">
        <v>45306</v>
      </c>
      <c r="C5" s="257">
        <v>200</v>
      </c>
      <c r="D5" s="257" t="s">
        <v>268</v>
      </c>
    </row>
    <row r="6" spans="1:4" x14ac:dyDescent="0.25">
      <c r="A6" s="258" t="s">
        <v>368</v>
      </c>
      <c r="B6" s="259">
        <v>45345</v>
      </c>
      <c r="C6" s="260">
        <v>100</v>
      </c>
      <c r="D6" s="260" t="s">
        <v>268</v>
      </c>
    </row>
    <row r="7" spans="1:4" x14ac:dyDescent="0.25">
      <c r="A7" s="255" t="s">
        <v>18</v>
      </c>
      <c r="B7" s="256">
        <v>45306</v>
      </c>
      <c r="C7" s="257">
        <v>100</v>
      </c>
      <c r="D7" s="257" t="s">
        <v>268</v>
      </c>
    </row>
    <row r="8" spans="1:4" x14ac:dyDescent="0.25">
      <c r="A8" s="255" t="s">
        <v>37</v>
      </c>
      <c r="B8" s="256">
        <v>45306</v>
      </c>
      <c r="C8" s="257">
        <v>100</v>
      </c>
      <c r="D8" s="257" t="s">
        <v>268</v>
      </c>
    </row>
    <row r="9" spans="1:4" x14ac:dyDescent="0.25">
      <c r="A9" s="258" t="s">
        <v>241</v>
      </c>
      <c r="B9" s="259">
        <v>45306</v>
      </c>
      <c r="C9" s="260">
        <v>105</v>
      </c>
      <c r="D9" s="260" t="s">
        <v>268</v>
      </c>
    </row>
    <row r="10" spans="1:4" x14ac:dyDescent="0.25">
      <c r="A10" s="255" t="s">
        <v>241</v>
      </c>
      <c r="B10" s="256">
        <v>45320</v>
      </c>
      <c r="C10" s="257">
        <v>4</v>
      </c>
      <c r="D10" s="257" t="s">
        <v>268</v>
      </c>
    </row>
    <row r="11" spans="1:4" x14ac:dyDescent="0.25">
      <c r="A11" s="255" t="s">
        <v>242</v>
      </c>
      <c r="B11" s="256">
        <v>45306</v>
      </c>
      <c r="C11" s="257">
        <v>105</v>
      </c>
      <c r="D11" s="257" t="s">
        <v>268</v>
      </c>
    </row>
    <row r="12" spans="1:4" x14ac:dyDescent="0.25">
      <c r="A12" s="258" t="s">
        <v>243</v>
      </c>
      <c r="B12" s="259">
        <v>45317</v>
      </c>
      <c r="C12" s="260">
        <v>271</v>
      </c>
      <c r="D12" s="260" t="s">
        <v>268</v>
      </c>
    </row>
    <row r="13" spans="1:4" x14ac:dyDescent="0.25">
      <c r="A13" s="255" t="s">
        <v>269</v>
      </c>
      <c r="B13" s="256">
        <v>45306</v>
      </c>
      <c r="C13" s="257">
        <v>100</v>
      </c>
      <c r="D13" s="257" t="s">
        <v>268</v>
      </c>
    </row>
    <row r="14" spans="1:4" x14ac:dyDescent="0.25">
      <c r="A14" s="255" t="s">
        <v>369</v>
      </c>
      <c r="B14" s="256">
        <v>45345</v>
      </c>
      <c r="C14" s="257">
        <v>100</v>
      </c>
      <c r="D14" s="257" t="s">
        <v>268</v>
      </c>
    </row>
    <row r="15" spans="1:4" x14ac:dyDescent="0.25">
      <c r="A15" s="255" t="s">
        <v>19</v>
      </c>
      <c r="B15" s="256">
        <v>45324</v>
      </c>
      <c r="C15" s="257">
        <v>100</v>
      </c>
      <c r="D15" s="257" t="s">
        <v>268</v>
      </c>
    </row>
    <row r="16" spans="1:4" x14ac:dyDescent="0.25">
      <c r="A16" s="255" t="s">
        <v>350</v>
      </c>
      <c r="B16" s="256">
        <v>45306</v>
      </c>
      <c r="C16" s="257">
        <v>100</v>
      </c>
      <c r="D16" s="257" t="s">
        <v>268</v>
      </c>
    </row>
    <row r="17" spans="1:4" x14ac:dyDescent="0.25">
      <c r="A17" s="255" t="s">
        <v>351</v>
      </c>
      <c r="B17" s="256">
        <v>45306</v>
      </c>
      <c r="C17" s="257">
        <v>100</v>
      </c>
      <c r="D17" s="257" t="s">
        <v>268</v>
      </c>
    </row>
    <row r="18" spans="1:4" x14ac:dyDescent="0.25">
      <c r="A18" s="255" t="s">
        <v>370</v>
      </c>
      <c r="B18" s="256">
        <v>45345</v>
      </c>
      <c r="C18" s="257">
        <v>100</v>
      </c>
      <c r="D18" s="257" t="s">
        <v>268</v>
      </c>
    </row>
    <row r="19" spans="1:4" x14ac:dyDescent="0.25">
      <c r="A19" s="258" t="s">
        <v>244</v>
      </c>
      <c r="B19" s="259">
        <v>45303</v>
      </c>
      <c r="C19" s="260">
        <v>100</v>
      </c>
      <c r="D19" s="260" t="s">
        <v>268</v>
      </c>
    </row>
    <row r="20" spans="1:4" x14ac:dyDescent="0.25">
      <c r="A20" s="255" t="s">
        <v>352</v>
      </c>
      <c r="B20" s="256">
        <v>45260</v>
      </c>
      <c r="C20" s="257">
        <v>104</v>
      </c>
      <c r="D20" s="257" t="s">
        <v>268</v>
      </c>
    </row>
    <row r="21" spans="1:4" x14ac:dyDescent="0.25">
      <c r="A21" s="258" t="s">
        <v>353</v>
      </c>
      <c r="B21" s="259">
        <v>45306</v>
      </c>
      <c r="C21" s="260">
        <v>100</v>
      </c>
      <c r="D21" s="260" t="s">
        <v>268</v>
      </c>
    </row>
    <row r="22" spans="1:4" x14ac:dyDescent="0.25">
      <c r="A22" s="255" t="s">
        <v>353</v>
      </c>
      <c r="B22" s="256">
        <v>45345</v>
      </c>
      <c r="C22" s="257">
        <v>100</v>
      </c>
      <c r="D22" s="257" t="s">
        <v>268</v>
      </c>
    </row>
    <row r="23" spans="1:4" x14ac:dyDescent="0.25">
      <c r="A23" s="255" t="s">
        <v>20</v>
      </c>
      <c r="B23" s="256">
        <v>45306</v>
      </c>
      <c r="C23" s="257">
        <v>392</v>
      </c>
      <c r="D23" s="257" t="s">
        <v>268</v>
      </c>
    </row>
    <row r="24" spans="1:4" x14ac:dyDescent="0.25">
      <c r="A24" s="258" t="s">
        <v>20</v>
      </c>
      <c r="B24" s="259">
        <v>45324</v>
      </c>
      <c r="C24" s="260">
        <v>46</v>
      </c>
      <c r="D24" s="260" t="s">
        <v>268</v>
      </c>
    </row>
    <row r="25" spans="1:4" x14ac:dyDescent="0.25">
      <c r="A25" s="255" t="s">
        <v>28</v>
      </c>
      <c r="B25" s="256">
        <v>45306</v>
      </c>
      <c r="C25" s="257">
        <v>100</v>
      </c>
      <c r="D25" s="257" t="s">
        <v>268</v>
      </c>
    </row>
    <row r="26" spans="1:4" x14ac:dyDescent="0.25">
      <c r="A26" s="255" t="s">
        <v>427</v>
      </c>
      <c r="B26" s="256">
        <v>45418</v>
      </c>
      <c r="C26" s="257">
        <v>100</v>
      </c>
      <c r="D26" s="257" t="s">
        <v>428</v>
      </c>
    </row>
    <row r="27" spans="1:4" x14ac:dyDescent="0.25">
      <c r="A27" s="258" t="s">
        <v>429</v>
      </c>
      <c r="B27" s="259">
        <v>45411</v>
      </c>
      <c r="C27" s="260">
        <v>52</v>
      </c>
      <c r="D27" s="260" t="s">
        <v>428</v>
      </c>
    </row>
    <row r="28" spans="1:4" x14ac:dyDescent="0.25">
      <c r="A28" s="255" t="s">
        <v>429</v>
      </c>
      <c r="B28" s="256">
        <v>45426</v>
      </c>
      <c r="C28" s="257">
        <v>27</v>
      </c>
      <c r="D28" s="257" t="s">
        <v>428</v>
      </c>
    </row>
    <row r="29" spans="1:4" x14ac:dyDescent="0.25">
      <c r="A29" s="258" t="s">
        <v>429</v>
      </c>
      <c r="B29" s="259">
        <v>45439</v>
      </c>
      <c r="C29" s="260">
        <v>11</v>
      </c>
      <c r="D29" s="260" t="s">
        <v>428</v>
      </c>
    </row>
    <row r="30" spans="1:4" x14ac:dyDescent="0.25">
      <c r="A30" s="258" t="s">
        <v>239</v>
      </c>
      <c r="B30" s="259">
        <v>45426</v>
      </c>
      <c r="C30" s="260">
        <v>200</v>
      </c>
      <c r="D30" s="260" t="s">
        <v>428</v>
      </c>
    </row>
    <row r="31" spans="1:4" x14ac:dyDescent="0.25">
      <c r="A31" s="258" t="s">
        <v>18</v>
      </c>
      <c r="B31" s="259">
        <v>45427</v>
      </c>
      <c r="C31" s="260">
        <v>100</v>
      </c>
      <c r="D31" s="260" t="s">
        <v>428</v>
      </c>
    </row>
    <row r="32" spans="1:4" x14ac:dyDescent="0.25">
      <c r="A32" s="258" t="s">
        <v>37</v>
      </c>
      <c r="B32" s="259">
        <v>45399</v>
      </c>
      <c r="C32" s="260">
        <v>100</v>
      </c>
      <c r="D32" s="260" t="s">
        <v>428</v>
      </c>
    </row>
    <row r="33" spans="1:4" x14ac:dyDescent="0.25">
      <c r="A33" s="255" t="s">
        <v>240</v>
      </c>
      <c r="B33" s="256">
        <v>45391</v>
      </c>
      <c r="C33" s="257">
        <v>100</v>
      </c>
      <c r="D33" s="257" t="s">
        <v>428</v>
      </c>
    </row>
    <row r="34" spans="1:4" x14ac:dyDescent="0.25">
      <c r="A34" s="258" t="s">
        <v>241</v>
      </c>
      <c r="B34" s="259">
        <v>45390</v>
      </c>
      <c r="C34" s="260">
        <v>112</v>
      </c>
      <c r="D34" s="260" t="s">
        <v>428</v>
      </c>
    </row>
    <row r="35" spans="1:4" x14ac:dyDescent="0.25">
      <c r="A35" s="258" t="s">
        <v>242</v>
      </c>
      <c r="B35" s="259">
        <v>45390</v>
      </c>
      <c r="C35" s="260">
        <v>112</v>
      </c>
      <c r="D35" s="260" t="s">
        <v>428</v>
      </c>
    </row>
    <row r="36" spans="1:4" x14ac:dyDescent="0.25">
      <c r="A36" s="255" t="s">
        <v>430</v>
      </c>
      <c r="B36" s="256">
        <v>45391</v>
      </c>
      <c r="C36" s="257">
        <v>300</v>
      </c>
      <c r="D36" s="257" t="s">
        <v>428</v>
      </c>
    </row>
    <row r="37" spans="1:4" x14ac:dyDescent="0.25">
      <c r="A37" s="258" t="s">
        <v>269</v>
      </c>
      <c r="B37" s="259">
        <v>45422</v>
      </c>
      <c r="C37" s="260">
        <v>100</v>
      </c>
      <c r="D37" s="260" t="s">
        <v>428</v>
      </c>
    </row>
    <row r="38" spans="1:4" x14ac:dyDescent="0.25">
      <c r="A38" s="258" t="s">
        <v>369</v>
      </c>
      <c r="B38" s="259">
        <v>45412</v>
      </c>
      <c r="C38" s="260">
        <v>100</v>
      </c>
      <c r="D38" s="260" t="s">
        <v>428</v>
      </c>
    </row>
    <row r="39" spans="1:4" x14ac:dyDescent="0.25">
      <c r="A39" s="258" t="s">
        <v>19</v>
      </c>
      <c r="B39" s="259">
        <v>45398</v>
      </c>
      <c r="C39" s="260">
        <v>100</v>
      </c>
      <c r="D39" s="260" t="s">
        <v>428</v>
      </c>
    </row>
    <row r="40" spans="1:4" x14ac:dyDescent="0.25">
      <c r="A40" s="255" t="s">
        <v>19</v>
      </c>
      <c r="B40" s="256">
        <v>45429</v>
      </c>
      <c r="C40" s="257">
        <v>100</v>
      </c>
      <c r="D40" s="257" t="s">
        <v>428</v>
      </c>
    </row>
    <row r="41" spans="1:4" x14ac:dyDescent="0.25">
      <c r="A41" s="258" t="s">
        <v>431</v>
      </c>
      <c r="B41" s="259">
        <v>45422</v>
      </c>
      <c r="C41" s="260">
        <v>100</v>
      </c>
      <c r="D41" s="260" t="s">
        <v>428</v>
      </c>
    </row>
    <row r="42" spans="1:4" x14ac:dyDescent="0.25">
      <c r="A42" s="258" t="s">
        <v>350</v>
      </c>
      <c r="B42" s="259">
        <v>45397</v>
      </c>
      <c r="C42" s="260">
        <v>14</v>
      </c>
      <c r="D42" s="260" t="s">
        <v>428</v>
      </c>
    </row>
    <row r="43" spans="1:4" x14ac:dyDescent="0.25">
      <c r="A43" s="258" t="s">
        <v>351</v>
      </c>
      <c r="B43" s="259">
        <v>45397</v>
      </c>
      <c r="C43" s="260">
        <v>12</v>
      </c>
      <c r="D43" s="260" t="s">
        <v>428</v>
      </c>
    </row>
    <row r="44" spans="1:4" x14ac:dyDescent="0.25">
      <c r="A44" s="255" t="s">
        <v>432</v>
      </c>
      <c r="B44" s="256">
        <v>45383</v>
      </c>
      <c r="C44" s="257">
        <v>23</v>
      </c>
      <c r="D44" s="257" t="s">
        <v>428</v>
      </c>
    </row>
    <row r="45" spans="1:4" x14ac:dyDescent="0.25">
      <c r="A45" s="258" t="s">
        <v>433</v>
      </c>
      <c r="B45" s="259">
        <v>45383</v>
      </c>
      <c r="C45" s="260">
        <v>22</v>
      </c>
      <c r="D45" s="260" t="s">
        <v>428</v>
      </c>
    </row>
    <row r="46" spans="1:4" x14ac:dyDescent="0.25">
      <c r="A46" s="258" t="s">
        <v>370</v>
      </c>
      <c r="B46" s="259">
        <v>45397</v>
      </c>
      <c r="C46" s="260">
        <v>100</v>
      </c>
      <c r="D46" s="260" t="s">
        <v>428</v>
      </c>
    </row>
    <row r="47" spans="1:4" x14ac:dyDescent="0.25">
      <c r="A47" s="255" t="s">
        <v>370</v>
      </c>
      <c r="B47" s="256">
        <v>45429</v>
      </c>
      <c r="C47" s="257">
        <v>100</v>
      </c>
      <c r="D47" s="257" t="s">
        <v>428</v>
      </c>
    </row>
    <row r="48" spans="1:4" x14ac:dyDescent="0.25">
      <c r="A48" s="258" t="s">
        <v>245</v>
      </c>
      <c r="B48" s="259">
        <v>45383</v>
      </c>
      <c r="C48" s="260">
        <v>36</v>
      </c>
      <c r="D48" s="260" t="s">
        <v>428</v>
      </c>
    </row>
    <row r="49" spans="1:4" x14ac:dyDescent="0.25">
      <c r="A49" s="255" t="s">
        <v>245</v>
      </c>
      <c r="B49" s="256">
        <v>45397</v>
      </c>
      <c r="C49" s="257">
        <v>52</v>
      </c>
      <c r="D49" s="257" t="s">
        <v>428</v>
      </c>
    </row>
    <row r="50" spans="1:4" x14ac:dyDescent="0.25">
      <c r="A50" s="258" t="s">
        <v>245</v>
      </c>
      <c r="B50" s="259">
        <v>45418</v>
      </c>
      <c r="C50" s="260">
        <v>112</v>
      </c>
      <c r="D50" s="260" t="s">
        <v>428</v>
      </c>
    </row>
    <row r="51" spans="1:4" x14ac:dyDescent="0.25">
      <c r="A51" s="255" t="s">
        <v>245</v>
      </c>
      <c r="B51" s="256">
        <v>45433</v>
      </c>
      <c r="C51" s="257">
        <v>54</v>
      </c>
      <c r="D51" s="257" t="s">
        <v>428</v>
      </c>
    </row>
    <row r="52" spans="1:4" x14ac:dyDescent="0.25">
      <c r="A52" s="258" t="s">
        <v>353</v>
      </c>
      <c r="B52" s="259">
        <v>45422</v>
      </c>
      <c r="C52" s="260">
        <v>100</v>
      </c>
      <c r="D52" s="260" t="s">
        <v>428</v>
      </c>
    </row>
    <row r="53" spans="1:4" x14ac:dyDescent="0.25">
      <c r="A53" s="255" t="s">
        <v>20</v>
      </c>
      <c r="B53" s="256">
        <v>45392</v>
      </c>
      <c r="C53" s="257">
        <v>300</v>
      </c>
      <c r="D53" s="257" t="s">
        <v>428</v>
      </c>
    </row>
    <row r="54" spans="1:4" x14ac:dyDescent="0.25">
      <c r="A54" s="258" t="s">
        <v>20</v>
      </c>
      <c r="B54" s="259">
        <v>45422</v>
      </c>
      <c r="C54" s="260">
        <v>48</v>
      </c>
      <c r="D54" s="260" t="s">
        <v>428</v>
      </c>
    </row>
    <row r="55" spans="1:4" x14ac:dyDescent="0.25">
      <c r="A55" s="255" t="s">
        <v>20</v>
      </c>
      <c r="B55" s="256">
        <v>45439</v>
      </c>
      <c r="C55" s="257">
        <v>200</v>
      </c>
      <c r="D55" s="257" t="s">
        <v>428</v>
      </c>
    </row>
    <row r="56" spans="1:4" x14ac:dyDescent="0.25">
      <c r="A56" s="258" t="s">
        <v>308</v>
      </c>
      <c r="B56" s="259">
        <v>45413</v>
      </c>
      <c r="C56" s="260">
        <v>14</v>
      </c>
      <c r="D56" s="260" t="s">
        <v>428</v>
      </c>
    </row>
    <row r="57" spans="1:4" x14ac:dyDescent="0.25">
      <c r="A57" s="258" t="s">
        <v>28</v>
      </c>
      <c r="B57" s="259">
        <v>45429</v>
      </c>
      <c r="C57" s="260">
        <v>50</v>
      </c>
      <c r="D57" s="260" t="s">
        <v>428</v>
      </c>
    </row>
  </sheetData>
  <autoFilter ref="A1:D1">
    <sortState ref="A2:D57">
      <sortCondition ref="D1"/>
    </sortState>
  </autoFilter>
  <sortState ref="A107:D123">
    <sortCondition ref="A107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7"/>
  <sheetViews>
    <sheetView topLeftCell="A22" zoomScaleNormal="100" workbookViewId="0">
      <selection activeCell="A22" sqref="A22:P27"/>
    </sheetView>
  </sheetViews>
  <sheetFormatPr defaultRowHeight="15" x14ac:dyDescent="0.25"/>
  <cols>
    <col min="3" max="3" width="14.85546875" style="40" bestFit="1" customWidth="1"/>
    <col min="4" max="4" width="27" style="40" bestFit="1" customWidth="1"/>
    <col min="5" max="5" width="10.7109375" bestFit="1" customWidth="1"/>
    <col min="9" max="9" width="10.140625" bestFit="1" customWidth="1"/>
    <col min="10" max="10" width="0" hidden="1" customWidth="1"/>
    <col min="12" max="14" width="0" hidden="1" customWidth="1"/>
    <col min="15" max="16" width="10.140625" bestFit="1" customWidth="1"/>
  </cols>
  <sheetData>
    <row r="1" spans="1:5" ht="45" x14ac:dyDescent="0.25">
      <c r="A1" s="75" t="s">
        <v>26</v>
      </c>
      <c r="B1" s="75" t="s">
        <v>10</v>
      </c>
      <c r="C1" s="75" t="s">
        <v>0</v>
      </c>
      <c r="D1" s="75" t="s">
        <v>1</v>
      </c>
      <c r="E1" s="75" t="s">
        <v>4</v>
      </c>
    </row>
    <row r="2" spans="1:5" x14ac:dyDescent="0.25">
      <c r="A2" s="6" t="s">
        <v>32</v>
      </c>
      <c r="B2" s="6">
        <v>3671</v>
      </c>
      <c r="C2" s="6">
        <v>275323</v>
      </c>
      <c r="D2" s="6">
        <v>2</v>
      </c>
      <c r="E2" s="123">
        <v>45269</v>
      </c>
    </row>
    <row r="3" spans="1:5" x14ac:dyDescent="0.25">
      <c r="A3" s="5" t="s">
        <v>9</v>
      </c>
      <c r="B3" s="6">
        <v>3615</v>
      </c>
      <c r="C3" s="6">
        <v>5500021565</v>
      </c>
      <c r="D3" s="6" t="s">
        <v>6</v>
      </c>
      <c r="E3" s="123">
        <v>45251</v>
      </c>
    </row>
    <row r="4" spans="1:5" x14ac:dyDescent="0.25">
      <c r="A4" s="6" t="s">
        <v>57</v>
      </c>
      <c r="B4" s="6">
        <v>3558</v>
      </c>
      <c r="C4" s="6">
        <v>183790</v>
      </c>
      <c r="D4" s="6">
        <v>2</v>
      </c>
      <c r="E4" s="123">
        <v>45254</v>
      </c>
    </row>
    <row r="5" spans="1:5" x14ac:dyDescent="0.25">
      <c r="A5" s="5" t="s">
        <v>57</v>
      </c>
      <c r="B5" s="5">
        <v>3122</v>
      </c>
      <c r="C5" s="5">
        <v>178542</v>
      </c>
      <c r="D5" s="5">
        <v>20</v>
      </c>
      <c r="E5" s="35">
        <v>45287</v>
      </c>
    </row>
    <row r="6" spans="1:5" x14ac:dyDescent="0.25">
      <c r="A6" s="6" t="s">
        <v>57</v>
      </c>
      <c r="B6" s="6">
        <v>3616</v>
      </c>
      <c r="C6" s="6">
        <v>184416</v>
      </c>
      <c r="D6" s="6">
        <v>7</v>
      </c>
      <c r="E6" s="123">
        <v>45258</v>
      </c>
    </row>
    <row r="7" spans="1:5" x14ac:dyDescent="0.25">
      <c r="A7" s="5" t="s">
        <v>57</v>
      </c>
      <c r="B7" s="5">
        <v>3616</v>
      </c>
      <c r="C7" s="5">
        <v>184416</v>
      </c>
      <c r="D7" s="5">
        <v>8</v>
      </c>
      <c r="E7" s="35">
        <v>45299</v>
      </c>
    </row>
    <row r="8" spans="1:5" x14ac:dyDescent="0.25">
      <c r="A8" s="5" t="s">
        <v>9</v>
      </c>
      <c r="B8" s="6">
        <v>3615</v>
      </c>
      <c r="C8" s="6">
        <v>5500015214</v>
      </c>
      <c r="D8" s="6" t="s">
        <v>6</v>
      </c>
      <c r="E8" s="123">
        <v>45251</v>
      </c>
    </row>
    <row r="9" spans="1:5" x14ac:dyDescent="0.25">
      <c r="A9" s="5" t="s">
        <v>9</v>
      </c>
      <c r="B9" s="5">
        <v>3615</v>
      </c>
      <c r="C9" s="5">
        <v>5500015214</v>
      </c>
      <c r="D9" s="5" t="s">
        <v>6</v>
      </c>
      <c r="E9" s="35">
        <v>45264</v>
      </c>
    </row>
    <row r="10" spans="1:5" x14ac:dyDescent="0.25">
      <c r="A10" s="5" t="s">
        <v>9</v>
      </c>
      <c r="B10" s="5">
        <v>3615</v>
      </c>
      <c r="C10" s="5">
        <v>5500015214</v>
      </c>
      <c r="D10" s="5" t="s">
        <v>6</v>
      </c>
      <c r="E10" s="35">
        <v>45267</v>
      </c>
    </row>
    <row r="11" spans="1:5" x14ac:dyDescent="0.25">
      <c r="A11" s="5" t="s">
        <v>9</v>
      </c>
      <c r="B11" s="5"/>
      <c r="C11" s="5">
        <v>5500015214</v>
      </c>
      <c r="D11" s="5" t="s">
        <v>6</v>
      </c>
      <c r="E11" s="35">
        <v>45295</v>
      </c>
    </row>
    <row r="12" spans="1:5" x14ac:dyDescent="0.25">
      <c r="A12" s="5" t="s">
        <v>57</v>
      </c>
      <c r="B12" s="5"/>
      <c r="C12" s="5">
        <v>180917</v>
      </c>
      <c r="D12" s="5">
        <v>12</v>
      </c>
      <c r="E12" s="35">
        <v>45288</v>
      </c>
    </row>
    <row r="13" spans="1:5" x14ac:dyDescent="0.25">
      <c r="A13" s="5" t="s">
        <v>9</v>
      </c>
      <c r="B13" s="5">
        <v>3661</v>
      </c>
      <c r="C13" s="5">
        <v>5500007922</v>
      </c>
      <c r="D13" s="5" t="s">
        <v>6</v>
      </c>
      <c r="E13" s="35">
        <v>45293</v>
      </c>
    </row>
    <row r="14" spans="1:5" x14ac:dyDescent="0.25">
      <c r="A14" s="5" t="s">
        <v>57</v>
      </c>
      <c r="B14" s="4">
        <v>3619</v>
      </c>
      <c r="C14" s="5">
        <v>184417</v>
      </c>
      <c r="D14" s="5">
        <v>10</v>
      </c>
      <c r="E14" s="35">
        <v>45299</v>
      </c>
    </row>
    <row r="15" spans="1:5" x14ac:dyDescent="0.25">
      <c r="A15" s="5" t="s">
        <v>281</v>
      </c>
      <c r="B15" s="5">
        <v>3684</v>
      </c>
      <c r="C15" s="5" t="s">
        <v>13</v>
      </c>
      <c r="D15" s="5" t="s">
        <v>6</v>
      </c>
      <c r="E15" s="35">
        <v>45268</v>
      </c>
    </row>
    <row r="16" spans="1:5" x14ac:dyDescent="0.25">
      <c r="A16" s="5" t="s">
        <v>57</v>
      </c>
      <c r="B16" s="5">
        <v>3656</v>
      </c>
      <c r="C16" s="5">
        <v>185089</v>
      </c>
      <c r="D16" s="5">
        <v>1</v>
      </c>
      <c r="E16" s="35">
        <v>45294</v>
      </c>
    </row>
    <row r="21" spans="1:25" ht="15.75" thickBot="1" x14ac:dyDescent="0.3"/>
    <row r="22" spans="1:25" ht="134.25" customHeight="1" x14ac:dyDescent="0.25">
      <c r="A22" s="342" t="s">
        <v>389</v>
      </c>
      <c r="B22" s="342" t="s">
        <v>390</v>
      </c>
      <c r="C22" s="349" t="s">
        <v>391</v>
      </c>
      <c r="D22" s="342" t="s">
        <v>392</v>
      </c>
      <c r="E22" s="342" t="s">
        <v>393</v>
      </c>
      <c r="F22" s="342" t="s">
        <v>394</v>
      </c>
      <c r="G22" s="342" t="s">
        <v>395</v>
      </c>
      <c r="H22" s="342" t="s">
        <v>396</v>
      </c>
      <c r="I22" s="342" t="s">
        <v>397</v>
      </c>
      <c r="J22" s="344" t="s">
        <v>398</v>
      </c>
      <c r="K22" s="344" t="s">
        <v>399</v>
      </c>
      <c r="L22" s="344" t="s">
        <v>400</v>
      </c>
      <c r="M22" s="344" t="s">
        <v>401</v>
      </c>
      <c r="N22" s="344" t="s">
        <v>402</v>
      </c>
      <c r="O22" s="344" t="s">
        <v>403</v>
      </c>
      <c r="P22" s="344" t="s">
        <v>404</v>
      </c>
      <c r="Q22" s="342" t="s">
        <v>405</v>
      </c>
      <c r="R22" s="270" t="s">
        <v>406</v>
      </c>
      <c r="S22" s="342" t="s">
        <v>408</v>
      </c>
      <c r="T22" s="347" t="s">
        <v>409</v>
      </c>
      <c r="U22" s="336" t="s">
        <v>410</v>
      </c>
      <c r="V22" s="336" t="s">
        <v>411</v>
      </c>
      <c r="W22" s="338" t="s">
        <v>412</v>
      </c>
      <c r="X22" s="340" t="s">
        <v>413</v>
      </c>
      <c r="Y22" s="342" t="s">
        <v>414</v>
      </c>
    </row>
    <row r="23" spans="1:25" ht="15.75" thickBot="1" x14ac:dyDescent="0.3">
      <c r="A23" s="346"/>
      <c r="B23" s="346"/>
      <c r="C23" s="350"/>
      <c r="D23" s="346"/>
      <c r="E23" s="346"/>
      <c r="F23" s="346"/>
      <c r="G23" s="346"/>
      <c r="H23" s="346"/>
      <c r="I23" s="346"/>
      <c r="J23" s="345"/>
      <c r="K23" s="345"/>
      <c r="L23" s="345"/>
      <c r="M23" s="345"/>
      <c r="N23" s="345"/>
      <c r="O23" s="345"/>
      <c r="P23" s="345"/>
      <c r="Q23" s="346"/>
      <c r="R23" s="271" t="s">
        <v>407</v>
      </c>
      <c r="S23" s="346"/>
      <c r="T23" s="348"/>
      <c r="U23" s="337"/>
      <c r="V23" s="337"/>
      <c r="W23" s="339"/>
      <c r="X23" s="341"/>
      <c r="Y23" s="343"/>
    </row>
    <row r="24" spans="1:25" ht="15.75" thickBot="1" x14ac:dyDescent="0.3">
      <c r="A24" s="272">
        <v>182964</v>
      </c>
      <c r="B24" s="273">
        <v>6</v>
      </c>
      <c r="C24" s="274" t="s">
        <v>415</v>
      </c>
      <c r="D24" s="274" t="s">
        <v>416</v>
      </c>
      <c r="E24" s="273">
        <v>23777</v>
      </c>
      <c r="F24" s="273">
        <v>360</v>
      </c>
      <c r="G24" s="273">
        <v>360</v>
      </c>
      <c r="H24" s="273">
        <v>41.63</v>
      </c>
      <c r="I24" s="275">
        <v>45228</v>
      </c>
      <c r="J24" s="274" t="s">
        <v>417</v>
      </c>
      <c r="K24" s="273">
        <v>19270</v>
      </c>
      <c r="L24" s="273">
        <v>1</v>
      </c>
      <c r="M24" s="273">
        <v>360</v>
      </c>
      <c r="N24" s="273">
        <v>14986.8</v>
      </c>
      <c r="O24" s="275">
        <v>45201</v>
      </c>
      <c r="P24" s="275">
        <v>45198</v>
      </c>
      <c r="Q24" s="273">
        <v>-30</v>
      </c>
      <c r="R24" s="273">
        <v>0</v>
      </c>
      <c r="S24" s="274" t="s">
        <v>418</v>
      </c>
      <c r="T24" s="273">
        <v>1</v>
      </c>
      <c r="U24" s="273">
        <v>202311</v>
      </c>
      <c r="V24" s="273">
        <v>13482</v>
      </c>
      <c r="W24" s="274" t="s">
        <v>419</v>
      </c>
      <c r="X24" s="274"/>
      <c r="Y24" s="274"/>
    </row>
    <row r="25" spans="1:25" ht="15.75" thickBot="1" x14ac:dyDescent="0.3">
      <c r="A25" s="272">
        <v>181887</v>
      </c>
      <c r="B25" s="273">
        <v>5</v>
      </c>
      <c r="C25" s="274" t="s">
        <v>381</v>
      </c>
      <c r="D25" s="274" t="s">
        <v>382</v>
      </c>
      <c r="E25" s="273">
        <v>23777</v>
      </c>
      <c r="F25" s="273">
        <v>330</v>
      </c>
      <c r="G25" s="273">
        <v>330</v>
      </c>
      <c r="H25" s="273">
        <v>31.86</v>
      </c>
      <c r="I25" s="275">
        <v>45228</v>
      </c>
      <c r="J25" s="274" t="s">
        <v>417</v>
      </c>
      <c r="K25" s="273">
        <v>19272</v>
      </c>
      <c r="L25" s="273">
        <v>1</v>
      </c>
      <c r="M25" s="273">
        <v>330</v>
      </c>
      <c r="N25" s="273">
        <v>10513.8</v>
      </c>
      <c r="O25" s="275">
        <v>45201</v>
      </c>
      <c r="P25" s="275">
        <v>45198</v>
      </c>
      <c r="Q25" s="273">
        <v>-30</v>
      </c>
      <c r="R25" s="273">
        <v>0</v>
      </c>
      <c r="S25" s="274" t="s">
        <v>418</v>
      </c>
      <c r="T25" s="273">
        <v>1</v>
      </c>
      <c r="U25" s="273">
        <v>202311</v>
      </c>
      <c r="V25" s="273">
        <v>13482</v>
      </c>
      <c r="W25" s="274" t="s">
        <v>419</v>
      </c>
      <c r="X25" s="274"/>
      <c r="Y25" s="274"/>
    </row>
    <row r="26" spans="1:25" ht="15.75" thickBot="1" x14ac:dyDescent="0.3">
      <c r="A26" s="272">
        <v>183228</v>
      </c>
      <c r="B26" s="273">
        <v>7</v>
      </c>
      <c r="C26" s="274" t="s">
        <v>420</v>
      </c>
      <c r="D26" s="274" t="s">
        <v>421</v>
      </c>
      <c r="E26" s="273">
        <v>23777</v>
      </c>
      <c r="F26" s="273">
        <v>315</v>
      </c>
      <c r="G26" s="273">
        <v>315</v>
      </c>
      <c r="H26" s="273">
        <v>17.36</v>
      </c>
      <c r="I26" s="275">
        <v>45240</v>
      </c>
      <c r="J26" s="274" t="s">
        <v>417</v>
      </c>
      <c r="K26" s="273">
        <v>19247</v>
      </c>
      <c r="L26" s="273">
        <v>1</v>
      </c>
      <c r="M26" s="273">
        <v>315</v>
      </c>
      <c r="N26" s="273">
        <v>5468.4</v>
      </c>
      <c r="O26" s="275">
        <v>45201</v>
      </c>
      <c r="P26" s="275">
        <v>45198</v>
      </c>
      <c r="Q26" s="273">
        <v>-42</v>
      </c>
      <c r="R26" s="273">
        <v>0</v>
      </c>
      <c r="S26" s="274" t="s">
        <v>418</v>
      </c>
      <c r="T26" s="273">
        <v>1</v>
      </c>
      <c r="U26" s="273">
        <v>202311</v>
      </c>
      <c r="V26" s="273">
        <v>13482</v>
      </c>
      <c r="W26" s="274" t="s">
        <v>419</v>
      </c>
      <c r="X26" s="274"/>
      <c r="Y26" s="274"/>
    </row>
    <row r="27" spans="1:25" ht="15.75" thickBot="1" x14ac:dyDescent="0.3">
      <c r="A27" s="272">
        <v>183092</v>
      </c>
      <c r="B27" s="273">
        <v>14</v>
      </c>
      <c r="C27" s="274" t="s">
        <v>284</v>
      </c>
      <c r="D27" s="274" t="s">
        <v>285</v>
      </c>
      <c r="E27" s="273">
        <v>23777</v>
      </c>
      <c r="F27" s="273">
        <v>500</v>
      </c>
      <c r="G27" s="273">
        <v>500</v>
      </c>
      <c r="H27" s="273">
        <v>23.05</v>
      </c>
      <c r="I27" s="275">
        <v>45240</v>
      </c>
      <c r="J27" s="274" t="s">
        <v>417</v>
      </c>
      <c r="K27" s="273">
        <v>19350</v>
      </c>
      <c r="L27" s="273">
        <v>1</v>
      </c>
      <c r="M27" s="273">
        <v>500</v>
      </c>
      <c r="N27" s="273">
        <v>11525</v>
      </c>
      <c r="O27" s="275">
        <v>45215</v>
      </c>
      <c r="P27" s="275">
        <v>45215</v>
      </c>
      <c r="Q27" s="273">
        <v>-25</v>
      </c>
      <c r="R27" s="273">
        <v>0</v>
      </c>
      <c r="S27" s="274" t="s">
        <v>418</v>
      </c>
      <c r="T27" s="273">
        <v>1</v>
      </c>
      <c r="U27" s="273">
        <v>202311</v>
      </c>
      <c r="V27" s="273">
        <v>13482</v>
      </c>
      <c r="W27" s="274" t="s">
        <v>419</v>
      </c>
      <c r="X27" s="274"/>
      <c r="Y27" s="274"/>
    </row>
  </sheetData>
  <autoFilter ref="A1:E16"/>
  <mergeCells count="24">
    <mergeCell ref="A22:A23"/>
    <mergeCell ref="B22:B23"/>
    <mergeCell ref="C22:C23"/>
    <mergeCell ref="D22:D23"/>
    <mergeCell ref="N22:N23"/>
    <mergeCell ref="E22:E23"/>
    <mergeCell ref="F22:F23"/>
    <mergeCell ref="G22:G23"/>
    <mergeCell ref="H22:H23"/>
    <mergeCell ref="I22:I23"/>
    <mergeCell ref="J22:J23"/>
    <mergeCell ref="K22:K23"/>
    <mergeCell ref="L22:L23"/>
    <mergeCell ref="M22:M23"/>
    <mergeCell ref="V22:V23"/>
    <mergeCell ref="W22:W23"/>
    <mergeCell ref="X22:X23"/>
    <mergeCell ref="Y22:Y23"/>
    <mergeCell ref="O22:O23"/>
    <mergeCell ref="P22:P23"/>
    <mergeCell ref="Q22:Q23"/>
    <mergeCell ref="S22:S23"/>
    <mergeCell ref="T22:T23"/>
    <mergeCell ref="U22:U23"/>
  </mergeCells>
  <conditionalFormatting sqref="A2:E2 A4:D16 E4:E10 E14:E16 E12">
    <cfRule type="timePeriod" dxfId="4" priority="18" timePeriod="nextWeek">
      <formula>AND(ROUNDDOWN(A2,0)-TODAY()&gt;(7-WEEKDAY(TODAY())),ROUNDDOWN(A2,0)-TODAY()&lt;(15-WEEKDAY(TODAY())))</formula>
    </cfRule>
    <cfRule type="timePeriod" dxfId="3" priority="19" timePeriod="yesterday">
      <formula>FLOOR(A2,1)=TODAY()-1</formula>
    </cfRule>
    <cfRule type="timePeriod" dxfId="2" priority="20" timePeriod="today">
      <formula>FLOOR(A2,1)=TODAY()</formula>
    </cfRule>
    <cfRule type="timePeriod" dxfId="1" priority="21" timePeriod="yesterday">
      <formula>FLOOR(A2,1)=TODAY()-1</formula>
    </cfRule>
    <cfRule type="timePeriod" dxfId="0" priority="22" timePeriod="today">
      <formula>FLOOR(A2,1)=TODAY()</formula>
    </cfRule>
  </conditionalFormatting>
  <pageMargins left="0" right="0" top="0" bottom="0" header="0.31496062992125984" footer="0"/>
  <pageSetup paperSize="9" orientation="landscape" r:id="rId1"/>
</worksheet>
</file>

<file path=xl/worksheets/wsSortMap1.xml><?xml version="1.0" encoding="utf-8"?>
<worksheetSortMap xmlns="http://schemas.microsoft.com/office/excel/2006/main">
  <rowSortMap ref="A2:XFD232" count="227">
    <row newVal="1" oldVal="227"/>
    <row newVal="2" oldVal="180"/>
    <row newVal="3" oldVal="223"/>
    <row newVal="4" oldVal="228"/>
    <row newVal="5" oldVal="181"/>
    <row newVal="6" oldVal="182"/>
    <row newVal="7" oldVal="56"/>
    <row newVal="8" oldVal="183"/>
    <row newVal="9" oldVal="229"/>
    <row newVal="10" oldVal="184"/>
    <row newVal="11" oldVal="169"/>
    <row newVal="12" oldVal="190"/>
    <row newVal="13" oldVal="194"/>
    <row newVal="14" oldVal="195"/>
    <row newVal="15" oldVal="27"/>
    <row newVal="16" oldVal="187"/>
    <row newVal="17" oldVal="45"/>
    <row newVal="18" oldVal="4"/>
    <row newVal="19" oldVal="11"/>
    <row newVal="20" oldVal="211"/>
    <row newVal="21" oldVal="221"/>
    <row newVal="22" oldVal="66"/>
    <row newVal="23" oldVal="14"/>
    <row newVal="24" oldVal="59"/>
    <row newVal="25" oldVal="15"/>
    <row newVal="26" oldVal="29"/>
    <row newVal="27" oldVal="30"/>
    <row newVal="28" oldVal="84"/>
    <row newVal="29" oldVal="186"/>
    <row newVal="30" oldVal="31"/>
    <row newVal="31" oldVal="7"/>
    <row newVal="33" oldVal="222"/>
    <row newVal="34" oldVal="8"/>
    <row newVal="35" oldVal="19"/>
    <row newVal="36" oldVal="220"/>
    <row newVal="37" oldVal="224"/>
    <row newVal="38" oldVal="207"/>
    <row newVal="39" oldVal="3"/>
    <row newVal="40" oldVal="225"/>
    <row newVal="41" oldVal="226"/>
    <row newVal="42" oldVal="1"/>
    <row newVal="43" oldVal="35"/>
    <row newVal="44" oldVal="37"/>
    <row newVal="45" oldVal="219"/>
    <row newVal="46" oldVal="20"/>
    <row newVal="47" oldVal="36"/>
    <row newVal="48" oldVal="39"/>
    <row newVal="49" oldVal="202"/>
    <row newVal="50" oldVal="42"/>
    <row newVal="51" oldVal="208"/>
    <row newVal="52" oldVal="2"/>
    <row newVal="53" oldVal="217"/>
    <row newVal="54" oldVal="23"/>
    <row newVal="55" oldVal="24"/>
    <row newVal="56" oldVal="9"/>
    <row newVal="57" oldVal="38"/>
    <row newVal="58" oldVal="40"/>
    <row newVal="59" oldVal="49"/>
    <row newVal="60" oldVal="43"/>
    <row newVal="61" oldVal="203"/>
    <row newVal="63" oldVal="218"/>
    <row newVal="64" oldVal="205"/>
    <row newVal="66" oldVal="204"/>
    <row newVal="68" oldVal="176"/>
    <row newVal="69" oldVal="198"/>
    <row newVal="70" oldVal="179"/>
    <row newVal="71" oldVal="21"/>
    <row newVal="72" oldVal="215"/>
    <row newVal="73" oldVal="199"/>
    <row newVal="74" oldVal="61"/>
    <row newVal="75" oldVal="134"/>
    <row newVal="76" oldVal="135"/>
    <row newVal="77" oldVal="141"/>
    <row newVal="78" oldVal="209"/>
    <row newVal="79" oldVal="10"/>
    <row newVal="80" oldVal="50"/>
    <row newVal="81" oldVal="13"/>
    <row newVal="82" oldVal="64"/>
    <row newVal="83" oldVal="51"/>
    <row newVal="84" oldVal="12"/>
    <row newVal="85" oldVal="196"/>
    <row newVal="86" oldVal="231"/>
    <row newVal="87" oldVal="18"/>
    <row newVal="88" oldVal="53"/>
    <row newVal="89" oldVal="212"/>
    <row newVal="90" oldVal="16"/>
    <row newVal="91" oldVal="230"/>
    <row newVal="92" oldVal="128"/>
    <row newVal="93" oldVal="138"/>
    <row newVal="94" oldVal="139"/>
    <row newVal="95" oldVal="213"/>
    <row newVal="96" oldVal="216"/>
    <row newVal="97" oldVal="33"/>
    <row newVal="98" oldVal="55"/>
    <row newVal="99" oldVal="5"/>
    <row newVal="100" oldVal="28"/>
    <row newVal="101" oldVal="48"/>
    <row newVal="102" oldVal="80"/>
    <row newVal="103" oldVal="68"/>
    <row newVal="104" oldVal="69"/>
    <row newVal="105" oldVal="73"/>
    <row newVal="106" oldVal="108"/>
    <row newVal="107" oldVal="77"/>
    <row newVal="108" oldVal="75"/>
    <row newVal="109" oldVal="54"/>
    <row newVal="110" oldVal="52"/>
    <row newVal="111" oldVal="60"/>
    <row newVal="112" oldVal="17"/>
    <row newVal="113" oldVal="6"/>
    <row newVal="114" oldVal="63"/>
    <row newVal="115" oldVal="57"/>
    <row newVal="116" oldVal="58"/>
    <row newVal="117" oldVal="125"/>
    <row newVal="118" oldVal="85"/>
    <row newVal="119" oldVal="25"/>
    <row newVal="120" oldVal="22"/>
    <row newVal="121" oldVal="87"/>
    <row newVal="122" oldVal="101"/>
    <row newVal="123" oldVal="102"/>
    <row newVal="124" oldVal="106"/>
    <row newVal="125" oldVal="107"/>
    <row newVal="126" oldVal="109"/>
    <row newVal="127" oldVal="34"/>
    <row newVal="128" oldVal="111"/>
    <row newVal="129" oldVal="112"/>
    <row newVal="130" oldVal="114"/>
    <row newVal="131" oldVal="189"/>
    <row newVal="132" oldVal="116"/>
    <row newVal="133" oldVal="74"/>
    <row newVal="134" oldVal="120"/>
    <row newVal="135" oldVal="122"/>
    <row newVal="136" oldVal="78"/>
    <row newVal="137" oldVal="146"/>
    <row newVal="138" oldVal="26"/>
    <row newVal="139" oldVal="123"/>
    <row newVal="140" oldVal="124"/>
    <row newVal="141" oldVal="79"/>
    <row newVal="142" oldVal="188"/>
    <row newVal="143" oldVal="214"/>
    <row newVal="144" oldVal="210"/>
    <row newVal="145" oldVal="171"/>
    <row newVal="146" oldVal="76"/>
    <row newVal="147" oldVal="103"/>
    <row newVal="148" oldVal="92"/>
    <row newVal="149" oldVal="93"/>
    <row newVal="150" oldVal="129"/>
    <row newVal="151" oldVal="170"/>
    <row newVal="152" oldVal="41"/>
    <row newVal="153" oldVal="201"/>
    <row newVal="154" oldVal="167"/>
    <row newVal="155" oldVal="89"/>
    <row newVal="156" oldVal="44"/>
    <row newVal="157" oldVal="46"/>
    <row newVal="158" oldVal="95"/>
    <row newVal="159" oldVal="47"/>
    <row newVal="160" oldVal="96"/>
    <row newVal="161" oldVal="70"/>
    <row newVal="162" oldVal="71"/>
    <row newVal="163" oldVal="126"/>
    <row newVal="164" oldVal="130"/>
    <row newVal="165" oldVal="81"/>
    <row newVal="166" oldVal="82"/>
    <row newVal="167" oldVal="72"/>
    <row newVal="168" oldVal="127"/>
    <row newVal="169" oldVal="83"/>
    <row newVal="170" oldVal="131"/>
    <row newVal="171" oldVal="142"/>
    <row newVal="172" oldVal="143"/>
    <row newVal="173" oldVal="154"/>
    <row newVal="174" oldVal="133"/>
    <row newVal="175" oldVal="86"/>
    <row newVal="176" oldVal="156"/>
    <row newVal="177" oldVal="136"/>
    <row newVal="178" oldVal="88"/>
    <row newVal="179" oldVal="137"/>
    <row newVal="180" oldVal="90"/>
    <row newVal="181" oldVal="159"/>
    <row newVal="182" oldVal="140"/>
    <row newVal="183" oldVal="91"/>
    <row newVal="184" oldVal="94"/>
    <row newVal="185" oldVal="100"/>
    <row newVal="186" oldVal="97"/>
    <row newVal="187" oldVal="98"/>
    <row newVal="188" oldVal="99"/>
    <row newVal="189" oldVal="148"/>
    <row newVal="190" oldVal="149"/>
    <row newVal="191" oldVal="104"/>
    <row newVal="192" oldVal="105"/>
    <row newVal="193" oldVal="151"/>
    <row newVal="194" oldVal="115"/>
    <row newVal="195" oldVal="110"/>
    <row newVal="196" oldVal="152"/>
    <row newVal="197" oldVal="113"/>
    <row newVal="198" oldVal="158"/>
    <row newVal="199" oldVal="160"/>
    <row newVal="200" oldVal="117"/>
    <row newVal="201" oldVal="118"/>
    <row newVal="202" oldVal="119"/>
    <row newVal="203" oldVal="161"/>
    <row newVal="204" oldVal="157"/>
    <row newVal="205" oldVal="193"/>
    <row newVal="206" oldVal="174"/>
    <row newVal="207" oldVal="175"/>
    <row newVal="208" oldVal="121"/>
    <row newVal="209" oldVal="162"/>
    <row newVal="210" oldVal="163"/>
    <row newVal="211" oldVal="164"/>
    <row newVal="212" oldVal="132"/>
    <row newVal="213" oldVal="165"/>
    <row newVal="214" oldVal="144"/>
    <row newVal="215" oldVal="145"/>
    <row newVal="216" oldVal="166"/>
    <row newVal="217" oldVal="200"/>
    <row newVal="218" oldVal="147"/>
    <row newVal="219" oldVal="168"/>
    <row newVal="220" oldVal="172"/>
    <row newVal="221" oldVal="153"/>
    <row newVal="222" oldVal="150"/>
    <row newVal="223" oldVal="206"/>
    <row newVal="224" oldVal="173"/>
    <row newVal="225" oldVal="155"/>
    <row newVal="226" oldVal="177"/>
    <row newVal="227" oldVal="178"/>
    <row newVal="228" oldVal="197"/>
    <row newVal="229" oldVal="191"/>
    <row newVal="230" oldVal="192"/>
    <row newVal="231" oldVal="185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Plan2</vt:lpstr>
      <vt:lpstr>Entregues</vt:lpstr>
      <vt:lpstr>Programaçao</vt:lpstr>
      <vt:lpstr>Encarregado</vt:lpstr>
      <vt:lpstr>Relatório - programação total</vt:lpstr>
      <vt:lpstr>Programação Gates</vt:lpstr>
      <vt:lpstr>Programação Aeroquip</vt:lpstr>
      <vt:lpstr>Planilha3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</dc:creator>
  <cp:lastModifiedBy>Leonardo</cp:lastModifiedBy>
  <cp:lastPrinted>2023-12-11T19:24:48Z</cp:lastPrinted>
  <dcterms:created xsi:type="dcterms:W3CDTF">2014-12-09T16:40:03Z</dcterms:created>
  <dcterms:modified xsi:type="dcterms:W3CDTF">2024-06-17T18:51:43Z</dcterms:modified>
</cp:coreProperties>
</file>